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ttps://d.docs.live.net/49b4433335d9beca/Desktop/EXCEL ASSINGNMENT SOLVED/"/>
    </mc:Choice>
  </mc:AlternateContent>
  <xr:revisionPtr revIDLastSave="1" documentId="13_ncr:1_{0E10D29E-B7DD-4790-ACD8-3B0081344E63}" xr6:coauthVersionLast="47" xr6:coauthVersionMax="47" xr10:uidLastSave="{EC9B3430-43DA-4F13-8ADB-92E72892719E}"/>
  <bookViews>
    <workbookView xWindow="-110" yWindow="-110" windowWidth="19420" windowHeight="10300" tabRatio="800" activeTab="2" xr2:uid="{D98D01D4-E9BE-44DB-9F5B-60D5336D89DA}"/>
  </bookViews>
  <sheets>
    <sheet name="Orders" sheetId="2" r:id="rId1"/>
    <sheet name="Returns" sheetId="3" r:id="rId2"/>
    <sheet name="Users" sheetId="4" r:id="rId3"/>
    <sheet name="pivot" sheetId="20" r:id="rId4"/>
    <sheet name="Dashboard" sheetId="21" r:id="rId5"/>
  </sheets>
  <definedNames>
    <definedName name="_xlchart.v2.4" hidden="1">pivot!$M$5:$M$21</definedName>
    <definedName name="_xlchart.v2.5" hidden="1">pivot!$N$4</definedName>
    <definedName name="_xlchart.v2.6" hidden="1">pivot!$N$5:$N$21</definedName>
    <definedName name="_xlchart.v5.0" hidden="1">pivot!$U$5</definedName>
    <definedName name="_xlchart.v5.1" hidden="1">pivot!$U$6:$U$54</definedName>
    <definedName name="_xlchart.v5.2" hidden="1">pivot!$V$5</definedName>
    <definedName name="_xlchart.v5.3" hidden="1">pivot!$V$6:$V$54</definedName>
    <definedName name="ExternalData_1" localSheetId="0" hidden="1">Orders!$A$1:$Y$1953</definedName>
    <definedName name="ExternalData_2" localSheetId="1" hidden="1">'Returns'!$A$1:$B$1635</definedName>
    <definedName name="ExternalData_3" localSheetId="2" hidden="1">Users!$A$1:$B$5</definedName>
    <definedName name="Slicer_Months__Order_Date2">#N/A</definedName>
    <definedName name="Slicer_Region2">#N/A</definedName>
    <definedName name="Slicer_Ship_Mod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20" l="1"/>
  <c r="V11" i="20"/>
  <c r="V27" i="20"/>
  <c r="V43" i="20"/>
  <c r="V12" i="20"/>
  <c r="V28" i="20"/>
  <c r="V44" i="20"/>
  <c r="N8" i="20"/>
  <c r="N9" i="20"/>
  <c r="V9" i="20"/>
  <c r="V25" i="20"/>
  <c r="V41" i="20"/>
  <c r="V10" i="20"/>
  <c r="V26" i="20"/>
  <c r="V42" i="20"/>
  <c r="N6" i="20"/>
  <c r="N7" i="20"/>
  <c r="N5" i="20"/>
  <c r="V23" i="20"/>
  <c r="V39" i="20"/>
  <c r="V8" i="20"/>
  <c r="V24" i="20"/>
  <c r="V40" i="20"/>
  <c r="V6" i="20"/>
  <c r="N20" i="20"/>
  <c r="N21" i="20"/>
  <c r="V21" i="20"/>
  <c r="V37" i="20"/>
  <c r="V53" i="20"/>
  <c r="V22" i="20"/>
  <c r="V38" i="20"/>
  <c r="V54" i="20"/>
  <c r="N18" i="20"/>
  <c r="N19" i="20"/>
  <c r="V19" i="20"/>
  <c r="V35" i="20"/>
  <c r="V51" i="20"/>
  <c r="V20" i="20"/>
  <c r="V36" i="20"/>
  <c r="V52" i="20"/>
  <c r="N16" i="20"/>
  <c r="N17" i="20"/>
  <c r="V17" i="20"/>
  <c r="V33" i="20"/>
  <c r="V49" i="20"/>
  <c r="V18" i="20"/>
  <c r="V34" i="20"/>
  <c r="V50" i="20"/>
  <c r="N14" i="20"/>
  <c r="N15" i="20"/>
  <c r="V15" i="20"/>
  <c r="V31" i="20"/>
  <c r="V47" i="20"/>
  <c r="V16" i="20"/>
  <c r="V32" i="20"/>
  <c r="V48" i="20"/>
  <c r="N12" i="20"/>
  <c r="N13" i="20"/>
  <c r="V13" i="20"/>
  <c r="V29" i="20"/>
  <c r="V45" i="20"/>
  <c r="V14" i="20"/>
  <c r="V30" i="20"/>
  <c r="V46" i="20"/>
  <c r="N10" i="20"/>
  <c r="N11" i="20"/>
  <c r="V7" i="20"/>
  <c r="A11"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E7415C-94A9-4F6D-92C3-4AAB1728770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DB6E27A7-8740-40FB-9A80-A1F27CD06510}"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2894417D-6BE0-45D8-9713-EC3BCF96C2FF}"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haredStrings.xml><?xml version="1.0" encoding="utf-8"?>
<sst xmlns="http://schemas.openxmlformats.org/spreadsheetml/2006/main" count="25285" uniqueCount="3057">
  <si>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</si>
  <si>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</si>
  <si>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</si>
  <si>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</si>
  <si>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</si>
  <si>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</si>
  <si>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</si>
  <si>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</si>
  <si>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</si>
  <si>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</si>
  <si>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</si>
  <si>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</si>
  <si>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</si>
  <si>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</si>
  <si>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</si>
  <si>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</si>
  <si>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</si>
  <si>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</si>
  <si>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</si>
  <si>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</si>
  <si>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</si>
  <si>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</si>
  <si>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</si>
  <si>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</si>
  <si>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</si>
  <si>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</si>
  <si>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</si>
  <si>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</si>
  <si>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</si>
  <si>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</si>
  <si>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</si>
  <si>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</si>
  <si>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</si>
  <si>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</si>
  <si>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</si>
  <si>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</si>
  <si>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</si>
  <si>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</si>
  <si>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</si>
  <si>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</si>
  <si>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</si>
  <si>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</si>
  <si>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</si>
  <si>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</si>
  <si>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</si>
  <si>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</si>
  <si>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</si>
  <si>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</si>
  <si>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</si>
  <si>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</si>
  <si>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</si>
  <si>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</si>
  <si>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</si>
  <si>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</si>
  <si>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</si>
  <si>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</si>
  <si>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</si>
  <si>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</si>
  <si>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</si>
  <si>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</si>
  <si>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</si>
  <si>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</si>
  <si>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</si>
  <si>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</si>
  <si>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</si>
  <si>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</si>
  <si>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</si>
  <si>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</si>
  <si>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</si>
  <si>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</si>
  <si>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</si>
  <si>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</si>
  <si>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</si>
  <si>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</si>
  <si>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</si>
  <si>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</si>
  <si>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</si>
  <si>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</si>
  <si>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</si>
  <si>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</si>
  <si>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</si>
  <si>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</si>
  <si>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</si>
  <si>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</si>
  <si>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</si>
  <si>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</si>
  <si>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</si>
  <si>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</si>
  <si>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</si>
  <si>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</si>
  <si>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</si>
  <si>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</si>
  <si>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</si>
  <si>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</si>
  <si>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</si>
  <si>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</si>
  <si>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</si>
  <si>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</si>
  <si>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</si>
  <si>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</si>
  <si>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</si>
  <si>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</si>
  <si>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</si>
  <si>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</si>
  <si>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</si>
  <si>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</si>
  <si>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</si>
  <si>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</si>
  <si>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</si>
  <si>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</si>
  <si>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</si>
  <si>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</si>
  <si>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</si>
  <si>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</si>
  <si>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</si>
  <si>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</si>
  <si>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</si>
  <si>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</si>
  <si>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</si>
  <si>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</si>
  <si>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</si>
  <si>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</si>
  <si>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</si>
  <si>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</si>
  <si>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</si>
  <si>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</si>
  <si>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</si>
  <si>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</si>
  <si>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</si>
  <si>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</si>
  <si>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</si>
  <si>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</si>
  <si>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</si>
  <si>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</si>
  <si>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</si>
  <si>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</si>
  <si>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</si>
  <si>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</si>
  <si>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</si>
  <si>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</si>
  <si>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</si>
  <si>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</si>
  <si>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</si>
  <si>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</si>
  <si>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</si>
  <si>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</si>
  <si>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</si>
  <si>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</si>
  <si>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</si>
  <si>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</si>
  <si>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</si>
  <si>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</si>
  <si>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</si>
  <si>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</si>
  <si>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</si>
  <si>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</si>
  <si>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</si>
  <si>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</si>
  <si>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</si>
  <si>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</si>
  <si>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</si>
  <si>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</si>
  <si>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</si>
  <si>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</si>
  <si>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</si>
  <si>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</si>
  <si>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</si>
  <si>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</si>
  <si>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</si>
  <si>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</si>
  <si>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</si>
  <si>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</si>
  <si>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</si>
  <si>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</si>
  <si>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</si>
  <si>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</si>
  <si>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</si>
  <si>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</si>
  <si>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</si>
  <si>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</si>
  <si>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</si>
  <si>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</si>
  <si>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</si>
  <si>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</si>
  <si>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</si>
  <si>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</si>
  <si>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</si>
  <si>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</si>
  <si>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</si>
  <si>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</si>
  <si>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</si>
  <si>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</si>
  <si>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</si>
  <si>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</si>
  <si>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</si>
  <si>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</si>
  <si>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</si>
  <si>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</si>
  <si>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</si>
  <si>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</si>
  <si>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</si>
  <si>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</si>
  <si>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</si>
  <si>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</si>
  <si>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</si>
  <si>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</si>
  <si>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</si>
  <si>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</si>
  <si>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</si>
  <si>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</si>
  <si>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</si>
  <si>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</si>
  <si>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</si>
  <si>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</si>
  <si>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</si>
  <si>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</si>
  <si>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</si>
  <si>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</si>
  <si>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</si>
  <si>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</si>
  <si>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</si>
  <si>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</si>
  <si>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</si>
  <si>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</si>
  <si>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</si>
  <si>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</si>
  <si>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</si>
  <si>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</si>
  <si>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</si>
  <si>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</si>
  <si>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</si>
  <si>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</si>
  <si>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</si>
  <si>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</si>
  <si>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</si>
  <si>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</si>
  <si>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</si>
  <si>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</si>
  <si>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</si>
  <si>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</si>
  <si>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</si>
  <si>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</si>
  <si>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</si>
  <si>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</si>
  <si>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</si>
  <si>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</si>
  <si>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</si>
  <si>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</si>
  <si>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</si>
  <si>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</si>
  <si>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</si>
  <si>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</si>
  <si>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</si>
  <si>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</si>
  <si>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</si>
  <si>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</si>
  <si>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</si>
  <si>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</si>
  <si>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</si>
  <si>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</si>
  <si>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</si>
  <si>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</si>
  <si>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</si>
  <si>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</si>
  <si>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</si>
  <si>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</si>
  <si>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</si>
  <si>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</si>
  <si>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</si>
  <si>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</si>
  <si>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</si>
  <si>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</si>
  <si>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</si>
  <si>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</si>
  <si>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</si>
  <si>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</si>
  <si>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</si>
  <si>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</si>
  <si>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</si>
  <si>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</si>
  <si>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</si>
  <si>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</si>
  <si>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</si>
  <si>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</si>
  <si>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</si>
  <si>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</si>
  <si>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</si>
  <si>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</si>
  <si>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</si>
  <si>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</si>
  <si>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</si>
  <si>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</si>
  <si>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</si>
  <si>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</si>
  <si>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</si>
  <si>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</si>
  <si>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</si>
  <si>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</si>
  <si>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</si>
  <si>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</si>
  <si>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</si>
  <si>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</si>
  <si>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</si>
  <si>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</si>
  <si>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</si>
  <si>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</si>
  <si>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</si>
  <si>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</si>
  <si>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</si>
  <si>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</si>
  <si>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</si>
  <si>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</si>
  <si>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</si>
  <si>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</si>
  <si>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</si>
  <si>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</si>
  <si>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</si>
  <si>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</si>
  <si>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</si>
  <si>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</si>
  <si>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</si>
  <si>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</si>
  <si>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</si>
  <si>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</si>
  <si>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</si>
  <si>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</si>
  <si>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</si>
  <si>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</si>
  <si>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</si>
  <si>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</si>
  <si>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</si>
  <si>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</si>
  <si>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</si>
  <si>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</si>
  <si>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</si>
  <si>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</si>
  <si>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</si>
  <si>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</si>
  <si>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</si>
  <si>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</si>
  <si>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</si>
  <si>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</si>
  <si>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</si>
  <si>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</si>
  <si>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</si>
  <si>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</si>
  <si>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</si>
  <si>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</si>
  <si>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</si>
  <si>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</si>
  <si>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</si>
  <si>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</si>
  <si>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</si>
  <si>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</si>
  <si>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</si>
  <si>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</si>
  <si>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</si>
  <si>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</si>
  <si>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</si>
  <si>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</si>
  <si>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</si>
  <si>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</si>
  <si>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</si>
  <si>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</si>
  <si>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</si>
  <si>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</si>
  <si>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</si>
  <si>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</si>
  <si>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</si>
  <si>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</si>
  <si>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</si>
  <si>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</si>
  <si>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</si>
  <si>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</si>
  <si>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</si>
  <si>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</si>
  <si>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</si>
  <si>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</si>
  <si>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</si>
  <si>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</si>
  <si>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</si>
  <si>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</si>
  <si>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</si>
  <si>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</si>
  <si>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</si>
  <si>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</si>
  <si>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</si>
  <si>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</si>
  <si>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</si>
  <si>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</si>
  <si>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</si>
  <si>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</si>
  <si>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</si>
  <si>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</si>
  <si>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</si>
  <si>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</si>
  <si>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</si>
  <si>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</si>
  <si>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</si>
  <si>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</si>
  <si>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</si>
  <si>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</si>
  <si>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</si>
  <si>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</si>
  <si>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</si>
  <si>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</si>
  <si>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</si>
  <si>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</si>
  <si>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</si>
  <si>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</si>
  <si>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</si>
  <si>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</si>
  <si>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</si>
  <si>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</si>
  <si>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</si>
  <si>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</si>
  <si>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</si>
  <si>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</si>
  <si>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</si>
  <si>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</si>
  <si>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</si>
  <si>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</si>
  <si>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</si>
  <si>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</si>
  <si>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</si>
  <si>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</si>
  <si>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</si>
  <si>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</si>
  <si>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</si>
  <si>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</si>
  <si>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</si>
  <si>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</si>
  <si>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</si>
  <si>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</si>
  <si>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</si>
  <si>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</si>
  <si>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</si>
  <si>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</si>
  <si>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</si>
  <si>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</si>
  <si>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</si>
  <si>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</si>
  <si>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</si>
  <si>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</si>
  <si>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</si>
  <si>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</si>
  <si>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</si>
  <si>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</si>
  <si>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</si>
  <si>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</si>
  <si>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</si>
  <si>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</si>
  <si>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</si>
  <si>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</si>
  <si>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</si>
  <si>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</si>
  <si>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</si>
  <si>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</si>
  <si>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</si>
  <si>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</si>
  <si>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</si>
  <si>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</si>
  <si>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</si>
  <si>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</si>
  <si>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</si>
  <si>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</si>
  <si>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</si>
  <si>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</si>
  <si>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</si>
  <si>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</si>
  <si>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</si>
  <si>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</si>
  <si>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</si>
  <si>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</si>
  <si>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</si>
  <si>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</si>
  <si>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</si>
  <si>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</si>
  <si>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</si>
  <si>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</si>
  <si>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</si>
  <si>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</si>
  <si>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</si>
  <si>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</si>
  <si>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</si>
  <si>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</si>
  <si>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</si>
  <si>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</si>
  <si>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</si>
  <si>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</si>
  <si>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</si>
  <si>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</si>
  <si>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</si>
  <si>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</si>
  <si>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</si>
  <si>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</si>
  <si>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</si>
  <si>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</si>
  <si>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</si>
  <si>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</si>
  <si>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</si>
  <si>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</si>
  <si>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</si>
  <si>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</si>
  <si>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</si>
  <si>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</si>
  <si>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</si>
  <si>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</si>
  <si>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</si>
  <si>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</si>
  <si>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</si>
  <si>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</si>
  <si>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</si>
  <si>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</si>
  <si>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</si>
  <si>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</si>
  <si>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</si>
  <si>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</si>
  <si>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</si>
  <si>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</si>
  <si>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</si>
  <si>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</si>
  <si>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</si>
  <si>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</si>
  <si>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</si>
  <si>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</si>
  <si>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</si>
  <si>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</si>
  <si>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</si>
  <si>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</si>
  <si>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</si>
  <si>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</si>
  <si>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</si>
  <si>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</si>
  <si>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</si>
  <si>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</si>
  <si>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</si>
  <si>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</si>
  <si>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</si>
  <si>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</si>
  <si>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</si>
  <si>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</si>
  <si>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</si>
  <si>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</si>
  <si>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</si>
  <si>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</si>
  <si>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</si>
  <si>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</si>
  <si>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</si>
  <si>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</si>
  <si>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</si>
  <si>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</si>
  <si>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</si>
  <si>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</si>
  <si>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</si>
  <si>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</si>
  <si>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</si>
  <si>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</si>
  <si>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</si>
  <si>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</si>
  <si>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</si>
  <si>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</si>
  <si>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</si>
  <si>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</si>
  <si>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</si>
  <si>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</si>
  <si>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</si>
  <si>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</si>
  <si>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</si>
  <si>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</si>
  <si>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</si>
  <si>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</si>
  <si>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</si>
  <si>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</si>
  <si>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</si>
  <si>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</si>
  <si>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</si>
  <si>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</si>
  <si>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</si>
  <si>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</si>
  <si>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</si>
  <si>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</si>
  <si>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</si>
  <si>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</si>
  <si>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</si>
  <si>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</si>
  <si>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</si>
  <si>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</si>
  <si>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</si>
  <si>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</si>
  <si>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</si>
  <si>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</si>
  <si>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</si>
  <si>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</si>
  <si>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</si>
  <si>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</si>
  <si>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</si>
  <si>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</si>
  <si>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</si>
  <si>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</si>
  <si>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</si>
  <si>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</si>
  <si>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</si>
  <si>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</si>
  <si>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</si>
  <si>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</si>
  <si>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</si>
  <si>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</si>
  <si>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</si>
  <si>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</si>
  <si>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</si>
  <si>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</si>
  <si>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</si>
  <si>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</si>
  <si>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</si>
  <si>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</si>
  <si>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</si>
  <si>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</si>
  <si>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</si>
  <si>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</si>
  <si>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</si>
  <si>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</si>
  <si>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</si>
  <si>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</si>
  <si>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</si>
  <si>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</si>
  <si>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</si>
  <si>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</si>
  <si>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</si>
  <si>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</si>
  <si>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</si>
  <si>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</si>
  <si>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</si>
  <si>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</si>
  <si>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</si>
  <si>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</si>
  <si>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</si>
  <si>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</si>
  <si>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</si>
  <si>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</si>
  <si>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</si>
  <si>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</si>
  <si>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</si>
  <si>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</si>
  <si>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</si>
  <si>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</si>
  <si>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</si>
  <si>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</si>
  <si>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</si>
  <si>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</si>
  <si>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</si>
  <si>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</si>
  <si>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</si>
  <si>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</si>
  <si>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</si>
  <si>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</si>
  <si>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</si>
  <si>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</si>
  <si>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</si>
  <si>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</si>
  <si>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</si>
  <si>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</si>
  <si>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</si>
  <si>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</si>
  <si>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</si>
  <si>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</si>
  <si>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</si>
  <si>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</si>
  <si>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</si>
  <si>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</si>
  <si>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</si>
  <si>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</si>
  <si>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</si>
  <si>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</si>
  <si>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</si>
  <si>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</si>
  <si>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</si>
  <si>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</si>
  <si>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</si>
  <si>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</si>
  <si>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</si>
  <si>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</si>
  <si>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</si>
  <si>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</si>
  <si>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</si>
  <si>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</si>
  <si>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</si>
  <si>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</si>
  <si>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</si>
  <si>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</si>
  <si>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</si>
  <si>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</si>
  <si>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</si>
  <si>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</si>
  <si>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</si>
  <si>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</si>
  <si>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</si>
  <si>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</si>
  <si>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</si>
  <si>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</si>
  <si>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</si>
  <si>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</si>
  <si>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</si>
  <si>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</si>
  <si>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</si>
  <si>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</si>
  <si>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</si>
  <si>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</si>
  <si>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</si>
  <si>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</si>
  <si>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</si>
  <si>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</si>
  <si>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</si>
  <si>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</si>
  <si>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</si>
  <si>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</si>
  <si>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</si>
  <si>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</si>
  <si>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</si>
  <si>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</si>
  <si>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</si>
  <si>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</si>
  <si>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</si>
  <si>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</si>
  <si>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</si>
  <si>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</si>
  <si>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</si>
  <si>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</si>
  <si>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</si>
  <si>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</si>
  <si>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</si>
  <si>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</si>
  <si>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</si>
  <si>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</si>
  <si>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</si>
  <si>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</si>
  <si>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</si>
  <si>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</si>
  <si>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</si>
  <si>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</si>
  <si>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</si>
  <si>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</si>
  <si>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</si>
  <si>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</si>
  <si>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</si>
  <si>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</si>
  <si>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</si>
  <si>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</si>
  <si>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</si>
  <si>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</si>
  <si>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</si>
  <si>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</si>
  <si>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</si>
  <si>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</si>
  <si>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</si>
  <si>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</si>
  <si>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</si>
  <si>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</si>
  <si>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</si>
  <si>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</si>
  <si>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</si>
  <si>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</si>
  <si>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</si>
  <si>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</si>
  <si>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</si>
  <si>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</si>
  <si>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</si>
  <si>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</si>
  <si>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</si>
  <si>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</si>
  <si>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</si>
  <si>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</si>
  <si>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</si>
  <si>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</si>
  <si>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</si>
  <si>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</si>
  <si>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</si>
  <si>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</si>
  <si>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</si>
  <si>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</si>
  <si>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</si>
  <si>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</si>
  <si>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</si>
  <si>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</si>
  <si>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</si>
  <si>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</si>
  <si>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</si>
  <si>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</si>
  <si>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</si>
  <si>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</si>
  <si>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</si>
  <si>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</si>
  <si>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</si>
  <si>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</si>
  <si>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</si>
  <si>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</si>
  <si>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</si>
  <si>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</si>
  <si>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</si>
  <si>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</si>
  <si>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</si>
  <si>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</si>
  <si>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</si>
  <si>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</si>
  <si>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</si>
  <si>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</si>
  <si>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</si>
  <si>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</si>
  <si>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</si>
  <si>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</si>
  <si>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</si>
  <si>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</si>
  <si>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</si>
  <si>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</si>
  <si>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</si>
  <si>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</si>
  <si>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</si>
  <si>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</si>
  <si>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</si>
  <si>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</si>
  <si>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</si>
  <si>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</si>
  <si>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</si>
  <si>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</si>
  <si>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</si>
  <si>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</si>
  <si>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</si>
  <si>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</si>
  <si>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</si>
  <si>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</si>
  <si>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</si>
  <si>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</si>
  <si>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</si>
  <si>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</si>
  <si>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</si>
  <si>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</si>
  <si>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</si>
  <si>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</si>
  <si>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</si>
  <si>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</si>
  <si>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</si>
  <si>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</si>
  <si>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</si>
  <si>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</si>
  <si>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</si>
  <si>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</si>
  <si>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</si>
  <si>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</si>
  <si>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</si>
  <si>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</si>
  <si>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</si>
  <si>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</si>
  <si>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</si>
  <si>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</si>
  <si>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</si>
  <si>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</si>
  <si>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</si>
  <si>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</si>
  <si>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</si>
  <si>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</si>
  <si>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</si>
  <si>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</si>
  <si>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</si>
  <si>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</si>
  <si>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</si>
  <si>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</si>
  <si>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</si>
  <si>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</si>
  <si>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</si>
  <si>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</si>
  <si>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</si>
  <si>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</si>
  <si>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</si>
  <si>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</si>
  <si>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</si>
  <si>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</si>
  <si>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</si>
  <si>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</si>
  <si>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</si>
  <si>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</si>
  <si>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</si>
  <si>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</si>
  <si>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</si>
  <si>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</si>
  <si>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</si>
  <si>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</si>
  <si>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</si>
  <si>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</si>
  <si>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</si>
  <si>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</si>
  <si>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</si>
  <si>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</si>
  <si>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</si>
  <si>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</si>
  <si>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</si>
  <si>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</si>
  <si>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</si>
  <si>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</si>
  <si>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</si>
  <si>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</si>
  <si>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</si>
  <si>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</si>
  <si>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</si>
  <si>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</si>
  <si>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</si>
  <si>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</si>
  <si>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</si>
  <si>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</si>
  <si>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</si>
  <si>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</si>
  <si>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</si>
  <si>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</si>
  <si>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</si>
  <si>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</si>
  <si>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</si>
  <si>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</si>
  <si>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</si>
  <si>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</si>
  <si>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</si>
  <si>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</si>
  <si>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</si>
  <si>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</si>
  <si>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</si>
  <si>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</si>
  <si>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</si>
  <si>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</si>
  <si>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</si>
  <si>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</si>
  <si>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</si>
  <si>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</si>
  <si>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</si>
  <si>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</si>
  <si>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</si>
  <si>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</si>
  <si>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</si>
  <si>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</si>
  <si>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</si>
  <si>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</si>
  <si>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</si>
  <si>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</si>
  <si>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</si>
  <si>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</si>
  <si>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</si>
  <si>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</si>
  <si>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</si>
  <si>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</si>
  <si>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</si>
  <si>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</si>
  <si>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</si>
  <si>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</si>
  <si>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</si>
  <si>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</si>
  <si>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</si>
  <si>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</si>
  <si>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</si>
  <si>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</si>
  <si>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</si>
  <si>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</si>
  <si>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</si>
  <si>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</si>
  <si>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</si>
  <si>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</si>
  <si>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</si>
  <si>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</si>
  <si>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</si>
  <si>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</si>
  <si>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</si>
  <si>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</si>
  <si>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</si>
  <si>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</si>
  <si>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</si>
  <si>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</si>
  <si>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</si>
  <si>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</si>
  <si>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</si>
  <si>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</si>
  <si>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</si>
  <si>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</si>
  <si>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</si>
  <si>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</si>
  <si>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</si>
  <si>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</si>
  <si>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</si>
  <si>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</si>
  <si>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</si>
  <si>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</si>
  <si>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</si>
  <si>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</si>
  <si>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</si>
  <si>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</si>
  <si>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</si>
  <si>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</si>
  <si>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</si>
  <si>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</si>
  <si>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</si>
  <si>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</si>
  <si>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</si>
  <si>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</si>
  <si>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</si>
  <si>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</si>
  <si>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</si>
  <si>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</si>
  <si>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</si>
  <si>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</si>
  <si>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</si>
  <si>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</si>
  <si>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</si>
  <si>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</si>
  <si>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</si>
  <si>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</si>
  <si>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</si>
  <si>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</si>
  <si>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</si>
  <si>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</si>
  <si>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</si>
  <si>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</si>
  <si>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</si>
  <si>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</si>
  <si>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</si>
  <si>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</si>
  <si>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</si>
  <si>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</si>
  <si>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</si>
  <si>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</si>
  <si>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</si>
  <si>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</si>
  <si>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</si>
  <si>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</si>
  <si>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</si>
  <si>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</si>
  <si>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</si>
  <si>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</si>
  <si>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</si>
  <si>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</si>
  <si>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</si>
  <si>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</si>
  <si>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</si>
  <si>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</si>
  <si>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</si>
  <si>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</si>
  <si>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</si>
  <si>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</si>
  <si>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</si>
  <si>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</si>
  <si>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</si>
  <si>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</si>
  <si>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</si>
  <si>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</si>
  <si>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</si>
  <si>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</si>
  <si>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</si>
  <si>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</si>
  <si>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</si>
  <si>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</si>
  <si>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</si>
  <si>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</si>
  <si>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</si>
  <si>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</si>
  <si>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</si>
  <si>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</si>
  <si>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</si>
  <si>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</si>
  <si>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</si>
  <si>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</si>
  <si>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</si>
  <si>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</si>
  <si>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</si>
  <si>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</si>
  <si>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</si>
  <si>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</si>
  <si>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</si>
  <si>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</si>
  <si>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</si>
  <si>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</si>
  <si>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</si>
  <si>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</si>
  <si>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</si>
  <si>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</si>
  <si>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</si>
  <si>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</si>
  <si>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</si>
  <si>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</si>
  <si>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</si>
  <si>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</si>
  <si>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</si>
  <si>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</si>
  <si>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</si>
  <si>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</si>
  <si>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</si>
  <si>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</si>
  <si>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</si>
  <si>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</si>
  <si>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</si>
  <si>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</si>
  <si>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</si>
  <si>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</si>
  <si>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</si>
  <si>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</si>
  <si>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</si>
  <si>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</si>
  <si>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</si>
  <si>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</si>
  <si>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</si>
  <si>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</si>
  <si>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</si>
  <si>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</si>
  <si>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</si>
  <si>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</si>
  <si>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</si>
  <si>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</si>
  <si>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</si>
  <si>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</si>
  <si>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</si>
  <si>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</si>
  <si>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</si>
  <si>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</si>
  <si>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</si>
  <si>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</si>
  <si>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</si>
  <si>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</si>
  <si>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</si>
  <si>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</si>
  <si>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</si>
  <si>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</si>
  <si>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</si>
  <si>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</si>
  <si>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</si>
  <si>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</si>
  <si>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</si>
  <si>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</si>
  <si>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</si>
  <si>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</si>
  <si>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</si>
  <si>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</si>
  <si>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</si>
  <si>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</si>
  <si>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</si>
  <si>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</si>
  <si>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</si>
  <si>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</si>
  <si>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</si>
  <si>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</si>
  <si>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</si>
  <si>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</si>
  <si>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</si>
  <si>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</si>
  <si>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</si>
  <si>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</si>
  <si>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</si>
  <si>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</si>
  <si>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</si>
  <si>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</si>
  <si>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</si>
  <si>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</si>
  <si>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</si>
  <si>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</si>
  <si>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</si>
  <si>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</si>
  <si>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</si>
  <si>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</si>
  <si>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</si>
  <si>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</si>
  <si>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</si>
  <si>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</si>
  <si>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</si>
  <si>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</si>
  <si>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</si>
  <si>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</si>
  <si>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</si>
  <si>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</si>
  <si>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</si>
  <si>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</si>
  <si>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</si>
  <si>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</si>
  <si>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</si>
  <si>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</si>
  <si>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</si>
  <si>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</si>
  <si>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</si>
  <si>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</si>
  <si>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</si>
  <si>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</si>
  <si>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</si>
  <si>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</si>
  <si>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</si>
  <si>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</si>
  <si>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</si>
  <si>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</si>
  <si>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</si>
  <si>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</si>
  <si>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</si>
  <si>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</si>
  <si>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</si>
  <si>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</si>
  <si>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</si>
  <si>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</si>
  <si>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</si>
  <si>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</si>
  <si>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</si>
  <si>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</si>
  <si>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</si>
  <si>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</si>
  <si>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</si>
  <si>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</si>
  <si>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</si>
  <si>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</si>
  <si>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</si>
  <si>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</si>
  <si>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</si>
  <si>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</si>
  <si>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</si>
  <si>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</si>
  <si>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</si>
  <si>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</si>
  <si>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</si>
  <si>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</si>
  <si>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</si>
  <si>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</si>
  <si>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</si>
  <si>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</si>
  <si>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</si>
  <si>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</si>
  <si>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</si>
  <si>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</si>
  <si>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</si>
  <si>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</si>
  <si>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</si>
  <si>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</si>
  <si>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</si>
  <si>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</si>
  <si>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</si>
  <si>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</si>
  <si>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</si>
  <si>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</si>
  <si>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</si>
  <si>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</si>
  <si>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</si>
  <si>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</si>
  <si>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</si>
  <si>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</si>
  <si>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</si>
  <si>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</si>
  <si>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</si>
  <si>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</si>
  <si>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</si>
  <si>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</si>
  <si>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</si>
  <si>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</si>
  <si>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</si>
  <si>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</si>
  <si>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</si>
  <si>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</si>
  <si>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</si>
  <si>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</si>
  <si>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</si>
  <si>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</si>
  <si>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</si>
  <si>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</si>
  <si>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</si>
  <si>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</si>
  <si>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</si>
  <si>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</si>
  <si>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</si>
  <si>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</si>
  <si>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</si>
  <si>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</si>
  <si>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</si>
  <si>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</si>
  <si>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</si>
  <si>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</si>
  <si>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</si>
  <si>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</si>
  <si>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</si>
  <si>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</si>
  <si>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</si>
  <si>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</si>
  <si>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</si>
  <si>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</si>
  <si>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</si>
  <si>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</si>
  <si>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</si>
  <si>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</si>
  <si>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</si>
  <si>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</si>
  <si>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</si>
  <si>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</si>
  <si>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</si>
  <si>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</si>
  <si>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</si>
  <si>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</si>
  <si>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</si>
  <si>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</si>
  <si>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</si>
  <si>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</si>
  <si>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</si>
  <si>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</si>
  <si>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</si>
  <si>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</si>
  <si>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</si>
  <si>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</si>
  <si>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</si>
  <si>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</si>
  <si>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</si>
  <si>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</si>
  <si>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</si>
  <si>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</si>
  <si>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</si>
  <si>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</si>
  <si>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</si>
  <si>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</si>
  <si>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</si>
  <si>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</si>
  <si>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</si>
  <si>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</si>
  <si>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</si>
  <si>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</si>
  <si>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</si>
  <si>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</si>
  <si>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</si>
  <si>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</si>
  <si>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</si>
  <si>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</si>
  <si>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</si>
  <si>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</si>
  <si>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</si>
  <si>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</si>
  <si>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</si>
  <si>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</si>
  <si>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</si>
  <si>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</si>
  <si>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</si>
  <si>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</si>
  <si>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</si>
  <si>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</si>
  <si>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</si>
  <si>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</si>
  <si>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</si>
  <si>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</si>
  <si>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</si>
  <si>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</si>
  <si>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</si>
  <si>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</si>
  <si>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</si>
  <si>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</si>
  <si>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</si>
  <si>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</si>
  <si>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</si>
  <si>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</si>
  <si>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</si>
  <si>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</si>
  <si>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</si>
  <si>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</si>
  <si>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</si>
  <si>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</si>
  <si>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</si>
  <si>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</si>
  <si>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</si>
  <si>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</si>
  <si>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</si>
  <si>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</si>
  <si>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</si>
  <si>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</si>
  <si>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</si>
  <si>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</si>
  <si>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</si>
  <si>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</si>
  <si>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</si>
  <si>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</si>
  <si>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</si>
  <si>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</si>
  <si>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</si>
  <si>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</si>
  <si>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</si>
  <si>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</si>
  <si>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</si>
  <si>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</si>
  <si>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</si>
  <si>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</si>
  <si>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</si>
  <si>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</si>
  <si>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</si>
  <si>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</si>
  <si>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</si>
  <si>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</si>
  <si>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</si>
  <si>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</si>
  <si>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</si>
  <si>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</si>
  <si>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</si>
  <si>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</si>
  <si>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</si>
  <si>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</si>
  <si>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</si>
  <si>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</si>
  <si>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</si>
  <si>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</si>
  <si>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</si>
  <si>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</si>
  <si>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</si>
  <si>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</si>
  <si>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</si>
  <si>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</si>
  <si>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</si>
  <si>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</si>
  <si>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</si>
  <si>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</si>
  <si>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</si>
  <si>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</si>
  <si>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</si>
  <si>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</si>
  <si>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</si>
  <si>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</si>
  <si>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</si>
  <si>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</si>
  <si>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</si>
  <si>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</si>
  <si>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</si>
  <si>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</si>
  <si>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</si>
  <si>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</si>
  <si>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</si>
  <si>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</si>
  <si>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</si>
  <si>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</si>
  <si>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</si>
  <si>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</si>
  <si>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</si>
  <si>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</si>
  <si>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</si>
  <si>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</si>
  <si>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</si>
  <si>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</si>
  <si>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</si>
  <si>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</si>
  <si>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</si>
  <si>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</si>
  <si>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</si>
  <si>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</si>
  <si>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</si>
  <si>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</si>
  <si>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</si>
  <si>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</si>
  <si>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</si>
  <si>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</si>
  <si>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</si>
  <si>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</si>
  <si>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</si>
  <si>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</si>
  <si>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</si>
  <si>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</si>
  <si>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</si>
  <si>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</si>
  <si>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</si>
  <si>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</si>
  <si>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</si>
  <si>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</si>
  <si>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</si>
  <si>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</si>
  <si>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</si>
  <si>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</si>
  <si>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</si>
  <si>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</si>
  <si>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</si>
  <si>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</si>
  <si>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</si>
  <si>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</si>
  <si>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</si>
  <si>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</si>
  <si>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</si>
  <si>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</si>
  <si>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</si>
  <si>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</si>
  <si>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</si>
  <si>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</si>
  <si>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</si>
  <si>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</si>
  <si>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</si>
  <si>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</si>
  <si>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</si>
  <si>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</si>
  <si>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</si>
  <si>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</si>
  <si>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</si>
  <si>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</si>
  <si>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</si>
  <si>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</si>
  <si>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</si>
  <si>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</si>
  <si>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</si>
  <si>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</si>
  <si>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</si>
  <si>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</si>
  <si>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</si>
  <si>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</si>
  <si>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</si>
  <si>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</si>
  <si>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</si>
  <si>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</si>
  <si>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</si>
  <si>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</si>
  <si>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</si>
  <si>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</si>
  <si>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</si>
  <si>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</si>
  <si>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</si>
  <si>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</si>
  <si>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</si>
  <si>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</si>
  <si>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</si>
  <si>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</si>
  <si>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</si>
  <si>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</si>
  <si>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</si>
  <si>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</si>
  <si>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</si>
  <si>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</si>
  <si>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</si>
  <si>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</si>
  <si>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</si>
  <si>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</si>
  <si>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</si>
  <si>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</si>
  <si>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</si>
  <si>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</si>
  <si>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</si>
  <si>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</si>
  <si>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</si>
  <si>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</si>
  <si>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</si>
  <si>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</si>
  <si>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</si>
  <si>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</si>
  <si>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</si>
  <si>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</si>
  <si>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</si>
  <si>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</si>
  <si>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</si>
  <si>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</si>
  <si>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</si>
  <si>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</si>
  <si>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</si>
  <si>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</si>
  <si>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</si>
  <si>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</si>
  <si>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</si>
  <si>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</si>
  <si>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</si>
  <si>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</si>
  <si>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</si>
  <si>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</si>
  <si>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</si>
  <si>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</si>
  <si>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</si>
  <si>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</si>
  <si>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</si>
  <si>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</si>
  <si>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</si>
  <si>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</si>
  <si>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</si>
  <si>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</si>
  <si>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</si>
  <si>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</si>
  <si>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</si>
  <si>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</si>
  <si>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</si>
  <si>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</si>
  <si>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</si>
  <si>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</si>
  <si>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</si>
  <si>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</si>
  <si>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</si>
  <si>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</si>
  <si>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</si>
  <si>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</si>
  <si>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</si>
  <si>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</si>
  <si>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</si>
  <si>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</si>
  <si>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</si>
  <si>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</si>
  <si>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</si>
  <si>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</si>
  <si>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</si>
  <si>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</si>
  <si>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</si>
  <si>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</si>
  <si>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</si>
  <si>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</si>
  <si>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</si>
  <si>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</si>
  <si>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</si>
  <si>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</si>
  <si>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</si>
  <si>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</si>
  <si>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</si>
  <si>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</si>
  <si>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</si>
  <si>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</si>
  <si>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</si>
  <si>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</si>
  <si>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</si>
  <si>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</si>
  <si>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</si>
  <si>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</si>
  <si>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</si>
  <si>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</si>
  <si>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</si>
  <si>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</si>
  <si>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</si>
  <si>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</si>
  <si>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</si>
  <si>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</si>
  <si>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</si>
  <si>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</si>
  <si>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</si>
  <si>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</si>
  <si>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</si>
  <si>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</si>
  <si>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</si>
  <si>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</si>
  <si>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</si>
  <si>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</si>
  <si>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</si>
  <si>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</si>
  <si>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</si>
  <si>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</si>
  <si>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</si>
  <si>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</si>
  <si>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</si>
  <si>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</si>
  <si>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</si>
  <si>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</si>
  <si>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</si>
  <si>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</si>
  <si>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</si>
  <si>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</si>
  <si>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</si>
  <si>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</si>
  <si>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</si>
  <si>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</si>
  <si>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</si>
  <si>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</si>
  <si>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</si>
  <si>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</si>
  <si>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</si>
  <si>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</si>
  <si>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</si>
  <si>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</si>
  <si>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</si>
  <si>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</si>
  <si>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</si>
  <si>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</si>
  <si>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</si>
  <si>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</si>
  <si>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</si>
  <si>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</si>
  <si>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</si>
  <si>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</si>
  <si>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</si>
  <si>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</si>
  <si>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</si>
  <si>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</si>
  <si>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</si>
  <si>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</si>
  <si>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</si>
  <si>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</si>
  <si>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</si>
  <si>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</si>
  <si>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</si>
  <si>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</si>
  <si>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</si>
  <si>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</si>
  <si>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</si>
  <si>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</si>
  <si>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</si>
  <si>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</si>
  <si>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</si>
  <si>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</si>
  <si>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</si>
  <si>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</si>
  <si>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</si>
  <si>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</si>
  <si>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</si>
  <si>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</si>
  <si>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</si>
  <si>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</si>
  <si>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</si>
  <si>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</si>
  <si>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</si>
  <si>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</si>
  <si>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</si>
  <si>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</si>
  <si>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</si>
  <si>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</si>
  <si>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</si>
  <si>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</si>
  <si>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</si>
  <si>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</si>
  <si>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</si>
  <si>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</si>
  <si>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</si>
  <si>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</si>
  <si>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</si>
  <si>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</si>
  <si>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</si>
  <si>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</si>
  <si>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</si>
  <si>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</si>
  <si>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</si>
  <si>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</si>
  <si>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</si>
  <si>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</si>
  <si>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</si>
  <si>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</si>
  <si>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</si>
  <si>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</si>
  <si>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</si>
  <si>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</si>
  <si>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</si>
  <si>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</si>
  <si>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</si>
  <si>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</si>
  <si>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</si>
  <si>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</si>
  <si>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</si>
  <si>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</si>
  <si>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</si>
  <si>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</si>
  <si>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</si>
  <si>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</si>
  <si>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</si>
  <si>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</si>
  <si>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</si>
  <si>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</si>
  <si>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</si>
  <si>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</si>
  <si>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</si>
  <si>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</si>
  <si>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</si>
  <si>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</si>
  <si>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</si>
  <si>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</si>
  <si>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</si>
  <si>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</si>
  <si>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</si>
  <si>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</si>
  <si>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</si>
  <si>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</si>
  <si>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</si>
  <si>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</si>
  <si>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</si>
  <si>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</si>
  <si>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</si>
  <si>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</si>
  <si>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</si>
  <si>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</si>
  <si>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</si>
  <si>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</si>
  <si>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</si>
  <si>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</si>
  <si>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</si>
  <si>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</si>
  <si>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</si>
  <si>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</si>
  <si>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</si>
  <si>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</si>
  <si>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</si>
  <si>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</si>
  <si>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</si>
  <si>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</si>
  <si>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</si>
  <si>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</si>
  <si>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</si>
  <si>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</si>
  <si>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</si>
  <si>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</si>
  <si>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</si>
  <si>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</si>
  <si>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</si>
  <si>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</si>
  <si>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</si>
  <si>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</si>
  <si>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</si>
  <si>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</si>
  <si>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</si>
  <si>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</si>
  <si>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</si>
  <si>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</si>
  <si>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</si>
  <si>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</si>
  <si>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</si>
  <si>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</si>
  <si>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</si>
  <si>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</si>
  <si>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</si>
  <si>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</si>
  <si>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</si>
  <si>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</si>
  <si>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</si>
  <si>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</si>
  <si>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</si>
  <si>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</si>
  <si>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</si>
  <si>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</si>
  <si>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</si>
  <si>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</si>
  <si>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</si>
  <si>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</si>
  <si>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</si>
  <si>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</si>
  <si>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</si>
  <si>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</si>
  <si>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</si>
  <si>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</si>
  <si>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</si>
  <si>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</si>
  <si>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</si>
  <si>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</si>
  <si>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</si>
  <si>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</si>
  <si>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</si>
  <si>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</si>
  <si>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</si>
  <si>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</si>
  <si>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</si>
  <si>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</si>
  <si>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</si>
  <si>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</si>
  <si>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</si>
  <si>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</si>
  <si>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</si>
  <si>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</si>
  <si>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</si>
  <si>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</si>
  <si>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</si>
  <si>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</si>
  <si>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</si>
  <si>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</si>
  <si>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</si>
  <si>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</si>
  <si>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</si>
  <si>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</si>
  <si>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</si>
  <si>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</si>
  <si>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</si>
  <si>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</si>
  <si>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</si>
  <si>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</si>
  <si>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</si>
  <si>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</si>
  <si>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</si>
  <si>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</si>
  <si>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</si>
  <si>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</si>
  <si>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</si>
  <si>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</si>
  <si>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</si>
  <si>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</si>
  <si>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</si>
  <si>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</si>
  <si>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</si>
  <si>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</si>
  <si>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</si>
  <si>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</si>
  <si>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</si>
  <si>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</si>
  <si>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</si>
  <si>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</si>
  <si>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</si>
  <si>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</si>
  <si>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</si>
  <si>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</si>
  <si>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</si>
  <si>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</si>
  <si>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</si>
  <si>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</si>
  <si>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</si>
  <si>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</si>
  <si>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</si>
  <si>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</si>
  <si>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</si>
  <si>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</si>
  <si>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</si>
  <si>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</si>
  <si>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</si>
  <si>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</si>
  <si>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</si>
  <si>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</si>
  <si>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</si>
  <si>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</si>
  <si>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</si>
  <si>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</si>
  <si>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</si>
  <si>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</si>
  <si>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</si>
  <si>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</si>
  <si>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</si>
  <si>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</si>
  <si>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</si>
  <si>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</si>
  <si>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</si>
  <si>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</si>
  <si>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</si>
  <si>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</si>
  <si>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</si>
  <si>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</si>
  <si>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</si>
  <si>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</si>
  <si>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</si>
  <si>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</si>
  <si>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</si>
  <si>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</si>
  <si>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</si>
  <si>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</si>
  <si>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</si>
  <si>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</si>
  <si>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</si>
  <si>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</si>
  <si>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</si>
  <si>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</si>
  <si>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</si>
  <si>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</si>
  <si>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</si>
  <si>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</si>
  <si>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</si>
  <si>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</si>
  <si>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</si>
  <si>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</si>
  <si>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</si>
  <si>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</si>
  <si>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</si>
  <si>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</si>
  <si>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</si>
  <si>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</si>
  <si>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</si>
  <si>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</si>
  <si>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</si>
  <si>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</si>
  <si>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</si>
  <si>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</si>
  <si>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</si>
  <si>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</si>
  <si>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</si>
  <si>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</si>
  <si>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</si>
  <si>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</si>
  <si>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</si>
  <si>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</si>
  <si>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</si>
  <si>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</si>
  <si>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</si>
  <si>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</si>
  <si>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</si>
  <si>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</si>
  <si>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</si>
  <si>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</si>
  <si>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</si>
  <si>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</si>
  <si>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</si>
  <si>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</si>
  <si>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</si>
  <si>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</si>
  <si>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</si>
  <si>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</si>
  <si>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</si>
  <si>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</si>
  <si>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</si>
  <si>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</si>
  <si>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</si>
  <si>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</si>
  <si>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</si>
  <si>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</si>
  <si>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</si>
  <si>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</si>
  <si>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</si>
  <si>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</si>
  <si>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</si>
  <si>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</si>
  <si>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</si>
  <si>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</si>
  <si>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</si>
  <si>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</si>
  <si>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</si>
  <si>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</si>
  <si>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</si>
  <si>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</si>
  <si>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</si>
  <si>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</si>
  <si>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</si>
  <si>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</si>
  <si>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</si>
  <si>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</si>
  <si>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</si>
  <si>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</si>
  <si>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</si>
  <si>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</si>
  <si>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</si>
  <si>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</si>
  <si>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</si>
  <si>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</si>
  <si>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</si>
  <si>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</si>
  <si>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</si>
  <si>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</si>
  <si>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</si>
  <si>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</si>
  <si>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</si>
  <si>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</si>
  <si>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</si>
  <si>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</si>
  <si>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</si>
  <si>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</si>
  <si>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</si>
  <si>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</si>
  <si>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</si>
  <si>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</si>
  <si>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</si>
  <si>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</si>
  <si>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</si>
  <si>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</si>
  <si>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</si>
  <si>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</si>
  <si>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</si>
  <si>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</si>
  <si>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</si>
  <si>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</si>
  <si>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</si>
  <si>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</si>
  <si>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</si>
  <si>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</si>
  <si>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</si>
  <si>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</si>
  <si>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</si>
  <si>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</si>
  <si>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</si>
  <si>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</si>
  <si>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</si>
  <si>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</si>
  <si>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</si>
  <si>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</si>
  <si>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</si>
  <si>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</si>
  <si>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</si>
  <si>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</si>
  <si>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</si>
  <si>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</si>
  <si>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</si>
  <si>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</si>
  <si>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</si>
  <si>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</si>
  <si>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</si>
  <si>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</si>
  <si>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</si>
  <si>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</si>
  <si>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</si>
  <si>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</si>
  <si>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</si>
  <si>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</si>
  <si>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</si>
  <si>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</si>
  <si>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</si>
  <si>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</si>
  <si>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</si>
  <si>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</si>
  <si>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</si>
  <si>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</si>
  <si>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</si>
  <si>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</si>
  <si>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</si>
  <si>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</si>
  <si>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</si>
  <si>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</si>
  <si>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</si>
  <si>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</si>
  <si>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</si>
  <si>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</si>
  <si>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</si>
  <si>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</si>
  <si>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</si>
  <si>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</si>
  <si>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</si>
  <si>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</si>
  <si>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</si>
  <si>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</si>
  <si>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</si>
  <si>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</si>
  <si>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</si>
  <si>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</si>
  <si>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</si>
  <si>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</si>
  <si>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</si>
  <si>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</si>
  <si>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</si>
  <si>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</si>
  <si>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</si>
  <si>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</si>
  <si>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</si>
  <si>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</si>
  <si>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</si>
  <si>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</si>
  <si>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</si>
  <si>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</si>
  <si>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</si>
  <si>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</si>
  <si>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</si>
  <si>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</si>
  <si>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</si>
  <si>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</si>
  <si>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</si>
  <si>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</si>
  <si>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</si>
  <si>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</si>
  <si>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</si>
  <si>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</si>
  <si>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</si>
  <si>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</si>
  <si>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</si>
  <si>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</si>
  <si>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</si>
  <si>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</si>
  <si>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</si>
  <si>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</si>
  <si>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</si>
  <si>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</si>
  <si>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</si>
  <si>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</si>
  <si>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</si>
  <si>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</si>
  <si>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</si>
  <si>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</si>
  <si>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</si>
  <si>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</si>
  <si>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</si>
  <si>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</si>
  <si>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</si>
  <si>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</si>
  <si>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</si>
  <si>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</si>
  <si>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</si>
  <si>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</si>
  <si>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</si>
  <si>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</si>
  <si>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</si>
  <si>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</si>
  <si>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</si>
  <si>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</si>
  <si>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</si>
  <si>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</si>
  <si>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</si>
  <si>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</si>
  <si>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</si>
  <si>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</si>
  <si>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</si>
  <si>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</si>
  <si>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</si>
  <si>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</si>
  <si>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</si>
  <si>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</si>
  <si>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</si>
  <si>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</si>
  <si>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</si>
  <si>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</si>
  <si>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</si>
  <si>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</si>
  <si>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</si>
  <si>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</si>
  <si>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</si>
  <si>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</si>
  <si>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</si>
  <si>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</si>
  <si>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</si>
  <si>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</si>
  <si>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</si>
  <si>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</si>
  <si>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</si>
  <si>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</si>
  <si>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</si>
  <si>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</si>
  <si>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</si>
  <si>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</si>
  <si>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</si>
  <si>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</si>
  <si>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</si>
  <si>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</si>
  <si>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</si>
  <si>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</si>
  <si>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</si>
  <si>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</si>
  <si>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</si>
  <si>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</si>
  <si>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</si>
  <si>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</si>
  <si>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</si>
  <si>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</si>
  <si>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</si>
  <si>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</si>
  <si>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</si>
  <si>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</si>
  <si>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</si>
  <si>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</si>
  <si>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</si>
  <si>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</si>
  <si>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</si>
  <si>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</si>
  <si>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</si>
  <si>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</si>
  <si>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</si>
  <si>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</si>
  <si>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</si>
  <si>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</si>
  <si>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</si>
  <si>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</si>
  <si>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</si>
  <si>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</si>
  <si>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</si>
  <si>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</si>
  <si>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</si>
  <si>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</si>
  <si>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</si>
  <si>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</si>
  <si>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</si>
  <si>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</si>
  <si>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</si>
  <si>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</si>
  <si>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</si>
  <si>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</si>
  <si>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</si>
  <si>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</si>
  <si>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</si>
  <si>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</si>
  <si>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</si>
  <si>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</si>
  <si>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</si>
  <si>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</si>
  <si>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</si>
  <si>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</si>
  <si>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</si>
  <si>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</si>
  <si>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</si>
  <si>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</si>
  <si>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</si>
  <si>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</si>
  <si>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</si>
  <si>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</si>
  <si>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</si>
  <si>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</si>
  <si>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</si>
  <si>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</si>
  <si>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</si>
  <si>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</si>
  <si>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</si>
  <si>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</si>
  <si>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</si>
  <si>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</si>
  <si>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</si>
  <si>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</si>
  <si>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</si>
  <si>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</si>
  <si>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</si>
  <si>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</si>
  <si>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</si>
  <si>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</si>
  <si>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</si>
  <si>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</si>
  <si>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</si>
  <si>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</si>
  <si>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</si>
  <si>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</si>
  <si>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</si>
  <si>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</si>
  <si>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</si>
  <si>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</si>
  <si>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</si>
  <si>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</si>
  <si>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</si>
  <si>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</si>
  <si>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</si>
  <si>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</si>
  <si>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</si>
  <si>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</si>
  <si>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</si>
  <si>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</si>
  <si>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</si>
  <si>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</si>
  <si>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</si>
  <si>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</si>
  <si>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</si>
  <si>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</si>
  <si>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</si>
  <si>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</si>
  <si>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</si>
  <si>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</si>
  <si>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</si>
  <si>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</si>
  <si>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</si>
  <si>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</si>
  <si>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</si>
  <si>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</si>
  <si>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</si>
  <si>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</si>
  <si>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</si>
  <si>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</si>
  <si>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</si>
  <si>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</si>
  <si>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</si>
  <si>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</si>
  <si>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</si>
  <si>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</si>
  <si>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</si>
  <si>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</si>
  <si>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</si>
  <si>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</si>
  <si>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</si>
  <si>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</si>
  <si>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</si>
  <si>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</si>
  <si>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</si>
  <si>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</si>
  <si>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</si>
  <si>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</si>
  <si>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</si>
  <si>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</si>
  <si>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</si>
  <si>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</si>
  <si>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</si>
  <si>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</si>
  <si>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</si>
  <si>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</si>
  <si>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</si>
  <si>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</si>
  <si>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</si>
  <si>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</si>
  <si>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</si>
  <si>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</si>
  <si>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</si>
  <si>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</si>
  <si>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</si>
  <si>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</si>
  <si>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</si>
  <si>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</si>
  <si>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</si>
  <si>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</si>
  <si>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</si>
  <si>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</si>
  <si>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</si>
  <si>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</si>
  <si>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</si>
  <si>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</si>
  <si>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</si>
  <si>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</si>
  <si>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</si>
  <si>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</si>
  <si>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</si>
  <si>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</si>
  <si>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</si>
  <si>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</si>
  <si>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</si>
  <si>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</si>
  <si>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</si>
  <si>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</si>
  <si>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</si>
  <si>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</si>
  <si>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</si>
  <si>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</si>
  <si>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</si>
  <si>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</si>
  <si>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</si>
  <si>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</si>
  <si>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</si>
  <si>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</si>
  <si>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</si>
  <si>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</si>
  <si>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</si>
  <si>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</si>
  <si>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</si>
  <si>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</si>
  <si>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</si>
  <si>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</si>
  <si>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</si>
  <si>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</si>
  <si>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</si>
  <si>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</si>
  <si>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</si>
  <si>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</si>
  <si>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</si>
  <si>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</si>
  <si>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</si>
  <si>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</si>
  <si>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</si>
  <si>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</si>
  <si>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</si>
  <si>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</si>
  <si>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</si>
  <si>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</si>
  <si>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</si>
  <si>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</si>
  <si>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</si>
  <si>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</si>
  <si>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</si>
  <si>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</si>
  <si>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</si>
  <si>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</si>
  <si>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</si>
  <si>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</si>
  <si>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</si>
  <si>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</si>
  <si>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</si>
  <si>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</si>
  <si>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</si>
  <si>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</si>
  <si>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</si>
  <si>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</si>
  <si>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</si>
  <si>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</si>
  <si>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</si>
  <si>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</si>
  <si>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</si>
  <si>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</si>
  <si>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</si>
  <si>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</si>
  <si>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</si>
  <si>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</si>
  <si>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</si>
  <si>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</si>
  <si>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</si>
  <si>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</si>
  <si>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</si>
  <si>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</si>
  <si>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</si>
  <si>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</si>
  <si>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</si>
  <si>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</si>
  <si>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</si>
  <si>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</si>
  <si>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</si>
  <si>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</si>
  <si>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</si>
  <si>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</si>
  <si>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</si>
  <si>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</si>
  <si>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</si>
  <si>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</si>
  <si>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</si>
  <si>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</si>
  <si>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</si>
  <si>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</si>
  <si>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</si>
  <si>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</si>
  <si>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</si>
  <si>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</si>
  <si>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</si>
  <si>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</si>
  <si>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</si>
  <si>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</si>
  <si>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</si>
  <si>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</si>
  <si>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</si>
  <si>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</si>
  <si>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</si>
  <si>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</si>
  <si>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</si>
  <si>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</si>
  <si>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</si>
  <si>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</si>
  <si>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</si>
  <si>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</si>
  <si>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</si>
  <si>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</si>
  <si>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</si>
  <si>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</si>
  <si>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</si>
  <si>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</si>
  <si>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</si>
  <si>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</si>
  <si>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</si>
  <si>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</si>
  <si>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</si>
  <si>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</si>
  <si>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</si>
  <si>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</si>
  <si>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</si>
  <si>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</si>
  <si>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</si>
  <si>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</si>
  <si>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</si>
  <si>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</si>
  <si>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</si>
  <si>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</si>
  <si>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</si>
  <si>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</si>
  <si>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</si>
  <si>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</si>
  <si>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</si>
  <si>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</si>
  <si>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</si>
  <si>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</si>
  <si>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</si>
  <si>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</si>
  <si>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</si>
  <si>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</si>
  <si>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</si>
  <si>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</si>
  <si>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</si>
  <si>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</si>
  <si>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</si>
  <si>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</si>
  <si>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</si>
  <si>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</si>
  <si>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</si>
  <si>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</si>
  <si>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</si>
  <si>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</si>
  <si>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</si>
  <si>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</si>
  <si>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</si>
  <si>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</si>
  <si>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</si>
  <si>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</si>
  <si>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</si>
  <si>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</si>
  <si>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</si>
  <si>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</si>
  <si>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</si>
  <si>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</si>
  <si>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</si>
  <si>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</si>
  <si>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</si>
  <si>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</si>
  <si>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</si>
  <si>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</si>
  <si>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</si>
  <si>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</si>
  <si>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</si>
  <si>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</si>
  <si>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</si>
  <si>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</si>
  <si>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</si>
  <si>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</si>
  <si>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</si>
  <si>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</si>
  <si>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</si>
  <si>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</si>
  <si>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</si>
  <si>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</si>
  <si>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</si>
  <si>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</si>
  <si>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</si>
  <si>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</si>
  <si>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</si>
  <si>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</si>
  <si>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</si>
  <si>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</si>
  <si>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</si>
  <si>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</si>
  <si>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</si>
  <si>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</si>
  <si>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</si>
  <si>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</si>
  <si>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</si>
  <si>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</si>
  <si>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</si>
  <si>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</si>
  <si>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</si>
  <si>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</si>
  <si>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</si>
  <si>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</si>
  <si>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</si>
  <si>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</si>
  <si>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</si>
  <si>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</si>
  <si>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</si>
  <si>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</si>
  <si>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</si>
  <si>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</si>
  <si>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</si>
  <si>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</si>
  <si>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</si>
  <si>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</si>
  <si>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</si>
  <si>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</si>
  <si>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</si>
  <si>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</si>
  <si>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</si>
  <si>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</si>
  <si>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</si>
  <si>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</si>
  <si>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</si>
  <si>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</si>
  <si>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</si>
  <si>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</si>
  <si>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</si>
  <si>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</si>
  <si>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</si>
  <si>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</si>
  <si>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</si>
  <si>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</si>
  <si>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</si>
  <si>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</si>
  <si>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</si>
  <si>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</si>
  <si>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</si>
  <si>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</si>
  <si>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</si>
  <si>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</si>
  <si>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</si>
  <si>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</si>
  <si>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</si>
  <si>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</si>
  <si>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</si>
  <si>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</si>
  <si>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</si>
  <si>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</si>
  <si>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</si>
  <si>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</si>
  <si>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</si>
  <si>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</si>
  <si>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</si>
  <si>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</si>
  <si>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</si>
  <si>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</si>
  <si>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</si>
  <si>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</si>
  <si>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</si>
  <si>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</si>
  <si>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</si>
  <si>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</si>
  <si>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</si>
  <si>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</si>
  <si>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</si>
  <si>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</si>
  <si>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</si>
  <si>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</si>
  <si>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</si>
  <si>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</si>
  <si>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</si>
  <si>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</si>
  <si>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</si>
  <si>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</si>
  <si>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</si>
  <si>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</si>
  <si>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</si>
  <si>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</si>
  <si>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</si>
  <si>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</si>
  <si>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</si>
  <si>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</si>
  <si>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</si>
  <si>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</si>
  <si>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</si>
  <si>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</si>
  <si>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</si>
  <si>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</si>
  <si>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</si>
  <si>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</si>
  <si>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</si>
  <si>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</si>
  <si>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</si>
  <si>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</si>
  <si>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</si>
  <si>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</si>
  <si>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</si>
  <si>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</si>
  <si>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</si>
  <si>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</si>
  <si>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</si>
  <si>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</si>
  <si>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</si>
  <si>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</si>
  <si>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</si>
  <si>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</si>
  <si>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</si>
  <si>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</si>
  <si>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</si>
  <si>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</si>
  <si>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</si>
  <si>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</si>
  <si>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</si>
  <si>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</si>
  <si>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</si>
  <si>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</si>
  <si>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</si>
  <si>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</si>
  <si>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</si>
  <si>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</si>
  <si>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</si>
  <si>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</si>
  <si>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</si>
  <si>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</si>
  <si>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</si>
  <si>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</si>
  <si>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</si>
  <si>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</si>
  <si>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</si>
  <si>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</si>
  <si>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</si>
  <si>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</si>
  <si>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</si>
  <si>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</si>
  <si>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</si>
  <si>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</si>
  <si>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</si>
  <si>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</si>
  <si>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</si>
  <si>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</si>
  <si>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</si>
  <si>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</si>
  <si>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</si>
  <si>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</si>
  <si>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</si>
  <si>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</si>
  <si>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</si>
  <si>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</si>
  <si>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</si>
  <si>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</si>
  <si>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</si>
  <si>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</si>
  <si>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</si>
  <si>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</si>
  <si>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</si>
  <si>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</si>
  <si>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</si>
  <si>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</si>
  <si>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</si>
  <si>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</si>
  <si>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</si>
  <si>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</si>
  <si>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</si>
  <si>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</si>
  <si>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</si>
  <si>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</si>
  <si>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</si>
  <si>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</si>
  <si>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</si>
  <si>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</si>
  <si>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</si>
  <si>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</si>
  <si>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</si>
  <si>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</si>
  <si>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</si>
  <si>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</si>
  <si>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</si>
  <si>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</si>
  <si>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</si>
  <si>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</si>
  <si>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</si>
  <si>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</si>
  <si>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</si>
  <si>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</si>
  <si>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</si>
  <si>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</si>
  <si>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</si>
  <si>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</si>
  <si>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</si>
  <si>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</si>
  <si>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</si>
  <si>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</si>
  <si>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</si>
  <si>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</si>
  <si>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</si>
  <si>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</si>
  <si>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</si>
  <si>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</si>
  <si>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</si>
  <si>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</si>
  <si>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</si>
  <si>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</si>
  <si>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</si>
  <si>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</si>
  <si>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</si>
  <si>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</si>
  <si>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</si>
  <si>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</si>
  <si>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</si>
  <si>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</si>
  <si>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</si>
  <si>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</si>
  <si>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</si>
  <si>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</si>
  <si>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</si>
  <si>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</si>
  <si>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</si>
  <si>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</si>
  <si>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</si>
  <si>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</si>
  <si>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</si>
  <si>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</si>
  <si>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</si>
  <si>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</si>
  <si>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</si>
  <si>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</si>
  <si>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</si>
  <si>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</si>
  <si>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</si>
  <si>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</si>
  <si>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</si>
  <si>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</si>
  <si>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</si>
  <si>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</si>
  <si>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</si>
  <si>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</si>
  <si>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</si>
  <si>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</si>
  <si>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</si>
  <si>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</si>
  <si>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</si>
  <si>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</si>
  <si>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</si>
  <si>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</si>
  <si>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</si>
  <si>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</si>
  <si>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</si>
  <si>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</si>
  <si>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</si>
  <si>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</si>
  <si>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</si>
  <si>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</si>
  <si>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</si>
  <si>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</si>
  <si>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</si>
  <si>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</si>
  <si>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</si>
  <si>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</si>
  <si>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</si>
  <si>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</si>
  <si>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</si>
  <si>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</si>
  <si>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</si>
  <si>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</si>
  <si>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</si>
  <si>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</si>
  <si>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</si>
  <si>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</si>
  <si>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</si>
  <si>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</si>
  <si>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</si>
  <si>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</si>
  <si>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</si>
  <si>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</si>
  <si>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</si>
  <si>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</si>
  <si>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</si>
  <si>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</si>
  <si>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</si>
  <si>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</si>
  <si>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</si>
  <si>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</si>
  <si>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</si>
  <si>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</si>
  <si>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</si>
  <si>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</si>
  <si>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</si>
  <si>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</si>
  <si>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</si>
  <si>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</si>
  <si>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</si>
  <si>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</si>
  <si>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</si>
  <si>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</si>
  <si>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</si>
  <si>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</si>
  <si>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</si>
  <si>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</si>
  <si>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</si>
  <si>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</si>
  <si>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</si>
  <si>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</si>
  <si>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</si>
  <si>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</si>
  <si>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</si>
  <si>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</si>
  <si>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</si>
  <si>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</si>
  <si>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</si>
  <si>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</si>
  <si>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</si>
  <si>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</si>
  <si>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</si>
  <si>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</si>
  <si>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</si>
  <si>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</si>
  <si>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</si>
  <si>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</si>
  <si>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</si>
  <si>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</si>
  <si>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</si>
  <si>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</si>
  <si>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</si>
  <si>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</si>
  <si>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</si>
  <si>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</si>
  <si>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</si>
  <si>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</si>
  <si>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</si>
  <si>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</si>
  <si>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</si>
  <si>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</si>
  <si>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</si>
  <si>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</si>
  <si>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</si>
  <si>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</si>
  <si>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</si>
  <si>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</si>
  <si>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</si>
  <si>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</si>
  <si>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</si>
  <si>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</si>
  <si>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</si>
  <si>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</si>
  <si>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</si>
  <si>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</si>
  <si>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</si>
  <si>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</si>
  <si>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</si>
  <si>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</si>
  <si>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</si>
  <si>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</si>
  <si>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</si>
  <si>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</si>
  <si>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</si>
  <si>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</si>
  <si>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</si>
  <si>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</si>
  <si>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</si>
  <si>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</si>
  <si>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</si>
  <si>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</si>
  <si>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</si>
  <si>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</si>
  <si>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</si>
  <si>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</si>
  <si>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</si>
  <si>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</si>
  <si>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</si>
  <si>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</si>
  <si>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</si>
  <si>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</si>
  <si>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</si>
  <si>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</si>
  <si>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</si>
  <si>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</si>
  <si>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</si>
  <si>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</si>
  <si>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</si>
  <si>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</si>
  <si>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</si>
  <si>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</si>
  <si>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</si>
  <si>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</si>
  <si>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</si>
  <si>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</si>
  <si>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</si>
  <si>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</si>
  <si>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</si>
  <si>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</si>
  <si>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</si>
  <si>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</si>
  <si>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</si>
  <si>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</si>
  <si>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</si>
  <si>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</si>
  <si>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</si>
  <si>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</si>
  <si>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</si>
  <si>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</si>
  <si>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</si>
  <si>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</si>
  <si>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</si>
  <si>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</si>
  <si>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</si>
  <si>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</si>
  <si>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</si>
  <si>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</si>
  <si>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</si>
  <si>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</si>
  <si>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</si>
  <si>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</si>
  <si>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</si>
  <si>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</si>
  <si>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</si>
  <si>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</si>
  <si>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</si>
  <si>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</si>
  <si>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</si>
  <si>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</si>
  <si>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</si>
  <si>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</si>
  <si>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</si>
  <si>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</si>
  <si>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</si>
  <si>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</si>
  <si>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</si>
  <si>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</si>
  <si>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</si>
  <si>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</si>
  <si>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</si>
  <si>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</si>
  <si>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</si>
  <si>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</si>
  <si>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</si>
  <si>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</si>
  <si>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</si>
  <si>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</si>
  <si>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</si>
  <si>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</si>
  <si>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</si>
  <si>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</si>
  <si>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</si>
  <si>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</si>
  <si>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</si>
  <si>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</si>
  <si>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</si>
  <si>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</si>
  <si>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</si>
  <si>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</si>
  <si>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</si>
  <si>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</si>
  <si>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</si>
  <si>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</si>
  <si>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</si>
  <si>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</si>
  <si>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</si>
  <si>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</si>
  <si>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</si>
  <si>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</si>
  <si>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</si>
  <si>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</si>
  <si>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</si>
  <si>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</si>
  <si>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</si>
  <si>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</si>
  <si>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</si>
  <si>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</si>
  <si>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</si>
  <si>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</si>
  <si>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</si>
  <si>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</si>
  <si>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</si>
  <si>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Jan</t>
  </si>
  <si>
    <t>Feb</t>
  </si>
  <si>
    <t>Mar</t>
  </si>
  <si>
    <t>Apr</t>
  </si>
  <si>
    <t>May</t>
  </si>
  <si>
    <t>Jun</t>
  </si>
  <si>
    <t>Sum of Sales</t>
  </si>
  <si>
    <t>Sum of Profit</t>
  </si>
  <si>
    <t>Sales By Month</t>
  </si>
  <si>
    <t>Total Sales</t>
  </si>
  <si>
    <t>Total Profit</t>
  </si>
  <si>
    <t>sales By Sub-Category</t>
  </si>
  <si>
    <t>Sub-Category</t>
  </si>
  <si>
    <t>Sales By State</t>
  </si>
  <si>
    <t>Sales By Region</t>
  </si>
  <si>
    <t>State</t>
  </si>
  <si>
    <t>Top 5 Customer Sales</t>
  </si>
  <si>
    <t>Sales By Ship Mode</t>
  </si>
  <si>
    <t xml:space="preserve">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</si>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</sst>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4009]\ * #,##0.00_ ;_ [$₹-4009]\ * \-#,##0.00_ ;_ [$₹-4009]\ * &quot;-&quot;??_ ;_ @_ "/>
    <numFmt numFmtId="165" formatCode="_ [$₹-4009]\ * #,##0_ ;_ [$₹-4009]\ * \-#,##0_ ;_ [$₹-4009]\ * &quot;-&quot;??_ ;_ @_ "/>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5" fontId="0" fillId="0" borderId="0" xfId="0" applyNumberFormat="1"/>
    <xf numFmtId="0" fontId="1" fillId="2" borderId="0" xfId="0" applyFont="1" applyFill="1"/>
    <xf numFmtId="165" fontId="1" fillId="0" borderId="0" xfId="0" applyNumberFormat="1" applyFont="1"/>
    <xf numFmtId="0" fontId="0" fillId="0" borderId="0" xfId="0" applyNumberFormat="1"/>
  </cellXfs>
  <cellStyles count="1">
    <cellStyle name="Normal" xfId="0" builtinId="0"/>
  </cellStyles>
  <dxfs count="28">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0"/>
        <color theme="0"/>
      </font>
      <fill>
        <patternFill>
          <bgColor rgb="FF0C769E"/>
        </patternFill>
      </fill>
      <border>
        <left style="medium">
          <color rgb="FF084F6A"/>
        </left>
        <right style="medium">
          <color rgb="FF084F6A"/>
        </right>
        <top style="medium">
          <color rgb="FF084F6A"/>
        </top>
        <bottom style="medium">
          <color rgb="FF084F6A"/>
        </bottom>
      </border>
    </dxf>
    <dxf>
      <font>
        <b/>
        <i val="0"/>
        <strike val="0"/>
        <sz val="10"/>
        <color theme="0"/>
      </font>
      <fill>
        <patternFill>
          <bgColor rgb="FF0C769E"/>
        </patternFill>
      </fill>
      <border diagonalUp="0" diagonalDown="0">
        <left/>
        <right/>
        <top/>
        <bottom/>
        <vertical/>
        <horizontal/>
      </border>
    </dxf>
  </dxfs>
  <tableStyles count="1" defaultTableStyle="TableStyleMedium2" defaultPivotStyle="PivotStyleLight16">
    <tableStyle name="Slicer Style 1" pivot="0" table="0" count="10" xr9:uid="{CF933505-379E-4201-B40A-9DB07A35DC15}">
      <tableStyleElement type="wholeTable" dxfId="27"/>
      <tableStyleElement type="headerRow" dxfId="26"/>
    </tableStyle>
  </tableStyles>
  <colors>
    <mruColors>
      <color rgb="FF084F6A"/>
      <color rgb="FFFEFFFF"/>
      <color rgb="FF0C769E"/>
      <color rgb="FF0F9ED5"/>
      <color rgb="FF0B76A0"/>
      <color rgb="FFF0F8FD"/>
      <color rgb="FF1A5B7A"/>
      <color rgb="FF1A5B81"/>
    </mruColors>
  </colors>
  <extLst>
    <ext xmlns:x14="http://schemas.microsoft.com/office/spreadsheetml/2009/9/main" uri="{46F421CA-312F-682f-3DD2-61675219B42D}">
      <x14:dxfs count="8">
        <dxf>
          <font>
            <b/>
            <i val="0"/>
            <sz val="10"/>
            <color theme="0"/>
          </font>
          <fill>
            <patternFill>
              <bgColor rgb="FF0C769E"/>
            </patternFill>
          </fill>
          <border>
            <left style="medium">
              <color rgb="FFFEFFFF"/>
            </left>
            <right style="medium">
              <color rgb="FFFEFFFF"/>
            </right>
            <top style="medium">
              <color rgb="FFFEFFFF"/>
            </top>
            <bottom style="medium">
              <color rgb="FFFEFFFF"/>
            </bottom>
          </border>
        </dxf>
        <dxf>
          <font>
            <b/>
            <i val="0"/>
            <sz val="10"/>
            <color theme="0"/>
          </font>
          <fill>
            <patternFill>
              <bgColor rgb="FF0C769E"/>
            </patternFill>
          </fill>
          <border>
            <left style="medium">
              <color rgb="FFFEFFFF"/>
            </left>
            <right style="medium">
              <color rgb="FFFEFFFF"/>
            </right>
            <top style="medium">
              <color rgb="FFFEFFFF"/>
            </top>
            <bottom style="medium">
              <color rgb="FFFEFFFF"/>
            </bottom>
          </border>
        </dxf>
        <dxf>
          <font>
            <b/>
            <i val="0"/>
            <sz val="10"/>
            <color theme="0"/>
          </font>
          <fill>
            <patternFill>
              <bgColor rgb="FF0C769E"/>
            </patternFill>
          </fill>
          <border>
            <left style="medium">
              <color rgb="FFFEFFFF"/>
            </left>
            <right style="medium">
              <color rgb="FFFEFFFF"/>
            </right>
            <top style="medium">
              <color rgb="FFFEFFFF"/>
            </top>
            <bottom style="medium">
              <color rgb="FFFEFFFF"/>
            </bottom>
          </border>
        </dxf>
        <dxf>
          <font>
            <b/>
            <i val="0"/>
            <sz val="10"/>
            <color theme="0"/>
          </font>
          <fill>
            <patternFill>
              <bgColor rgb="FF0C769E"/>
            </patternFill>
          </fill>
          <border>
            <left style="medium">
              <color theme="0"/>
            </left>
            <right style="medium">
              <color theme="0"/>
            </right>
            <top style="medium">
              <color theme="0"/>
            </top>
            <bottom style="medium">
              <color theme="0"/>
            </bottom>
          </border>
        </dxf>
        <dxf>
          <font>
            <b/>
            <i val="0"/>
            <sz val="10"/>
            <color theme="0"/>
          </font>
          <fill>
            <patternFill>
              <bgColor rgb="FF0C769E"/>
            </patternFill>
          </fill>
          <border>
            <left style="thick">
              <color auto="1"/>
            </left>
            <right style="thick">
              <color auto="1"/>
            </right>
            <top style="thick">
              <color auto="1"/>
            </top>
            <bottom style="thick">
              <color auto="1"/>
            </bottom>
          </border>
        </dxf>
        <dxf>
          <font>
            <b/>
            <i val="0"/>
            <sz val="10"/>
            <color theme="0"/>
          </font>
          <fill>
            <patternFill>
              <bgColor rgb="FF0C769E"/>
            </patternFill>
          </fill>
          <border>
            <left style="thin">
              <color rgb="FFFEFFFF"/>
            </left>
            <right style="thin">
              <color rgb="FFFEFFFF"/>
            </right>
            <top style="thin">
              <color rgb="FFFEFFFF"/>
            </top>
            <bottom style="thin">
              <color rgb="FFFEFFFF"/>
            </bottom>
          </border>
        </dxf>
        <dxf>
          <font>
            <b/>
            <i val="0"/>
            <sz val="10"/>
            <color theme="0"/>
          </font>
          <fill>
            <patternFill>
              <bgColor rgb="FF0C769E"/>
            </patternFill>
          </fill>
          <border>
            <left style="medium">
              <color rgb="FFFEFFFF"/>
            </left>
            <right style="medium">
              <color rgb="FFFEFFFF"/>
            </right>
            <top style="medium">
              <color rgb="FFFEFFFF"/>
            </top>
            <bottom style="medium">
              <color rgb="FFFEFFFF"/>
            </bottom>
          </border>
        </dxf>
        <dxf>
          <font>
            <b/>
            <i val="0"/>
            <sz val="10"/>
            <color theme="0"/>
          </font>
          <fill>
            <patternFill>
              <bgColor rgb="FF0C769E"/>
            </patternFill>
          </fill>
          <border>
            <left style="medium">
              <color rgb="FFFEFFFF"/>
            </left>
            <right style="medium">
              <color rgb="FFFEFFFF"/>
            </right>
            <top style="medium">
              <color rgb="FFFEFFFF"/>
            </top>
            <bottom style="medium">
              <color rgb="FFFEFFFF"/>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Dashboard.xlsx]pivot!PivotTable4</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latin typeface="+mn-lt"/>
              </a:rPr>
              <a:t>Sales</a:t>
            </a:r>
            <a:r>
              <a:rPr lang="en-IN" sz="1200" b="1" baseline="0">
                <a:solidFill>
                  <a:schemeClr val="tx1"/>
                </a:solidFill>
                <a:latin typeface="+mn-lt"/>
              </a:rPr>
              <a:t> By Month</a:t>
            </a:r>
            <a:endParaRPr lang="en-IN" sz="1200" b="1">
              <a:solidFill>
                <a:schemeClr val="tx1"/>
              </a:solidFill>
              <a:latin typeface="+mn-lt"/>
            </a:endParaRPr>
          </a:p>
        </c:rich>
      </c:tx>
      <c:layout>
        <c:manualLayout>
          <c:xMode val="edge"/>
          <c:yMode val="edge"/>
          <c:x val="0.33226922905823214"/>
          <c:y val="1.4285714285714285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31261770244823E-2"/>
          <c:y val="0.18635714285714286"/>
          <c:w val="0.93973634651600757"/>
          <c:h val="0.48454724409448824"/>
        </c:manualLayout>
      </c:layout>
      <c:barChart>
        <c:barDir val="col"/>
        <c:grouping val="clustered"/>
        <c:varyColors val="0"/>
        <c:ser>
          <c:idx val="0"/>
          <c:order val="0"/>
          <c:tx>
            <c:strRef>
              <c:f>pivot!$E$4:$E$5</c:f>
              <c:strCache>
                <c:ptCount val="1"/>
                <c:pt idx="0">
                  <c:v>Furniture</c:v>
                </c:pt>
              </c:strCache>
            </c:strRef>
          </c:tx>
          <c:spPr>
            <a:solidFill>
              <a:srgbClr val="0F9ED5"/>
            </a:solidFill>
            <a:ln>
              <a:noFill/>
            </a:ln>
            <a:effectLst/>
          </c:spPr>
          <c:invertIfNegative val="0"/>
          <c:cat>
            <c:strRef>
              <c:f>pivot!$D$6:$D$11</c:f>
              <c:strCache>
                <c:ptCount val="6"/>
                <c:pt idx="0">
                  <c:v>Jan</c:v>
                </c:pt>
                <c:pt idx="1">
                  <c:v>Feb</c:v>
                </c:pt>
                <c:pt idx="2">
                  <c:v>Mar</c:v>
                </c:pt>
                <c:pt idx="3">
                  <c:v>Apr</c:v>
                </c:pt>
                <c:pt idx="4">
                  <c:v>May</c:v>
                </c:pt>
                <c:pt idx="5">
                  <c:v>Jun</c:v>
                </c:pt>
              </c:strCache>
            </c:strRef>
          </c:cat>
          <c:val>
            <c:numRef>
              <c:f>pivot!$E$6:$E$11</c:f>
              <c:numCache>
                <c:formatCode>_ [$₹-4009]\ * #,##0.00_ ;_ [$₹-4009]\ * \-#,##0.00_ ;_ [$₹-4009]\ * "-"??_ ;_ @_ </c:formatCode>
                <c:ptCount val="6"/>
                <c:pt idx="0">
                  <c:v>87567.19</c:v>
                </c:pt>
                <c:pt idx="1">
                  <c:v>125695.12</c:v>
                </c:pt>
                <c:pt idx="2">
                  <c:v>88442.880000000005</c:v>
                </c:pt>
                <c:pt idx="3">
                  <c:v>117546.3</c:v>
                </c:pt>
                <c:pt idx="4">
                  <c:v>112351.57000000004</c:v>
                </c:pt>
                <c:pt idx="5">
                  <c:v>129101.25000000003</c:v>
                </c:pt>
              </c:numCache>
            </c:numRef>
          </c:val>
          <c:extLst>
            <c:ext xmlns:c16="http://schemas.microsoft.com/office/drawing/2014/chart" uri="{C3380CC4-5D6E-409C-BE32-E72D297353CC}">
              <c16:uniqueId val="{00000000-3782-40FE-A9A9-CD5649EB8BB9}"/>
            </c:ext>
          </c:extLst>
        </c:ser>
        <c:ser>
          <c:idx val="1"/>
          <c:order val="1"/>
          <c:tx>
            <c:strRef>
              <c:f>pivot!$F$4:$F$5</c:f>
              <c:strCache>
                <c:ptCount val="1"/>
                <c:pt idx="0">
                  <c:v>Office Supplies</c:v>
                </c:pt>
              </c:strCache>
            </c:strRef>
          </c:tx>
          <c:spPr>
            <a:solidFill>
              <a:srgbClr val="0B76A0"/>
            </a:solidFill>
            <a:ln>
              <a:noFill/>
            </a:ln>
            <a:effectLst/>
          </c:spPr>
          <c:invertIfNegative val="0"/>
          <c:cat>
            <c:strRef>
              <c:f>pivot!$D$6:$D$11</c:f>
              <c:strCache>
                <c:ptCount val="6"/>
                <c:pt idx="0">
                  <c:v>Jan</c:v>
                </c:pt>
                <c:pt idx="1">
                  <c:v>Feb</c:v>
                </c:pt>
                <c:pt idx="2">
                  <c:v>Mar</c:v>
                </c:pt>
                <c:pt idx="3">
                  <c:v>Apr</c:v>
                </c:pt>
                <c:pt idx="4">
                  <c:v>May</c:v>
                </c:pt>
                <c:pt idx="5">
                  <c:v>Jun</c:v>
                </c:pt>
              </c:strCache>
            </c:strRef>
          </c:cat>
          <c:val>
            <c:numRef>
              <c:f>pivot!$F$6:$F$11</c:f>
              <c:numCache>
                <c:formatCode>_ [$₹-4009]\ * #,##0.00_ ;_ [$₹-4009]\ * \-#,##0.00_ ;_ [$₹-4009]\ * "-"??_ ;_ @_ </c:formatCode>
                <c:ptCount val="6"/>
                <c:pt idx="0">
                  <c:v>68993.720000000016</c:v>
                </c:pt>
                <c:pt idx="1">
                  <c:v>42256.709999999977</c:v>
                </c:pt>
                <c:pt idx="2">
                  <c:v>68019.710000000021</c:v>
                </c:pt>
                <c:pt idx="3">
                  <c:v>181592.14999999997</c:v>
                </c:pt>
                <c:pt idx="4">
                  <c:v>110338.52999999996</c:v>
                </c:pt>
                <c:pt idx="5">
                  <c:v>80167.800000000017</c:v>
                </c:pt>
              </c:numCache>
            </c:numRef>
          </c:val>
          <c:extLst>
            <c:ext xmlns:c16="http://schemas.microsoft.com/office/drawing/2014/chart" uri="{C3380CC4-5D6E-409C-BE32-E72D297353CC}">
              <c16:uniqueId val="{00000001-3782-40FE-A9A9-CD5649EB8BB9}"/>
            </c:ext>
          </c:extLst>
        </c:ser>
        <c:ser>
          <c:idx val="2"/>
          <c:order val="2"/>
          <c:tx>
            <c:strRef>
              <c:f>pivot!$G$4:$G$5</c:f>
              <c:strCache>
                <c:ptCount val="1"/>
                <c:pt idx="0">
                  <c:v>Technology</c:v>
                </c:pt>
              </c:strCache>
            </c:strRef>
          </c:tx>
          <c:spPr>
            <a:solidFill>
              <a:srgbClr val="084F6A"/>
            </a:solidFill>
            <a:ln>
              <a:noFill/>
            </a:ln>
            <a:effectLst/>
          </c:spPr>
          <c:invertIfNegative val="0"/>
          <c:cat>
            <c:strRef>
              <c:f>pivot!$D$6:$D$11</c:f>
              <c:strCache>
                <c:ptCount val="6"/>
                <c:pt idx="0">
                  <c:v>Jan</c:v>
                </c:pt>
                <c:pt idx="1">
                  <c:v>Feb</c:v>
                </c:pt>
                <c:pt idx="2">
                  <c:v>Mar</c:v>
                </c:pt>
                <c:pt idx="3">
                  <c:v>Apr</c:v>
                </c:pt>
                <c:pt idx="4">
                  <c:v>May</c:v>
                </c:pt>
                <c:pt idx="5">
                  <c:v>Jun</c:v>
                </c:pt>
              </c:strCache>
            </c:strRef>
          </c:cat>
          <c:val>
            <c:numRef>
              <c:f>pivot!$G$6:$G$11</c:f>
              <c:numCache>
                <c:formatCode>_ [$₹-4009]\ * #,##0.00_ ;_ [$₹-4009]\ * \-#,##0.00_ ;_ [$₹-4009]\ * "-"??_ ;_ @_ </c:formatCode>
                <c:ptCount val="6"/>
                <c:pt idx="0">
                  <c:v>118206.01000000001</c:v>
                </c:pt>
                <c:pt idx="1">
                  <c:v>158149.64000000001</c:v>
                </c:pt>
                <c:pt idx="2">
                  <c:v>115234.08000000002</c:v>
                </c:pt>
                <c:pt idx="3">
                  <c:v>90693.499999999985</c:v>
                </c:pt>
                <c:pt idx="4">
                  <c:v>83881.970000000016</c:v>
                </c:pt>
                <c:pt idx="5">
                  <c:v>146099.75</c:v>
                </c:pt>
              </c:numCache>
            </c:numRef>
          </c:val>
          <c:extLst>
            <c:ext xmlns:c16="http://schemas.microsoft.com/office/drawing/2014/chart" uri="{C3380CC4-5D6E-409C-BE32-E72D297353CC}">
              <c16:uniqueId val="{00000002-3782-40FE-A9A9-CD5649EB8BB9}"/>
            </c:ext>
          </c:extLst>
        </c:ser>
        <c:dLbls>
          <c:showLegendKey val="0"/>
          <c:showVal val="0"/>
          <c:showCatName val="0"/>
          <c:showSerName val="0"/>
          <c:showPercent val="0"/>
          <c:showBubbleSize val="0"/>
        </c:dLbls>
        <c:gapWidth val="150"/>
        <c:axId val="1119410880"/>
        <c:axId val="1119417120"/>
      </c:barChart>
      <c:catAx>
        <c:axId val="111941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j-lt"/>
                <a:ea typeface="+mn-ea"/>
                <a:cs typeface="+mn-cs"/>
              </a:defRPr>
            </a:pPr>
            <a:endParaRPr lang="en-US"/>
          </a:p>
        </c:txPr>
        <c:crossAx val="1119417120"/>
        <c:crosses val="autoZero"/>
        <c:auto val="1"/>
        <c:lblAlgn val="ctr"/>
        <c:lblOffset val="100"/>
        <c:noMultiLvlLbl val="0"/>
      </c:catAx>
      <c:valAx>
        <c:axId val="1119417120"/>
        <c:scaling>
          <c:orientation val="minMax"/>
        </c:scaling>
        <c:delete val="1"/>
        <c:axPos val="l"/>
        <c:numFmt formatCode="_ [$₹-4009]\ * #,##0.00_ ;_ [$₹-4009]\ * \-#,##0.00_ ;_ [$₹-4009]\ * &quot;-&quot;??_ ;_ @_ " sourceLinked="1"/>
        <c:majorTickMark val="none"/>
        <c:minorTickMark val="none"/>
        <c:tickLblPos val="nextTo"/>
        <c:crossAx val="111941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Dashboard.xlsx]pivot!PivotTable6</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900" b="1">
                <a:solidFill>
                  <a:schemeClr val="tx1"/>
                </a:solidFill>
              </a:rPr>
              <a:t>Sales By Region</a:t>
            </a:r>
          </a:p>
        </c:rich>
      </c:tx>
      <c:layout>
        <c:manualLayout>
          <c:xMode val="edge"/>
          <c:yMode val="edge"/>
          <c:x val="0.36072383361016186"/>
          <c:y val="6.0518737273490585E-4"/>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a:outerShdw blurRad="50800" dist="38100" dir="2700000" algn="tl" rotWithShape="0">
              <a:prstClr val="black">
                <a:alpha val="40000"/>
              </a:prstClr>
            </a:outerShdw>
          </a:effectLst>
        </c:spPr>
      </c:pivotFmt>
      <c:pivotFmt>
        <c:idx val="8"/>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pivotFmt>
      <c:pivotFmt>
        <c:idx val="9"/>
        <c:spPr>
          <a:solidFill>
            <a:schemeClr val="accent1">
              <a:lumMod val="60000"/>
              <a:lumOff val="40000"/>
            </a:schemeClr>
          </a:solidFill>
          <a:ln w="19050">
            <a:solidFill>
              <a:schemeClr val="lt1"/>
            </a:solidFill>
          </a:ln>
          <a:effectLst>
            <a:outerShdw blurRad="50800" dist="38100" dir="2700000" algn="tl" rotWithShape="0">
              <a:prstClr val="black">
                <a:alpha val="40000"/>
              </a:prstClr>
            </a:outerShdw>
          </a:effectLst>
        </c:spPr>
      </c:pivotFmt>
      <c:pivotFmt>
        <c:idx val="10"/>
        <c:spPr>
          <a:solidFill>
            <a:srgbClr val="00B0F0"/>
          </a:solidFill>
          <a:ln w="19050">
            <a:solidFill>
              <a:schemeClr val="lt1"/>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5,26777</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03252630804326"/>
                  <c:h val="0.14437292296637824"/>
                </c:manualLayout>
              </c15:layout>
              <c15:showDataLabelsRange val="0"/>
            </c:ext>
          </c:extLst>
        </c:dLbl>
      </c:pivotFmt>
      <c:pivotFmt>
        <c:idx val="11"/>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a:outerShdw blurRad="50800" dist="38100" dir="2700000" algn="tl" rotWithShape="0">
              <a:prstClr val="black">
                <a:alpha val="40000"/>
              </a:prstClr>
            </a:outerShdw>
          </a:effectLst>
        </c:spPr>
      </c:pivotFmt>
      <c:pivotFmt>
        <c:idx val="13"/>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pivotFmt>
      <c:pivotFmt>
        <c:idx val="14"/>
        <c:spPr>
          <a:solidFill>
            <a:schemeClr val="accent1">
              <a:lumMod val="60000"/>
              <a:lumOff val="40000"/>
            </a:schemeClr>
          </a:solidFill>
          <a:ln w="19050">
            <a:solidFill>
              <a:schemeClr val="lt1"/>
            </a:solidFill>
          </a:ln>
          <a:effectLst>
            <a:outerShdw blurRad="50800" dist="38100" dir="2700000" algn="tl" rotWithShape="0">
              <a:prstClr val="black">
                <a:alpha val="40000"/>
              </a:prstClr>
            </a:outerShdw>
          </a:effectLst>
        </c:spPr>
      </c:pivotFmt>
      <c:pivotFmt>
        <c:idx val="15"/>
        <c:spPr>
          <a:solidFill>
            <a:srgbClr val="00B0F0"/>
          </a:solidFill>
          <a:ln w="19050">
            <a:solidFill>
              <a:schemeClr val="lt1"/>
            </a:solidFill>
          </a:ln>
          <a:effectLst>
            <a:outerShdw blurRad="50800" dist="38100" dir="2700000" algn="tl" rotWithShape="0">
              <a:prstClr val="black">
                <a:alpha val="40000"/>
              </a:prstClr>
            </a:outerShdw>
          </a:effectLst>
        </c:spPr>
      </c:pivotFmt>
      <c:pivotFmt>
        <c:idx val="1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a:outerShdw blurRad="50800" dist="38100" dir="2700000" algn="tl" rotWithShape="0">
              <a:prstClr val="black">
                <a:alpha val="40000"/>
              </a:prstClr>
            </a:outerShdw>
          </a:effectLst>
        </c:spPr>
      </c:pivotFmt>
      <c:pivotFmt>
        <c:idx val="18"/>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pivotFmt>
      <c:pivotFmt>
        <c:idx val="19"/>
        <c:spPr>
          <a:solidFill>
            <a:schemeClr val="accent1">
              <a:lumMod val="60000"/>
              <a:lumOff val="40000"/>
            </a:schemeClr>
          </a:solidFill>
          <a:ln w="19050">
            <a:solidFill>
              <a:schemeClr val="lt1"/>
            </a:solidFill>
          </a:ln>
          <a:effectLst>
            <a:outerShdw blurRad="50800" dist="38100" dir="2700000" algn="tl" rotWithShape="0">
              <a:prstClr val="black">
                <a:alpha val="40000"/>
              </a:prstClr>
            </a:outerShdw>
          </a:effectLst>
        </c:spPr>
      </c:pivotFmt>
      <c:pivotFmt>
        <c:idx val="20"/>
        <c:spPr>
          <a:solidFill>
            <a:srgbClr val="00B0F0"/>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0.2218294208551034"/>
          <c:y val="0.22033531930181732"/>
          <c:w val="0.42117043196703213"/>
          <c:h val="0.72104377952755905"/>
        </c:manualLayout>
      </c:layout>
      <c:doughnutChart>
        <c:varyColors val="1"/>
        <c:ser>
          <c:idx val="0"/>
          <c:order val="0"/>
          <c:tx>
            <c:strRef>
              <c:f>pivot!$Q$5</c:f>
              <c:strCache>
                <c:ptCount val="1"/>
                <c:pt idx="0">
                  <c:v>Total</c:v>
                </c:pt>
              </c:strCache>
            </c:strRef>
          </c:tx>
          <c:spPr>
            <a:effectLst>
              <a:outerShdw blurRad="50800" dist="38100" dir="2700000" algn="tl" rotWithShape="0">
                <a:prstClr val="black">
                  <a:alpha val="40000"/>
                </a:prstClr>
              </a:outerShdw>
            </a:effectLst>
          </c:spPr>
          <c:explosion val="7"/>
          <c:dPt>
            <c:idx val="0"/>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C23-4D13-AC3C-C17ADE26B90C}"/>
              </c:ext>
            </c:extLst>
          </c:dPt>
          <c:dPt>
            <c:idx val="1"/>
            <c:bubble3D val="0"/>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C23-4D13-AC3C-C17ADE26B90C}"/>
              </c:ext>
            </c:extLst>
          </c:dPt>
          <c:dPt>
            <c:idx val="2"/>
            <c:bubble3D val="0"/>
            <c:spPr>
              <a:solidFill>
                <a:schemeClr val="accent1">
                  <a:lumMod val="60000"/>
                  <a:lumOff val="4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C23-4D13-AC3C-C17ADE26B90C}"/>
              </c:ext>
            </c:extLst>
          </c:dPt>
          <c:dPt>
            <c:idx val="3"/>
            <c:bubble3D val="0"/>
            <c:spPr>
              <a:solidFill>
                <a:srgbClr val="00B0F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6C23-4D13-AC3C-C17ADE26B90C}"/>
              </c:ext>
            </c:extLst>
          </c:dPt>
          <c:cat>
            <c:strRef>
              <c:f>pivot!$P$6:$P$9</c:f>
              <c:strCache>
                <c:ptCount val="4"/>
                <c:pt idx="0">
                  <c:v>Central</c:v>
                </c:pt>
                <c:pt idx="1">
                  <c:v>East</c:v>
                </c:pt>
                <c:pt idx="2">
                  <c:v>South</c:v>
                </c:pt>
                <c:pt idx="3">
                  <c:v>West</c:v>
                </c:pt>
              </c:strCache>
            </c:strRef>
          </c:cat>
          <c:val>
            <c:numRef>
              <c:f>pivot!$Q$6:$Q$9</c:f>
              <c:numCache>
                <c:formatCode>_ [$₹-4009]\ * #,##0_ ;_ [$₹-4009]\ * \-#,##0_ ;_ [$₹-4009]\ * "-"??_ ;_ @_ </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8-6C23-4D13-AC3C-C17ADE26B90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073691889147323"/>
          <c:y val="0.25727651473167429"/>
          <c:w val="0.2052645522113474"/>
          <c:h val="0.495474386994401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Dashboard.xlsx]pivot!PivotTable8</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900" b="1">
                <a:solidFill>
                  <a:schemeClr val="tx1"/>
                </a:solidFill>
              </a:rPr>
              <a:t>Top</a:t>
            </a:r>
            <a:r>
              <a:rPr lang="en-US" sz="900" b="1" baseline="0">
                <a:solidFill>
                  <a:schemeClr val="tx1"/>
                </a:solidFill>
              </a:rPr>
              <a:t> 5 Customer Sales</a:t>
            </a:r>
            <a:endParaRPr lang="en-US" sz="900" b="1">
              <a:solidFill>
                <a:schemeClr val="tx1"/>
              </a:solidFill>
            </a:endParaRPr>
          </a:p>
        </c:rich>
      </c:tx>
      <c:layout>
        <c:manualLayout>
          <c:xMode val="edge"/>
          <c:yMode val="edge"/>
          <c:x val="0.35825156470825764"/>
          <c:y val="2.8268551236749116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F9ED5"/>
          </a:solidFill>
          <a:ln>
            <a:noFill/>
          </a:ln>
          <a:effectLst/>
        </c:spPr>
        <c:marker>
          <c:symbol val="none"/>
        </c:marker>
        <c:dLbl>
          <c:idx val="0"/>
          <c:spPr>
            <a:solidFill>
              <a:srgbClr val="0F9E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521869206908576"/>
          <c:y val="0.18181159420289858"/>
          <c:w val="0.57349925664886292"/>
          <c:h val="0.73847826086956525"/>
        </c:manualLayout>
      </c:layout>
      <c:barChart>
        <c:barDir val="bar"/>
        <c:grouping val="clustered"/>
        <c:varyColors val="0"/>
        <c:ser>
          <c:idx val="0"/>
          <c:order val="0"/>
          <c:tx>
            <c:strRef>
              <c:f>pivot!$Y$6</c:f>
              <c:strCache>
                <c:ptCount val="1"/>
                <c:pt idx="0">
                  <c:v>Total</c:v>
                </c:pt>
              </c:strCache>
            </c:strRef>
          </c:tx>
          <c:spPr>
            <a:solidFill>
              <a:srgbClr val="0F9ED5"/>
            </a:solidFill>
            <a:ln>
              <a:noFill/>
            </a:ln>
            <a:effectLst/>
          </c:spPr>
          <c:invertIfNegative val="0"/>
          <c:dLbls>
            <c:spPr>
              <a:solidFill>
                <a:srgbClr val="0F9E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pivot!$X$7:$X$11</c:f>
              <c:strCache>
                <c:ptCount val="5"/>
                <c:pt idx="0">
                  <c:v>Yvonne Mann</c:v>
                </c:pt>
                <c:pt idx="1">
                  <c:v>Rosemary O'Brien</c:v>
                </c:pt>
                <c:pt idx="2">
                  <c:v>Toni Swanson</c:v>
                </c:pt>
                <c:pt idx="3">
                  <c:v>Nina Horne Kelly</c:v>
                </c:pt>
                <c:pt idx="4">
                  <c:v>Kristine Connolly</c:v>
                </c:pt>
              </c:strCache>
            </c:strRef>
          </c:cat>
          <c:val>
            <c:numRef>
              <c:f>pivot!$Y$7:$Y$11</c:f>
              <c:numCache>
                <c:formatCode>_ [$₹-4009]\ * #,##0.00_ ;_ [$₹-4009]\ * \-#,##0.00_ ;_ [$₹-4009]\ * "-"??_ ;_ @_ </c:formatCode>
                <c:ptCount val="5"/>
                <c:pt idx="0">
                  <c:v>28779.129999999997</c:v>
                </c:pt>
                <c:pt idx="1">
                  <c:v>29916.01</c:v>
                </c:pt>
                <c:pt idx="2">
                  <c:v>32194.12</c:v>
                </c:pt>
                <c:pt idx="3">
                  <c:v>48295.12</c:v>
                </c:pt>
                <c:pt idx="4">
                  <c:v>50475.31</c:v>
                </c:pt>
              </c:numCache>
            </c:numRef>
          </c:val>
          <c:extLst>
            <c:ext xmlns:c16="http://schemas.microsoft.com/office/drawing/2014/chart" uri="{C3380CC4-5D6E-409C-BE32-E72D297353CC}">
              <c16:uniqueId val="{00000000-FA7E-4B38-8594-C4229F264AC5}"/>
            </c:ext>
          </c:extLst>
        </c:ser>
        <c:dLbls>
          <c:dLblPos val="inEnd"/>
          <c:showLegendKey val="0"/>
          <c:showVal val="1"/>
          <c:showCatName val="0"/>
          <c:showSerName val="0"/>
          <c:showPercent val="0"/>
          <c:showBubbleSize val="0"/>
        </c:dLbls>
        <c:gapWidth val="50"/>
        <c:axId val="1126510176"/>
        <c:axId val="1126514496"/>
      </c:barChart>
      <c:catAx>
        <c:axId val="112651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26514496"/>
        <c:crosses val="autoZero"/>
        <c:auto val="1"/>
        <c:lblAlgn val="ctr"/>
        <c:lblOffset val="100"/>
        <c:noMultiLvlLbl val="0"/>
      </c:catAx>
      <c:valAx>
        <c:axId val="1126514496"/>
        <c:scaling>
          <c:orientation val="minMax"/>
        </c:scaling>
        <c:delete val="1"/>
        <c:axPos val="b"/>
        <c:numFmt formatCode="_ [$₹-4009]\ * #,##0.00_ ;_ [$₹-4009]\ * \-#,##0.00_ ;_ [$₹-4009]\ * &quot;-&quot;??_ ;_ @_ " sourceLinked="1"/>
        <c:majorTickMark val="none"/>
        <c:minorTickMark val="none"/>
        <c:tickLblPos val="nextTo"/>
        <c:crossAx val="112651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Dashboard.xlsx]pivot!PivotTable10</c:name>
    <c:fmtId val="2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00" b="1">
                <a:solidFill>
                  <a:schemeClr val="tx1"/>
                </a:solidFill>
              </a:rPr>
              <a:t>Sales</a:t>
            </a:r>
            <a:r>
              <a:rPr lang="en-US" sz="1000" b="1" baseline="0">
                <a:solidFill>
                  <a:schemeClr val="tx1"/>
                </a:solidFill>
              </a:rPr>
              <a:t> By Ship Mode</a:t>
            </a:r>
            <a:endParaRPr lang="en-US" sz="1000" b="1">
              <a:solidFill>
                <a:schemeClr val="tx1"/>
              </a:solidFill>
            </a:endParaRPr>
          </a:p>
        </c:rich>
      </c:tx>
      <c:layout>
        <c:manualLayout>
          <c:xMode val="edge"/>
          <c:yMode val="edge"/>
          <c:x val="0.27090941195437712"/>
          <c:y val="2.6712323004568439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w="25400">
            <a:solidFill>
              <a:schemeClr val="lt1"/>
            </a:solidFill>
          </a:ln>
          <a:effectLst/>
          <a:sp3d contourW="25400">
            <a:contourClr>
              <a:schemeClr val="lt1"/>
            </a:contourClr>
          </a:sp3d>
        </c:spPr>
      </c:pivotFmt>
      <c:pivotFmt>
        <c:idx val="7"/>
        <c:spPr>
          <a:solidFill>
            <a:srgbClr val="084F6A"/>
          </a:solidFill>
          <a:ln w="25400">
            <a:solidFill>
              <a:schemeClr val="lt1"/>
            </a:solidFill>
          </a:ln>
          <a:effectLst/>
          <a:sp3d contourW="25400">
            <a:contourClr>
              <a:schemeClr val="lt1"/>
            </a:contourClr>
          </a:sp3d>
        </c:spPr>
      </c:pivotFmt>
      <c:pivotFmt>
        <c:idx val="8"/>
        <c:spPr>
          <a:solidFill>
            <a:schemeClr val="accent1">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pivot!$Y$13</c:f>
              <c:strCache>
                <c:ptCount val="1"/>
                <c:pt idx="0">
                  <c:v>Total</c:v>
                </c:pt>
              </c:strCache>
            </c:strRef>
          </c:tx>
          <c:dPt>
            <c:idx val="0"/>
            <c:bubble3D val="0"/>
            <c:spPr>
              <a:solidFill>
                <a:srgbClr val="0F9ED5"/>
              </a:solidFill>
              <a:ln w="25400">
                <a:solidFill>
                  <a:schemeClr val="lt1"/>
                </a:solidFill>
              </a:ln>
              <a:effectLst/>
              <a:sp3d contourW="25400">
                <a:contourClr>
                  <a:schemeClr val="lt1"/>
                </a:contourClr>
              </a:sp3d>
            </c:spPr>
            <c:extLst>
              <c:ext xmlns:c16="http://schemas.microsoft.com/office/drawing/2014/chart" uri="{C3380CC4-5D6E-409C-BE32-E72D297353CC}">
                <c16:uniqueId val="{00000001-CD87-4D24-AB2B-354448D4E2A1}"/>
              </c:ext>
            </c:extLst>
          </c:dPt>
          <c:dPt>
            <c:idx val="1"/>
            <c:bubble3D val="0"/>
            <c:spPr>
              <a:solidFill>
                <a:srgbClr val="084F6A"/>
              </a:solidFill>
              <a:ln w="25400">
                <a:solidFill>
                  <a:schemeClr val="lt1"/>
                </a:solidFill>
              </a:ln>
              <a:effectLst/>
              <a:sp3d contourW="25400">
                <a:contourClr>
                  <a:schemeClr val="lt1"/>
                </a:contourClr>
              </a:sp3d>
            </c:spPr>
            <c:extLst>
              <c:ext xmlns:c16="http://schemas.microsoft.com/office/drawing/2014/chart" uri="{C3380CC4-5D6E-409C-BE32-E72D297353CC}">
                <c16:uniqueId val="{00000003-CD87-4D24-AB2B-354448D4E2A1}"/>
              </c:ext>
            </c:extLst>
          </c:dPt>
          <c:dPt>
            <c:idx val="2"/>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CD87-4D24-AB2B-354448D4E2A1}"/>
              </c:ext>
            </c:extLst>
          </c:dPt>
          <c:cat>
            <c:strRef>
              <c:f>pivot!$X$14:$X$16</c:f>
              <c:strCache>
                <c:ptCount val="3"/>
                <c:pt idx="0">
                  <c:v>Regular Air</c:v>
                </c:pt>
                <c:pt idx="1">
                  <c:v>Delivery Truck</c:v>
                </c:pt>
                <c:pt idx="2">
                  <c:v>Express Air</c:v>
                </c:pt>
              </c:strCache>
            </c:strRef>
          </c:cat>
          <c:val>
            <c:numRef>
              <c:f>pivot!$Y$14:$Y$16</c:f>
              <c:numCache>
                <c:formatCode>_ [$₹-4009]\ * #,##0.00_ ;_ [$₹-4009]\ * \-#,##0.00_ ;_ [$₹-4009]\ * "-"??_ ;_ @_ </c:formatCode>
                <c:ptCount val="3"/>
                <c:pt idx="0">
                  <c:v>990052.19999999902</c:v>
                </c:pt>
                <c:pt idx="1">
                  <c:v>789235.4600000002</c:v>
                </c:pt>
                <c:pt idx="2">
                  <c:v>145050.22000000009</c:v>
                </c:pt>
              </c:numCache>
            </c:numRef>
          </c:val>
          <c:extLst>
            <c:ext xmlns:c16="http://schemas.microsoft.com/office/drawing/2014/chart" uri="{C3380CC4-5D6E-409C-BE32-E72D297353CC}">
              <c16:uniqueId val="{00000006-CD87-4D24-AB2B-354448D4E2A1}"/>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2617874718092512"/>
          <c:y val="0.22655345128822105"/>
          <c:w val="0.25989267316496445"/>
          <c:h val="0.682280405073798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txPr>
        <a:bodyPr spcFirstLastPara="1" vertOverflow="ellipsis" horzOverflow="overflow" wrap="square" lIns="0" tIns="0" rIns="0" bIns="0" anchor="ctr" anchorCtr="1"/>
        <a:lstStyle/>
        <a:p>
          <a:pPr algn="ctr" rtl="0">
            <a:defRPr sz="1100" b="1">
              <a:solidFill>
                <a:schemeClr val="tx1"/>
              </a:solidFill>
            </a:defRPr>
          </a:pPr>
          <a:r>
            <a:rPr lang="en-US" sz="1100" b="1" i="0" u="none" strike="noStrike" baseline="0">
              <a:solidFill>
                <a:schemeClr val="tx1"/>
              </a:solidFill>
              <a:latin typeface="Calibri" panose="020F0502020204030204"/>
            </a:rPr>
            <a:t>Sales By Category</a:t>
          </a:r>
        </a:p>
      </cx:txPr>
    </cx:title>
    <cx:plotArea>
      <cx:plotAreaRegion>
        <cx:series layoutId="funnel" uniqueId="{E53C390C-629F-4F4A-BDA9-46669E80B772}">
          <cx:tx>
            <cx:txData>
              <cx:f>_xlchart.v2.5</cx:f>
              <cx:v>Sales</cx:v>
            </cx:txData>
          </cx:tx>
          <cx:spPr>
            <a:solidFill>
              <a:srgbClr val="0F9ED5"/>
            </a:solidFill>
          </cx:spPr>
          <cx:dataLabels>
            <cx:txPr>
              <a:bodyPr vertOverflow="overflow" horzOverflow="overflow" wrap="square" lIns="0" tIns="0" rIns="0" bIns="0"/>
              <a:lstStyle/>
              <a:p>
                <a:pPr algn="ctr" rtl="0">
                  <a:defRPr lang="en-US" sz="1000" b="1" i="0" u="none" strike="noStrike" kern="1200" baseline="0">
                    <a:solidFill>
                      <a:schemeClr val="bg1"/>
                    </a:solidFill>
                    <a:latin typeface="+mn-lt"/>
                    <a:ea typeface="+mn-ea"/>
                    <a:cs typeface="+mn-cs"/>
                  </a:defRPr>
                </a:pPr>
                <a:endParaRPr lang="en-US" sz="1000" b="1" i="0" u="none" strike="noStrike" kern="1200" baseline="0">
                  <a:solidFill>
                    <a:schemeClr val="bg1"/>
                  </a:solidFill>
                  <a:latin typeface="+mn-lt"/>
                  <a:ea typeface="+mn-ea"/>
                  <a:cs typeface="+mn-cs"/>
                </a:endParaRPr>
              </a:p>
            </cx:txPr>
            <cx:visibility seriesName="0" categoryName="0" value="1"/>
            <cx:separator>, </cx:separator>
          </cx:dataLabels>
          <cx:dataId val="0"/>
        </cx:series>
      </cx:plotAreaRegion>
      <cx:axis id="0">
        <cx:catScaling gapWidth="0.0599999987"/>
        <cx:tickLabels/>
        <cx:txPr>
          <a:bodyPr vertOverflow="overflow" horzOverflow="overflow" wrap="square" lIns="0" tIns="0" rIns="0" bIns="0"/>
          <a:lstStyle/>
          <a:p>
            <a:pPr algn="ctr" rtl="0">
              <a:defRPr lang="en-US" sz="800" b="1" i="0" u="none" strike="noStrike" kern="1200" baseline="0">
                <a:solidFill>
                  <a:schemeClr val="tx1"/>
                </a:solidFill>
                <a:latin typeface="+mn-lt"/>
                <a:ea typeface="+mn-ea"/>
                <a:cs typeface="+mn-cs"/>
              </a:defRPr>
            </a:pPr>
            <a:endParaRPr lang="en-US" sz="800" b="1" i="0" u="none" strike="noStrike" kern="1200" baseline="0">
              <a:solidFill>
                <a:schemeClr val="tx1"/>
              </a:solidFill>
              <a:latin typeface="+mn-lt"/>
              <a:ea typeface="+mn-ea"/>
              <a:cs typeface="+mn-cs"/>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txPr>
        <a:bodyPr spcFirstLastPara="1" vertOverflow="ellipsis" horzOverflow="overflow" wrap="square" lIns="0" tIns="0" rIns="0" bIns="0" anchor="ctr" anchorCtr="1"/>
        <a:lstStyle/>
        <a:p>
          <a:pPr algn="ctr" rtl="0">
            <a:defRPr sz="1000" b="1">
              <a:solidFill>
                <a:schemeClr val="tx1"/>
              </a:solidFill>
            </a:defRPr>
          </a:pPr>
          <a:r>
            <a:rPr lang="en-US" sz="1000" b="1" i="0" u="none" strike="noStrike" baseline="0">
              <a:solidFill>
                <a:schemeClr val="tx1"/>
              </a:solidFill>
              <a:latin typeface="Calibri" panose="020F0502020204030204"/>
            </a:rPr>
            <a:t>Sales By State</a:t>
          </a:r>
        </a:p>
      </cx:txPr>
    </cx:title>
    <cx:plotArea>
      <cx:plotAreaRegion>
        <cx:series layoutId="regionMap" uniqueId="{0BB1D371-4B03-4D35-A36E-B92FB8861805}">
          <cx:tx>
            <cx:txData>
              <cx:f>_xlchart.v5.2</cx:f>
              <cx:v>Sales</cx:v>
            </cx:txData>
          </cx:tx>
          <cx:dataId val="0"/>
          <cx:layoutPr>
            <cx:geography cultureLanguage="en-US" cultureRegion="IN" attribution="Powered by Bing">
              <cx:geoCache provider="{E9337A44-BEBE-4D9F-B70C-5C5E7DAFC167}">
                <cx:binary>7H1pb9y4tu1fCfL5yS2Kg8iD0wdoqTyPbTtOJ1+Eiu3WPFGzfv1dcpUdW6k4PmhfXBTw3IPhqmJp
i4t7WnuT+vdt/6/b5H6pP/RpklX/uu1//xjUdfGv336rboP7dFntpOGtzqv873rnNk9/y//+O7y9
/+1OL7sw83+zTMJ+uw2Wur7vP/7n3/g2/z4/yW+XdZhnfzb3eri8r5qkrl55b+NbH5Z3aZgtwqrW
4W1Nfv+4l+Q6vFt+/HCf1WE9XA/F/e8fX3zo44ff5l/1w2U/JJCsbu4w1pI7XHFOGDVXP+TjhyTP
/PXbhrR2mLQps+T6A/Tx2mfLFOPfINCDOMu7O31fVbihh9/PBr6QHq+ffPxwmzdZPU2aj/n7/eOn
LKzv7z5c1cv6vvr4Iaxyd/UBN59u4dPVwz3/9nLa//Pv2QuYhdkrz5CZT9mv3voBmD+S5bdl+o7A
UGvHFoJZlmXPEBE7kpmUWqalVj8vEXmDJJsReRo4Q+SP7UTk87IKoJx1nj3Ozz/XFmbvMEIot6W9
mvoZNsQydzgXTJqMPKgTtGmlqStteZtMm+F5PnaG0Oc/tlJnbu51mmf14xS9Azxsx7S5hX9gpZ5b
MdvaEcISSki6wo0/XnSFyxsk2QzK08AZIjfXW4nI9X2/hIV9L+dCyQ4TVDJJVtpgzpyLUjsUhkzZ
9tqUycdrr2D5pTibQVkPm0Fy/ddWQnKu7/13NWF0R1EppKDiyX08V5WVCZPE5AzG7bnx+rUkm+F4
HDfD4/xyK/Fwc4Rgy7v8cW7+udWickcpybnJrI0hGKDYARiSCli154C8RZTNkHwfOQPFPd9KUM7u
uw9H97q6Hx5n6J/DwswdQpWpOF0bL2vmU9iOsCVH7L/WI/Z47ZXxeptMm/F5PnaG0NnRViJ0uqyq
5W3QVPd1/Y4ehlk7xLaozex1ejLzMDbZESZHtCxnxuzN8mwGaDZ8htHpdsZjf+hwzLPl4zL+5ypE
2Y6lqGVJwjaHywTwCMaV4GJTuPwGgTbD8zRwBswfX7dSedxlEv6d6yx8T2zsHYszIRRRm70OUTsC
umUTtjZwj+tiZd7eJtNmeJ6PnSHkbqfqHMMvN7fxO7ofau9wy7ak4N9j4+dxmuQ7lrRtm5K15Zul
NG+RaDM630fOsDn+spXas7hPlt1S3z+u33ewa2rHNKUtLMo3xtA2R94jBaNErt6fYfMWiTZj833k
DJvF7lZi84eOl1n1rjkn28GkS5OSNTbIKZ/rjQKhSRXhnMuV3Zth8xaJNmPzfeQMmz+2M9M5D8J3
zHIQTjPMOlG2udKJGS4gmvEOBdVsr3CZJTu/kmYzJqtRMzzOD7ZSV87u2+V7Uv8U7Au4SsbpZkQI
ETuCc4TOcqUq5NGCPiY4v5JnMyaP9zFD5exmK1Fx8yy7v63D2+Y9iUyyw21OOKV8Y3AGPtOmEnG1
NbNeb5RmMzAvBs/QcbeT0LzKmzr4sFjGef2OsTNj8CGCMG7/pAxgmjsWNZkiYkYKvFWezQC9HD1D
6GqxlfrzWNz8kP/9AbRUk3571ywH3JoJ7oxQAPE8DLDtHZMIS4GeXrmjGVD/rVibAdv8LTPgFu5W
AneK0s3yPdkCFNdA1EwRAnuKAJ5DRkxkpIwTS0xgPidC3yDKZnyeBs4gOb3eTkjCqsobHT7Ozjtk
OnKHChuh8rqeac5I0CmaRg5qE2tNEsz80ekbJPoJNE8j59hsJ0W9f59r/11NG2qaDDEAvMzGGEHS
HcYYqFFznejMAuo3CLQZmaeBM2D2t4O6uX21uWRlVlaK8+KT/2VfDYJr0M7cBgAbjRlKnyaZSjpq
TY3OTNqs5+XnYm3GaDb8xZ1sR0PNeZwsg/xdO2pQRpOUMbGOqX+oRoNxM6c2p8eoTj3a0VW+8xaJ
NqPxfeRMZc6Pt9LPHN4BmsfJ+edOBuE0ojDTth6Z5hk1QAhKbRzcgDRn7uWXgmzGYz1sBsbhYjvB
SJIwy8P3LKqh8gksYJ3WtgmK8DwQk2qHMDQQcPmd/nwejh2+QaKfAPM0co7NdvagHWZ34bvGyHAr
KNgoJh/ZSzj1F9AIVAUIslK0Bz78zBXm1wL9BJnHgXNgzrZSac5yDV7AXeocyvOOzACFj6GwVE+c
2qxB0IbqSFBqQqwKnqZ4NKNrTu3Ncm2GaX5fM7TOtjTVRC4w/VsU75nagEOzUMV5MmI/WjmUpS10
5axVaQbVlNq8QajNOL0YPAPp9GorVeow795RkdDYYdoI1Wy2mQxQFMGaaQpirt+fofMraTbDsho1
w+NwO/KaF1Jjq8DxexfWJHYCMHRq2uuMhrx0PQpUgUROg6xnxajNOm5+Lc9mTB7Hvbg/3N52asnn
IceODv/R6r9D8Gyhe1Chufkn9U5iIq3B/g4GdVnh8njtlcd5g0CbcXkaOAPm85etNF8neRNW7xys
mTsKjbSmEI8tgjONIShVE4n+qDUyMw7gTSJtBufZ0Bk8J9tpzU6XYXb/uHLfQWv4DkXzE2qf343V
8zhaqB2LoMIDH7SxPPBLcTbDsh42g+R0dys1ZhVrvnttDVtssGnARMlmNfOzsAz6hOaaqavwu1I9
Tz7fKtVmgF6OnuF0tp0EwelSD8kyu3s/7Zk61tGcBt15adBsgR4OgpbPR1IT2elzbN4iyWZcvo+c
YXK6pZiEt0HoL99zaxr6ntAGrVDrXOnNjERDvyB6pBWogfX7s4D59A0S/QSbp5FzbA630q59qpfB
47r9555m6rJBgzqaBde086yCRqYeaBtBgCVmiPxKjs1orEbNkPh0vZVInIboranet3VDwPErbHdG
i+DDzzyLYTtEoQgA//K4BlZx8ptk2QzJs6EzXE63lD27/6aXVbx8nKF/riUMDU9oNZ/0ZAXLTEtQ
LkMkPW0T3Ny1efYGiTaD833kDJuzLY3KsBXqYJkW2Pz8ni3PjO4IyZHIPHakwbU/D5ix0QbdUGio
MdfbCWbqM+1oepNYP0PpxfA5VNva0Nl9OL3vw9t3rKVhyw2zoEeErRVphhMxxQ5BlVMhwH5U3zX1
DIR+Lc3P4XkcO8fmdCtdz8V9llVD0i7fddMNmqClwp6btREz5yVodKVJKuVEsT0Fcc8D6LdKtRml
l6NnOF1sJy8w2ZUvuY4f1/I7uCIQalRZbDph4+FnpkHY3IGqgAlbuKYGZmHbWyTajM/3kTNszraT
UvscVrd5VoXvm+WgZQZ7csVaQWYZKErTNg4U4OgWeALvuQK9SaTN6DwbOoPn83bmOVcPvdH/CzVQ
nDBgggKwHk99mCmQnIwgutKQ+ayM3EyB3i7XZqDm42doXblb6ZAuAxx29OGwel8mB3G3sCQUZt0F
rWaswRTWEWz/mDbpPvwAy+f69FapNiP1cvQMp8vt1KprBA446Or+HclqNBVIhtTHXO/DmTfhyimn
pagAoZ798DOL7N4k0maEng2dwXO9nanr5/uq/nATohX3XQM7MKI4qwvnQoH9fPiZ9X3A5glE5Qi7
1826Mz16s1ibYZoNn0H1+WYrLd7/AkoohRJLKrS0r1CaWzugiNicoxdx9f4MpbdItBmg7yNn2Nz8
H4XdPz8K7+m0wMWyXu4+HDP47DS81999uHmcfTgbunYZG2PzlTc5vMNRhBQVt2dt1tOXvHA23+Pj
HwbdL6v6948G3JWcELYlQxOckDb/+KGDxk9vITIUpsWEZYPIwMkHiByzqdvq94+MoxcbzYyo1IKC
ksIGd1FNwRHeQrEJzXRcYZc9GoXQ2PV0vuNFngw4melpQtZ/f8ia9CIPs7r6/SOuXqw+Nd0fR9ce
tq6gNwwcClfoATPx/u3yEv0A+DD5f6QVZWuafn7YSiMO3Tjz+TnVXXE2Jp1EoePpZMcN10IQ9cO1
UF2eGpwUzqyTWOrPr9VWpjGWkmSHNu3I2dgO5CxqqLoZMAMnZTkq0F+vXW/6vtm9salXykbJFBUg
Obs3bVDLLqSJ66Uk9p3OLFLPifqRnNU9o4dZ7Qm6S3tJrjsRWuCrX7s4rOv84ty00a4qgR5OG5nd
bGmYVZ9XOjscdV3fpUlaCSchrTwZyNhf9t6objzL/NUtb5hijtlCIZlOa21aNs+nuK7qSHfSTg91
SvqLOAnquzZLw9FRoe4vfHP4ry+IJg/TxOWwetFmwyeBnq2fyDT6wqq0OggMLz+2ZSEXQ1Cr3VRS
4yv1WvHl9WklP8yrjU0MQloI/jC52Gvy8oJDRczR9/r2oMn7MnYa4VXW+TiWZuvIjmWpOzQhOZNJ
xg7tISaXZcuzm6wo7M4NRDxmjm9X9mU9WFbj6JY3rVMUQXVCetX/NVjyF6sAhON8HWDT7NS6jCUI
HtJiM3mzVEk/SuvmgNvUZ9dGanHvuPITs9zz81Iu0tIn3RHJgyHxnarm5Bo6OFwaKtEHlhkIcRRW
kh6mQ8GXPq20cAKRYC1VnpUfp6MkZ30YpMFRa1pJupvplpyllol5KGM+kkVjVX7kGDq0nG6wRrlX
8J6cGdo29G5jm/lxYQz9JalFf+GFykucUbc5/yZbWgwLoce+3ZVxaUXHmvL+QsBKiEUo21gdRGZr
fI6SQHmXpbY0lpwXlTRz7Gow/NyxxoCQe6zSPvQdEoZRf1oz1bI/+2zoTjIzSEJX8KhzWsWY5TwY
Aj2k0NO+rfoLo6v7CxWXWrq9VxZfmsgqvozapIeijevS7du2+CJT2l6Y2ICWuqocYb56M1K7EdF8
KbXZX+Y6IZaTtl7xhQZ1f2mUBrnmdSMX4RjyJU6htbLDbFD9F5HXVuMKRvIKM8v7y4Zp3GkRs85J
kwoXVFno3VhRHOtFIzu+TBrMoxxbzJtm5LpRAG2UpbrpypEvhSH6y9Cv1G5JO073hjyspat6Iyic
qvX6y9VaDSKfNm5Aw645DeO+ukui3AgdxnGz1tAW1X7VtcnoGnqIgyNle2F6GJdGmdYOeG/Z7NbM
Cj4HbaduZAF7uqjjxu5304FhnbSZYMu8ksWXwC+g/GWqTtSg1U2RpJHvsCzEyujjwnCZ3+fH2hwA
Py3y/qJphqJbtMLClEK7iy99H6Wp6+fxWO61jQZIKiD0sAmisHC6YrrXjqnEkX6uDx7mn/U1d2kj
2W4Q2/ZCSSOo3DJT5tnDZ2rPy9x0MCPYjTE4MHCvfwZ23S46X6m9pqywgINJPUQdd8VBVUWed0yq
1izctuqaRVz2Ul1S0yaaOjWKZ41TJ9KMzupSVAV3ZBpb/VUhMlP7jpf3XruXRObgeNTAgCwJiXnY
kdpue8dPjSw4qqo6NPYHs4m6Rekbg3dZFBlPnCDnvHCyoKm9E2tUwxehrO6uHYyydbuoGsOLbjCs
7nOF6Q/2qyxr9ysryDpnNOPcMWRruLkZh47BW455rq4L6gW7fTgEjpepYU/RxC2Dsj/saMn2ChnR
My7zxm3b7sBTQ39c+3l/LdImd4PCCwG7MZwxHgu3sgPyV2Va5aIIBuHUQ0/ODRHUl11QVr5Tey3/
WrNYMayvqqOur8L+uLWN9oDJ3E+dxrTyxDHz8Uzqxr8rK5hNkYb2URYG4qwwM+U5zciGE5J1KQDv
jSp3xsgP97NirO9UGJTdojIaP1xgcasj5tV9tlCsrZRDbNu7oVlVZwtisE914BtuqMtlRuzoLEpw
0ONB2VGYbGJTLDpttlhSQ8yru4DgDwd2ub+Em8NatrwsCA+E4cFLjzrcH6q6+MJJrW7SIWgix/Zl
yh3etv3l2AfeTR8gtigYKb4MVdwnTht3yz6X/k3EBQxmbsXXkWFGnyM9QrHUwOmhZ1bhfmhTeigL
ZQaOUl62gBvNrwVPd8cwyhYVbsPfIzSV/Igno6k+j1VBvqbaMMbDMWCNPKSpHmnnkqLq96gmOj7C
YT302+i3XOzqLD5KVOGddEbhX+gqCg59qa7tIChvklovh7SfrH9IbqpUNYuowTz1KoKd5wUJj1Re
WF8bw2s6Nwk687RQnX1lCRnbi7DtDjltjHZBu5K40Ev7mHm5lnsqs7LzvrH6Zm9k1k0ayGKR9xUb
nTYNugUbrNJ2jITx1kmpl51ltsG+JYTi8wU8lv7EA2V535TsQu2UZeHle6PMw8Sx/LhhblzFxkma
hA2mLvUKZ6y5/9dgy/wgZJk8twNqLiLc0r5NCh27g+VVX/JeIhYpai5PaBcabkxawFoqpXfDpGIw
Fizx9ZmW1XA40EieGf2gbnBkb5QujERUd2YSqRPucZi3WIxYNGWDlVL5plz4vTEtpcbPgoUf5OQM
pCxsaSks2PRI4XtaC9KIOlAnVQdo3CRRsINpE0EmWw6dExYMLwRxhiXYU1+diKQI04VvxbD3utUH
Q9DCDrbcr6p9xYU8UUViuJHMceUIziR1sWOsvygoLi94Vyb79gA/jpg/3KfeyJbjEMHgP5hAO2g8
vWsb/rT0OzMJLuouk5nTFB076ZrG3LcTPraOro3qLqMxPAehGivCGku+tBP4xyrksNMpDxO9GMo8
CRZJzW1EDAPymv2VWCTjOtkvgwiRhGcYcF+2hrUvE60P2qHpL+oWsW8qO7VLxiQbjqzOElnlNEPK
+lMifIu6plb5l84qi+Dc4i2kDtMC99q1Iy6Z6XCwL1lZJBW8hahZnjpJ4Jdx4nTSbG3b9Xsmjpq4
iko3LPlw5Rk5/yICAsM6aCM66Qrdh06cNFEFl0H8684e8wF2MxEnbKSygl20yVWSG+ZR0QTG37Uu
1X7QdKp3IDOinBC51o3Vd1gWMtHw5KWqyTXVJdyTr/ss3tM2i0dIEk4zWuZAPOED3HpTSA6HqWGq
rrwJ0SiigKlJseKSCjAapETWUFujqc0Frwoj3E0k98wbYgyMM8wTQssrQUOjuWpFn4jCDbvAD+Rl
EqPwBldVqJEWcI3lEO4NcWj45FMkES37+31Xc8cmCDcSM+e7ocm82PWSNFzUXeI5nRis/dRQiEFs
KzCPYqaDM5rWrRsawbCL/8pFD5b0KInG4hTwl5e5hGWJ28D4qzdUeGTUvue0VQDXM8j0wAdh5wy9
bewlTcdxH6VYZKYXOCAfjtlQeW6Z0j99CZNOtd/sEdMnCz2S1NF9Xx7mbe07fp2Qy4zBxDgIQ7QT
tTp0SIyIpBZp/LcRMr4n29w7UCPazp26bPMFNLBzYRX+znT5t5EM56pn3SHWNQKDpjTPVV2Y5zwd
2kVrpq6ohvSgb3i5i9jYu+pFM+xFcKKLqAy63Z6xc2bW7LS3muxPoA2/nPXJETxfus/S2HBsg9au
TMWur5LTJmaVQzFV5+ZQ+J8KQzRfdG7Rs7xNo9ylvokAsi/3E5VkC9Fe0JRcIvLLdi2jM//mwuNH
lLYsDJ3UUpGZOZndMU8eGNF4z0sBQFgDFd7DoUVdsEgbM8kRaBtt4RrwwJUzNO1kQQITFgL+Ctaw
jvLjprSMQ0GHsjit4gSLNA1gbUKhsSLH1gP2Xp8E1cUQd1Hotgi7F6+nUVPW8SI1liAi0C0JYoGA
gpin/WNrRQoerzgo+EPQ3/am5egp8H39Oj9kP1KiqELBZSDtxyMCZumh8oK6ifK6OEgyAWPc2Da5
LittJA7rSX4s2JS6PJjD16/7Q+qP62JPCMemNmyvRqb4MktESp7QKO+Lgz5KxLI2Un2QVn3S73V2
APuVp9lwKUQAW1y2U5T7+tXB28xnVyps0xJQcAhBZnc9VBHYEyLyg457SEBGqa1rOVndyK5g7Wu/
wP/NQiMtmSJvi0kY9wcR1hzZxQrLFdFzmxeDDv1g/SyPpz//c52n+PfhERPfX5weBfL9L7RYrp4h
8uqncLzC1JBRzT80SfP0XRBmLd3Ekr344wfK7iek3OqRJD95822MnY1DxJ+B9QNh9/2Y6e+E3WrM
mq8jJrZ5sekIHlR0CcXW1Se+bjrtBUsKW8BA56iJWv/O1xHwddPZi2hHQos+Oiuf+DoqsBsGHDzW
HIyAjS/5b/g6NpFWzzR3Is8envSA/kzKGbbdvlzZZhoUpmeMxrGsvTJSeyhoyqH5SyONzvRRZKZ2
WDoxWKkg2rerWoT8hKok7Xb9VOH0qNrh+cAK/4gpT8b0NDNwapQYHAMxuhnBTSU6rPabOKp7bz+W
IQ/DE+53bRk4I171mgOvHHGtTyZvkenCHzRp0wcnpE35MMZw+bbhBNLoXKMVMkuPcBoItCymXRIO
Tul5rfnFyrRXu7modTFcReUIA7Irmd/Zf8qgbwJ1Hob1blcrBpuZSstIXd5kYBaSRo/G4NiDATfp
c6SH/19rXmjN7fNzRh6rpg8890RLPbGbPyjN7OiO75rzQGetFUdgnSNHwv5I7NJ/UIJHxUERcCpy
oFgI2ho090T8rnlusONYxTYOHVmfHLcmuQna+amFg5egOTaOX8ITZx7NwgvbB2J//fdzkpuiSPJM
aaYr4hkC0E0QvtingRNqXipNQiKdkS7m95J4daN2rYIVRuKaRRuON5w3RbxkhubVXlYO1cAWtdXz
oHeN3DO/+ZlmGbJ4q4/tIxXwASGdMrLyoFNghk4TnoJCc/K458U3HtdRny8MIZIIGbdtM3Jv9/nQ
XCZBbydLKXnh3dKUluLMF2FZUCclYQVRWMF1eh4QE0nAwk+4jgsn73ianhB7KCGyn6ZkOLZSmkV/
G1WbY8wzSDdM0ktXPdG36DBC0gJvCfjgvV7OkU3SsAlEIO+9Ls+i8qBOWcIOEuTz2j4YK78OO3cM
CxwLnZheaHl7r1+eTNT0d8OG60+HNlE0OaETEHto1Yy6HiME+sIU4V1EYgqXXOeU0ykZt4wy2tN9
5+t6oYPaZ4FjMGMssouO0aGyXMJG0dGjWgRZFTt5XiL9PkN/QYn3XhdyctzPZLRxGBjFMROo1qHT
alqWL+eoD0LDCjQ17oShQbgu/NH27XIvkaymppPpWoivMTe9Go0ET+r2a2ym68LU2xYa9uFI6Py6
RTPkdm5QeecPWHOg9kxkW38FzLMy1DWisAnPM4Rade0EQY62/lUwsXo61YbLv4xncPopjPRUwrDg
IbAtwJ7FMz5vQ8PsA3pn2IldUpd3puBLKJJRH+ZjaCdnoUFyckrjcmiu4so0x8BBN3CCSXl9In6U
BP5v8sDYnzg19MxKOgGityQaTH3HRAeV2xuIGAmib901FdsNpcfEV91gCkqnEmgO/pqbQ6vVbhvm
ZtH9ApWXtTNMC7dw3BVO7Z025eMBP7PVAN9qRkOcebeeGpFl7+clCkzIy7y0UsP+gIgPS+T1+ycz
S4Zr4vBAaAkUFTHKDzUtX40RV0VtfEOvtZ0aBz38NhQi7fMAzyhruoiNzA3TarAKp1cWxUTw0Aya
q7QQ0eBmBtHZlUqDVGeLkufaukzbMKu+vS7mZE+f68kU8mOXPE7GQ/UD2jKzJU3ngX8vx/5br2uN
RWA2sQl8zL6j3HB6TVvjqrDiclKausunX2HhN7/A54fJwnGx2LCP+EVJRhlM20t1laVV1UMl8m9Z
wg3Y8AjWa0TFYTDrgR9Tj8PuVz747GUa8QwWVRepJvxAGpHRxk4ZwNpOln8IMCoLx6Q9ZiDMUW54
fbrIfFmj7QwNANa06QYICzHzTz3tskJlI/2Gqo4w0t2oroqkuSjHOiwytyuHEsIZdtrivXwo03xY
yHgcjKuuKLzDSukk8t10HM3hOA1KFDYdMO0CQVbDTSO5FKnyx9S1qOphEi0jGkh2ZI4qwbfGodeV
5S/UlCBIfrEAQCQg90H2gyeTCdRRZhYDKzMr26wtvto85xF3C5SysRQ9rwHX55IROToI8GFlPZOG
4b3mwZwUxJN4C8wIFeVe09Ff6xCbW3Gc1ohgBAV0ROyT7s6WRdzHVeoFefG10NCicpdWsWSnFgno
cEyrZsB0KA9lF1Cm/TDYThPorgxcGPxOXPrl6BkHOmXReKONphJnMhRTgNCzNk3UftzwCZ68ogpL
aGht3l4WOorHmzERcRc7ZpJMTivE7E9RcKYCvEiR4Y03Mu17YEd5NOBXNZp+LRcFr2i1J+xmwi7u
/RABRvlweVQWDbCWMu8jfEWO4AGSh0Y2xQZ1wdN42VciK4s91WrSXjGaj/WJ1rGnnSRJtZW6hu+l
/YHP4Fy/gHv02E1rtgSLzJY+4oy2zHKEKK8v9rnVxOyjIG/jLCdmCzzJZrY0qDdkPgFv+hW8UoXq
TG+ZdlE5XR7lySFtyg6G4vUrzq2RNZ3YYRH4bWxBUD9csdJmFXQp7b7QsZkWY9ewyfxZlR3DeYu2
5OKrF9ERi7CzmrryT20YFqzT18WYcsAXSkHx9ETLhq/AE3qQ08/JkJG2TWkokd6kqFPXqFvlDTfu
c5R/YI2CuMrIrvbsPLxoK+nD4hQBz/1dX9ZWmzso9ndJCyLSL48TT4qrnupEDk4FoqG9rKVhhm7J
R9AJWEQoYkQgE0EsMU+QSdkD5GuXeRsgujj0orieNL/FXvTz6WmPxeDQWNO+3X/9jud2TeIhNybC
Ddw17pYiMX5pgGPhoRRWVvantslMBLFcawtBbIs0rnMYgix2EJCux7LtY0Xxy68fIltDFNOSpqjG
Wd6V14tpSVtlOILHCQuLTiayHCuT7JUJqqTh/siHGFrndekUUxOQndBOm5RQo9dvyZpZNokICJm3
BasGBNFOPDPVqHCnYx5l1idZBxS6VRf+JEBtUJQI13qMnsgBsnkBShK1C1s5mRRdlHA0BqriwzHp
+fRSXqKIskQVwmYHYZdM81AOXS7OvLLHp0IU7vA1g5+Kai82bE1BhOuWVu4Af4Hb/cWtzTIA3Bp6
itAjDVVBBe6HlpW6j4mdNPnwifqomsUOaHYsLRDsYX5bmzK2Mmeo83K8sa1s8o+pkRMA0os08Yfd
MRWk9lHQNJruE6JUjeno7Ihi9dF2hDXJQkNhibEuKSbr1sBsHoRW0cGs1YhIcMGwRinOcpFjEUxF
6jNMRV3bgVG7HNUBqAQqUhH+Ws3PZAqnHYGvRdozHZUIFxBd2RZHRQHtGvNQl3QjE4Mojes2tXNY
h1V4awWyb2MXmWXgZ78yCzN3NF2Sof3KMuGW0NU8T7zMKEfUWvT2ddWgarisBzyuKtyH78f8sKhg
qAx4nYHKnSMSOmDCk9bLELLA6GGWOt0n9YUtKulFe17NJIwBFLK91NgrBw+QovJ8icosHNUaNr/s
Mkxln8gMugItmuDw434CwohCgl9qiFR7aeZpDkl4HMM3xaKe8tTXZ5sp+tIm4uYnJwAjgRMVEQXN
MxuEg5Xhm/1wHaCIDd67bmJauF5netGZsEamh90y0KKQjrJAwAeORlGnPDKThvbcKRDtGMcaJXx2
6qWBTd2yy3v/1gwT86DzGiYWsZ3lyR2LklFfprlI8fzkkSTdOWuJ2Y8LGWWKF26J+LFq9rqOy/ZM
l4HX545IzZScUFMTtcgyrYgb9XWjPQdVzHKMnCBrNetRU4pbKEM76m5InN7gEYv2lEUadiWSemC+
a/ak6Zp9FG0D4iF+8/z6sA5sRGauDaJ4HJHWYikWh308eI1TVkUk9lpl+3TBU6Mf0Z6WW+FNg9qo
t6Cstog7ID/NB0f4daUWKrS6iRBL/AM8mKxelLnZjceeykxzn3QksPZ8o5KBuVvEeco+Dbz1Y+OT
ys2+v+7rntanBspfxiU8ht3cobYq9KfRbv0sd4o8J0H1p+rHJN73QrAbe2POZJo7Ks6pFbi2HqtS
fiNpJLO7wCrytl9gqQzlvWrqrjPdOOkqEh3UXlZyuUAewBOx76VGLM4UsY043m8FekyS4D6QGa0x
yz0a3DQ7HWneYkmPRFdF8Cd239TC3M0yhlauw0Z5YZCcZLyPS383av26a09AtvthuOextGv4pZdZ
tDwUEQt8uYe1ImjsFC0q99pNKhl2yvENJsp6gXrAGA2HnV8ZQbjfhSm8jRurjsHAtkXY8L9yoxG8
OsTi6AzP7SjCFnLWFIi6FNouqOzFeWL9D3tf1mUnzi35i+glZnhs4Aw5T84sp1+0nLYLDQxCQiDx
6ztw5r1f2XVX1ep+7hd7OfP4gIS0tXfsiCDP8df8/sOA8w6/w7tFElxuG00yvW12KqPlUmRatdE5
dEGAzqgXKQg7JzeIsO+qNFn2c5GkAcdw2jjFofLVUQ/hUS3QjE/bO7+qVeX3ggZi7Y65jINIXUjr
y2K5y0Sc8rJCN33HJHI9p0y+5C0FWnyVJJ3BTAXoEof9DaL2xNKrIKY6765DPvGwuxdiFQU9rAKB
oD2MHGYoukbI2m/JL0FHogNpmedTQ5QUumiGmQTp8DlqowHX60VXls+2Laap1ii9MbNRYTlOkDrM
2P4luH+kLGASlHtOnzCD0deKhUOcHQVb9xmLO9B9ymo0bA6ehj7fQ36CrmOR1+U6j1gA24B84zSX
usfn1PtQ2ZxumL5J4N1UOc4SQ3G1joUoMoeQ748nVAmL0j/Czu3zPCSlAJYU2EDjUQSDLFjyY5pQ
0ExHzTkyrXotQp+jXV2w1AZ4gomd7MssBssHzFfAthH95y0J3U0h8v2WOZ602p4yrCxcIcavpjca
uH2BZTrYn3zq0Up+68p+n5plCfFRHLHFtOIeFkjWMMaP8Wgdx9MbADeGn6VOjdmTTBNaxnWylgCA
KgXqD+biY/XQzZT4ylwE++Do7H9OhsWq0fVHjlumW7r/KzapvIkJ18HTx1QH7x//r0l+/xyQgkje
5JHqcQPhELDlTfJMcX3iQ+wx6Cna8Nr6CtyAlpMnFODtWFbp+4Mat2XGUkPlbXV7MYSlpykaxGzx
2V0JHhNmaYn6Dh+JFDA2XQPmoEtZSeL3pLft8fYx7NG8JdNb+T6Do8IOQlx7HxOLOGq0Wo1DtoZn
b4u9Oifvj/Z9eWRUdpifLOH4H4cUPAp8o8s8wzptQ71fhiUsww/9OJGcPW9oW9v5EiON9+l9X0ib
9RZ3iUHu3xJybfD/4K8dY3WZme23/j6hwbZu+MfYxWOSHwKSDlJcbOgfOXVqdxCJHFZuR+xp8E12
5AN0rOmNL3k0vYFgMWD5mBQZKwavwQ3M7gyw7P0Lo2X/K1lAFcKMDGTfDv2W7vc/2Kxl67Pt2q7l
x6EF0eyJTXHYxmdpfB7OV/H7WuHClHN++pjyEu163I7jscSX4AQYcXGhuMQ5v4TTlpFnZG6iWBo1
BfPAa2JaiounguFlgM3cKWCbHQADQDZ4TMxe5GO7b2eL8xU/k95mojhKJIvOX8al6dx4BiWEgDbT
lUnXLxU1LWBDtNEsPs/myeAvJI1pd9tPFn/6fgVul5I1BFQ0AcvvbsH4pAAFVi1w9ZC14/KSDdSh
CqB+29f+WiKUi6OLpwgRptCss8Wh63HE9gcXDLQ0F2mJo8q9kswJxJu2G0cpzx9wspg7psXRsg71
7jefGChxz0owTMcp/rlnprHoMGGGrpJuLzErxnV+BrWTrdl5fh+6K1vQvZtYuU1iRLJdTXrINhIi
ys062acvdGpfNcCr9iX+jp8WRoIJV4U22sc7cx7hL40Fjs9PHOhjUPFuA65cJpEcygqQhc/6m1iF
Gp/IfLjXsODLGayrd5BlC1OwIo52mDSNLlr06/Ad2zv0RlGWAzWcUhAD/YmGEqVv36N2Guq5AzCR
XvUy2/fTnKwcIHwrixmhMs6ox5lnPCKNOKLW2yfP8niHCiJbSGDxogNtOb2C7xNG+boiPaPB5UqN
1vy2jMUOUo4Wx91NLmmczQ8JYCxPD46KwLNjtqq0Mw2gC7y/BpQYFLhfkjYOUZLjMCzx8Lcg2TCq
bOj3Y6NP6b7cwDtGP7d5n0kxj0CiY054vFyuW9rT/EFudg2eNJJpoAqbmsrsC+It1lewKrA5TyIh
+xioGgIEf5SXO0rVceSryKzLflzVl6z0bArfElB7utssm5SnxyQazRz8ufJQOHrAiRZ3aWU64N9B
XXRhrl+ASK5y/kTaSbRtTVMfM/e45shtpu/lwpcpejW0ADRx0tIufVkH0Wbky5bYKBkri9PBodgP
wxE5ZZ6npQ0tVnkvyqhe8MMgX6p8RWfKNR8jeX+WkxIAiGs0ov0+rJ/hpuuWPf6Vvt2jCbL/ffNy
0++fGH6i91RE+8/A4QjwCd/6/YM0BjrRH1C5770N3lGFrdwiW6S32+xDdRDYqPuuLPv9Nx9LFjkl
IlEJnjx+9Q7B7+E0aGvtvI7zKow0Ke4ty9sVTBkyALBP/EbL6GKdhn2XtwHYioDv0SfCX6DMIlpM
G8H6Tgj6D7fALfc7lxydxi8fF0p1iSNtwlIJnt4rtoGLLZeVGJRNHuR7wALDbP9mSFB2MDroph2E
BKNeJ0nTt/000opNmQ2eLHh1GDNIWAJLiUftnsaxxOEa+dLtt2V/brhglDhHKprafZOraG8zNsPq
9jWZ0w3EkiploDL3ByY67Mbj+4QAB96DnoSfOb43AbdUXLEo7vLiX4Cv3wp6YDm7rAjEBAS3LPwb
rMxm9BCAV0dPbBwz3HXegiT5pNcRYXYKkn0HdaDyYxYWPu33/i/V3a+13X55+Bni3QYQv0NH9TvO
qq0bg9XkgKreQ6MABrzPPxoqHaSc/1S2/wagYzcR0H1wLUBW+DPby/q/yFBWaBQKilTyv9YIkW4c
a3BWwRaDQdm+usuM7Q/VcoEnPCY6wSP7CI7/fC+/QggpXsMJVAgvSgPhI4Z7UBz9ei90iSPAt6J9
wluFEMZ4Gu75uDFFHh+2Eanzv83z3y8IhSeAA9CNIoCL5W+IqmSahF1PoMNwAw6KVuLE38UvCHMf
O/ufBxj+zkEhO3ZLUrxip4jgdvw7kOk6kbTD3GWPHxFjZdsO2nsw2tL06BJTLEeh6KYf7Bp7AVrc
sMfzWCM0BGZLcB79yx39utIx5yilduPSOC9T+Mr+LvXyJQnW3MfTY/e+qVbkddjjzkqKuA7BCscj
AE3bY2eWMQ4HpBYB229EqHiyW71MqOyPaR+PKakcQouvEeonfBz7g4a3oNSinqzX936Weg+z/zyI
3x8jHhwYcgT+n4BkQ7zL9dd1g3N3miMXLLcMzGpM5/YzEVImHeyDDwqb4IUE/7Rn/qfrpXgT2U99
9u7+/uv1codsBD6w9vbj2HMtm0RFRkTWsdIGXoH/d9cD5L/r9rExYISR/C0cxCsFEr1wcft+LCFJ
3p9GLjvsi8FM+4Hxzxfc+zj/6UICn4W0GQt1J6WgU4x//zrA1W+O6y2V53wItEzrvO/z+EumsWH+
bQv+/VJ4dAU6eFDFo8j8PdT1NOq9bbP2/J6KLCnQEayjCHzaf2uBf1Ax/jIwYIW41M8XKuyN+eL3
diEh6MvknJmT3iARM4codTsbwUIMacc/zTagh16PpgW2WlY9hRIL+pC0ncP+Cqc1KDhtPUoF5Oc6
SoA9kPuepm07nj1yg3S8pY7L0PmaRmg5vZppAg/3oEWUDKDkdnaL5pqMJDN9U+gUUNt1DC5nnN2X
7/08maEYie/o0IeTu5EtW6BoQJKT8RCYiABV44xCIwcttguEwqP4SFAgTdmXvXxPK5ChFzgssp9h
7L3UkCtB6F5ZHyF0ozTc04B1AT8sOI9RgTphiCw+gBQrs/ltbLo9mQvecxuF5ih2O1FFuIFrbuY+
3KoBwsWBN5nKO2Gr/4I8JhyboES/JzI/Myh01lbML8Sr+yGeTwuQJdQWMosOCmKd4KmXqCqWS4Ju
BW/rzvXw6T8Bz+9E9xwj7S3j28yD0KYuREaCHQwwiwbO6t/rsHL1Jp4aJm0P2BUITI4uQyXYDGFB
HdixXUlfTXBpSqP7cipBOD+0E/wxpk+pL5dt/IR+w97RQg4Iru/tOBs0ET5xBbS5bUBCAp3gyPQU
hqLuQySdf3qUnqa4TDO3Rl/AP/dzcQvYjKqHoSyFjA5iMAFBJQx9sptrSJbRSz8Mo8ezbVYXbdpX
u/JzXGqkZmFa1D7xdL2WpZnNVqEdvXJU02Wh0RfljJhTQrp5fctILz1raIKEe6j6fOj15wHIS2Cr
4r3l9hGLJvTD2+y6gB4JBcfAugyk/o88C8D3nif6Abov9lGFdj+zwSHvJEo2XYIRo6pFk6wPEcna
McdtRFJCAymDpfyEID4WT2oog+7Y87RNK9a261PqeSoaz1d64skSnzmJt4te71pT3Y6Puc6i2pUp
u8353BFgxov+RLGozwnIiKbC7mNvQqvuc0v42LgyBH+x6OL5hGIXkFI0pFeFIl9Gie04QDV3na1c
NXnCGJ4uCfRR5C45iJHbu010MzkgK58PhSdxhxWb9d+Ysk9RmKgrnQTtVb+Y+ZAaQNDgvrTnZbRl
w8q1eMgVm9DXV/w7NxNtOqagMEmGoUlpOV0WW9QfPR3QBR5UmuCrCz/UiRjy44qvvChQj72BrGxP
4D3Q71Mpu5N0YbdVvhTpkQkyPilo2qGgAERjqiAe2+fVbcXXLhhSlPK2/7QWET+QaCaXCSkZr8Yg
iK8TwHRHPRt4lYicPgA85OArzXH5PUSrB/VMqMJHENMZPyo/BIfQ9POjWRIADggFjfHOXsYGSsgq
7deipjnY5cVnvkSlvwADwX4zUSLCw2jVjDKH98xXC14Y9KOAJgbyIRroy74EHaFJwlk8uCWWqJP6
8So1czjVtGDjVyKMunZ4f92VycJ9hdJ076G2y3rpkM7ekFwuF0C/g0suYxY1BaLf93BdQU7dIMVl
KJtV8Lqqaf0xBYGrIx5uXyFeHCMwChTog9tmsHJZp7oKjCltG7Wt0l1mtp3ACA8Vv/VhjkCMkqpe
1riLL5OCdOpSu0kfI2Wjq7TrXQWk9yVd/TdiKb1NQmyfxdi5AbRIeNW6fsmb1I/xIcnn4VaxRL96
5ZCTEbS3W2h7JDgQss55CwlOYCF4QWd6rOKoG04jgIIqIv384MJBPhjmZ1nLeW6fJ+hNPmun+qia
nHU1DbUSlcD9oeNaAHPDxnNsqxNXrPdlZFhXD9sivopebRWaPP0L3hk1VUot4UOJJsKFiqDutZrQ
y4QPyVdTZO5aAO+HJBuAKy5K54raYEJFatvrrAhGDgm9LL/qAElNUyA/E1UqzHSfrZk8ItBnWV3y
LT/P0FPfg6cDbsfK9HM0Duq0QLB7EmrJvuqYPq+ok5+3CQLq06QSX4mpb394TMiJzbm1B6SB/mnW
ZUornUzo2Mp2rghblouslOo0IQ8Ndyl5+VwOc/kWOxV/EpqOb8u2bD8sFniz5GN0k4BYcCI4KZrJ
TfMT8sugStdhuQ60kV82Mg6nuAspmFmAk2+ZJwnOMoeIRAQvgAdB6XnO0ZiplRnESaZWP4PbFeP+
l+gyJEN8FFlsXoHLTfflwPQ59F351EOLeNVCcHVwOUIuyuCe3w6QzVxqm6z3g6H6ky6K5FssFwSH
aPLLbeJ7bB5gWndhPNsrp/P1gq8uHoHbFMOJZn3SoDwGwxKwR3mxBVDeUMr0wxYV7LkAdPI6bcX8
CQd+e8Zmy2+2MJjBYcr4sStpeo0OdxjXc192TbH5IcZ618Nxa4PxXgKCv4cUQkFnrTpy1KuYXtVs
E4h302271mVir0BUkkAH+vFTG29lj5jdu0Ocy+IcoudXL2pL7oqljYHM6+B7QCNw0K59mmy8rKGv
RK7b5BaQdnEt03jJ5wOBiV83V//RZQJl6W6DxA//L5pMUH3sM4+WZTqxqIuTX6SYpB/Ky98VmEW5
9Xkltrn8UGCOAfr9V9AW55jrjKyzvp7KBY2e0OlwvRiSqb+LXRI85EPJVZ05zcYDK5V+hCx36Q9o
+Xp21XM58ibQQwoSIqVhcMoXY7ZHXwzastOeepCmnNzYjRKzNq6tvJSoyXVXhzkylzrtLV1u/mc9
Huh6NGzWECni1YxCfH5JOao/jTiioevMkDi1A2hF52XO8ss0cmQQn7bY02iB8mwipb2MEOzIRZGg
I3CaOj/ohi0mtU8ldFQCDJy2K3WlA9p2sg6S0j3xGKyZKoI29GH0YbCdVhSaoib5FJHrtRRuqCMN
HP8m7xBOGxDktmYEsnUpIPis4VElL2e4HBhx1/kggxoPAtiBuL4BTtPLnaWlorS/m+dEFHPjM5F1
EQB2qP8OY4H2Zm1DH/WHJLQdu4YOU2RVPwDmrbfZTUMV9x6Nn9wKeR6gfhsPLRqFN5IDJm2E4+4M
34cQSvaCsByQmNDhhWy1QjvSprmvohXd72yO5tsgLV1e94JCsga5YgwoDpjdS6gC/X0pkZrEEExE
p3GkEEy0C4tsVCOFY8FYozcPKhp0gix79EEy5kjMbOF5VyOSzvjASAIO21cEoanIDkx1qkrbKXTl
QfZ5mLODihyk7jchZBsW+sShp2cxFcnXdlm+bBtrn1umvrSlSkWFMqF/WsHtONCC6hPB4UEQJDKN
9le+XXU+6m51zO1xYbqs1aQ2VUGDQyBz69P+SQ9d1mgN0YkteIL4usz9NwgVt2M+dmjjtY7eoMNY
kDp0Zp2aDYdNcl8aFj/lIBBpSJ6B9WA9YMFU4MOt38NRyQc1DaY4mDxvr804jE92MnN7sK5d6AVQ
4xZa596VF9AST000TN1RTjR9GiQJD+XMxitJ0+Amki65ihSalmNr0LwuURY1UURhympze9pcFEEz
n+MQbki5TOagIPO6BX9wnS+UXmlVmpU4eG+0ok4ys6iqDHsKDikIkfbCZBjcwQPkftqo5t8p+t7T
SaC/1mhsSpgGeKlvccrj8OeZ7BoukF/gFugjTh1+tDAYqu2g2IvgbfgFyJs7grRTnkZS9sdc5eI+
EETXS5+xz/AAeYbnAQBVFG7HPKLidVyjeazSeBxfY0L1pY1i6iqqnShqDnD0kqoIg24JEG7ulhrF
bnwnUJZcLmvIv0kW518kbcPPMozX6wWd2yZV03gRAzJ+AfgeyQYxzakqFmS6ySiNkbdCsL4vwuRb
Ivdi2A/9fmq7yLyNcBOBmjbjaIQCTB6ziyEd+Fgbzd2MXtM2AizMVxHWcYc4UkFBKNKbTpnojTE2
yyrqcA+V6HJWwLmon2rAX1gTDF4pF31mo7yZGYicGrmWbC97Nc5/KFRtrJYqjskXHLyrrsqgWJdz
MMusmZUIzpAoR887b+AYbou0FfeBuktTJ97sUigcD6g8j6OlYEONNI2v0brTV8qDVFLpFinNtTNW
vclodrw2gBmXii+d+zbPHnsFmxJ1mlVAMb/DtQO/REduOQxiiS8BUkOtu3K3IZkHbfRHAgopPfY5
myHORf1WBUhH5qajU5AeggkmHjXZlvRlNl33mqvFQZMfm6YjwURu7QrJNLprRQlWEHK4KptX1p1W
JFWXiH4DlLQTYwKpXInUEyyOYLyN4Z0Q1JbuTDzfk1QdtFqgMAAjBYuo3sWaIpHLsV0ytFJ6WcMO
ZYacci9jl5r6iUfIqeOBbp8HYwd5F43hahpUFVQipJXZuKlah7bt/CkgkRiSu8zGtKhkOPH4awfa
aDDUS1A4QY9omElHbiQbs7GsUW27RMGQgvXG1jlMEFLfMPSviq6yYHMnvhkWT3t55QsaxaQ2FgWY
uu8WoENx5UDzLu1RWzXxz20rk7FtVmwVtFGgxokHXS1ugiLt2CJXG2BsYoP+TzMZt6QwMJG8Hw7p
hF7bEyURei8nBaIUzC20T+AlcS+skngOSQC6FCwprEUPAA4CGsP/Af12TjCPRgy+KRVz6ecUXSb2
9A7WBmpvOMxduUOjUUiduoIP3N66B19g71ZgH2759zahxGUn8Ko37LcpNCV/hVEAC1g1FAC6AlS2
VKwZjgiE4/nFMgAKxfWMhNLdwhSH+KS2rbGTPG3obuFp4cgTo3iLCzssfZN2s/XDVWwxvK3iI1gW
BvY8Ju7pUzynimeHDERVHl8Sayc/gofEZ+Q4qB3a6ajgW4J4HMxjI8FCuolA5kLqrkpETF9ydMuL
5MTnvPdeAYVdgKTyGpQq263JoR1cwruDWsG4KYEdDGNxvSH1Kw4Ulg8UXbCFlspWYTKVySH3W5yc
dr+hF1XY7jkAu2auohHisyqx2DsHsE3672SQ8LkA+51peRgzU7Jm0eCpuGqLJjQfN4jKf7LsL0ve
Lvcp2LFn4MD8eiQ0rmWU2RsRet8fVNyDrLWUaASroHsSpVvziwkmGnkVD8onlRtWOZz0TMBidIVa
B4hzFvldbYRKhNYE5gEZzlHbzPHmHw0PVocEIegOyEBRIVKh0vSks2TuG9oX7i3YqPOwemjh5vFY
SC7TZsU7Kb5pvEhFV0YsKA2GLVhQjWgRsgPSCW3OlqVy+d4GbkdckFFHQ71J1h6h01pocOxtWICc
E03lUFOSjOMh8cScQzPmr93SJaGpcxq1Yw1AkaeoUHNvbvsiI7aJSGrnz6A+gDYBDitYdjU4HdOC
BCmMwCsCuHXbovLuq2RCHn7j0HBz1RrL/JDLrLsMWtjGGBCvIa4At071oG5E3pqmGNISLSkIT0/Q
LeDB5K4NKtixTWd4SUyitgDM3jYQFrA2aPlgAzJinJs6ZiHsjGDz5ZpdxArDJ3ArfgQgLwE8FKq9
DhCGzRcUlyt7yEWv96wrjvgZGUx2qeGGx98QImN/ipdEPI5rTG9Ak2y/tzrEzBfr5kBXoxbIyLZx
VylO1ufCpfZ+1R3DECBjQ3c470dE07yHWEGm5WMI+BB2BmJcL0KAFrxZwY35Y40T6AhTaZLzkAgB
eqJOnybajsc5GsjnTJuwKnPwEJnuNjD0zeYrSI78LTSVEW8iaxaIuroBBPmSL+Vy0WYa7DQzbKCD
tnR1uN2y26kRqIZrNeQ+OqJDhD4riSEsbNolXhB6A+gd4MWgctAL49ZAzNsO3tzEVtnrNgphL0DS
VuVHECHUp9XlM1jH84BRgg2Qf4HtRAGfFCTgd1OwZ7ymSGBUgpzaw5BI0hJ0FDlx1uBAF2BeAS65
33ogANWWKZUd5AKCXROTnh+2yeH/tCnodKCN9KpZYvXnahj8FqhxNfww/GuOaLFcuXnQqummpXg0
qZ7h7xSk6YSCgAMF6qPxJu5odFWwTuagCVEPj4qQlldBwKI333F56QJlYOdgRA0OWPQVqhg7oM+Q
l77mqRG6hpED941dvTBVpyGnPljGiw7xV8fdlQgjnx7nbE1fAsqUuwVyJWOAAWPvq0714SsvwXio
ehAxbkcwTMghXyGBrrcygqphogTeQX0o2CeZOr3WODeR1SE/bxh8SYp93rK7NV4BQ8fRSOFY18ef
J7As2mqx3Wts+vGznsexYnjV9mMORiWIUu2CJd/p1xbmFC1yKxfUATKPG20h7zHAXb4MrQ0utMCm
bjSX+d1s5/FyTidoPXQur4EL5OeAkuIFiDHPsQza7E1FWwxfDWIeF+2jC2lghlaLpVj3bI30oM4M
gHhyY4qzidmQNVsZIHHqeelOQxot3SPUshxGIZtpNJZ6Uk9xag9IX8KrwY8M3MA1/Myod59LOoeV
MpZAOplKuAR29E/QikkDK5X5uUC6fwoTGr6NYKB/JvgvaRU4TBwo/5+huSluHJr8J7XM2HWF/QqC
8nyvLJzLqmIeSYh9sN2XbQB7BR0m/QnngYajTmHiBn4YV0DRgut1ivQfAmBHUzgUKvCCGbbKsXB8
CYoueRIsTvo6Aap/odQQohUGpqWM42/eAv3XB6mAB+k3HFCyX+BrBj1L/hkV7dirR52YMUnvZgFr
LHcweKsCuEl6gv4ZJAHnRT+h14CG43iXeFBp/GmNoNWImngkbmYXxLJebBcgcvv5mXK3pt/SIRnl
WYxFPyc1TTSZg6ZY0mTVCF4SbBb0tMCPEGXIM9KAeBduSBsL4nmtZQYPvAvrHVBM+Ia59Jgkw1p8
yYZhRlCZlOzgj7XmKSNpgzwPPIUm8FnbgtCSgGMFOjLSeLCqPLTQ2DSgsScpqKBMjT/IFPjcNGho
gqh3MGqFPx06lryVYAuplu4kcqxBmIqdWtFuZHpY4mJGCcNjl2n9MhYrXUSDRmyBug+SIe5gDCZG
Y8fGrFmRhQeiYmumNyu3JfQVvkVxX69jgpSs2hRDZDhTyCRFWQOx3keSZC0puxNr3ZJPf8CVZYvS
isPlAL8DFz7P3FUwGxTMVwJWN10Gt8CyyJfjPzcdf5O+ofkHATVsGZBjoisNq4jf2rgDQc0hnCq/
EQEVyUfXO8pkivaTjvsWbM+1gClnTfpER3mV6w5CpAqmYjiF53hw+bP42ej65/v6tduL24LPQga5
Kmwt0DxEr+jXZihPPaRJLc+/y1Ht2qb+nfjRy7LDQgxGtMv+pf36a09+vyJk3JiNXTuMlu/vzpcA
DYuZQC/xo3+/4vLOqonTQaM1D/u6xIIEtxAXQPLBBZqV74/i/3ug/ItrcUgIZBb/TQX4m53D/+6+
vn3t0b3/j5HD+3/5cHIo8N4+MGoglgMNIcQexhL+sCwu8MZl0D5gY1JEAM7Qz/9vKwdYwhMgHznc
qkHBycCq+Y8FCvlfEYT9sFQBzQD2rWX4f+Pm8HuvHd+y809CiOggmPnbShahihITJ8G5DIJEVFz4
7WzLxHz6y5zcv7fT/2oa8euGgbUKLpMjU4KPLoyWo989I7YQrSaA+cEZhBWYsuLYb1AeFXf9ChXu
v2yVPSb8paG/XwtqVIj8IcEFeSDdVTJ/oS/hWYClu8T07MOxvCOZXm4QWdD82Qjc5ODK+G/UiDj8
+/Bg/Z6FKYHOCzbw+2t//npJJ006gahIz9xrCph9GudrNKTg3DoCYk+RbKzlCwGbJjoSizQSJSKU
96cMGNJwmtLW1vBcTNbKugEHsuD6XI4OFk++1ORtAPEC0LUpT8h1y9NP48YebmY1WLvDJZKc/qGT
EMt2gZ6fwzkbLiFRVUco5/kt9TO/TVoIspsYXn4nPyEF4a2BEGg2/UMEHugPNHi3FyYT/ZKr9oZY
zw9r3g1wc4PuZ4tieZMk4GrUTMT2ITK2/3OLt/EO/oziOSJcVHA9647pxAYkh/1S23FYz2SkUNZu
U3QqFgIGDKR4h5ABzerm2Fzl4TzeooQBNRbpwFfStcG5y3Z4UgfrefI4B6vElTTDcRSN30wB645s
6x1aXRuzFZlW5NC6SI7ERPqVy6BcZeOYzg2KIL+CLfwKO9rUm2s2KHHMhxy12kqxzmvCYF6AhL4f
3qzO1auAyuIPUcroscSJx+qVmPK7KCAbqkAvztG2jPwowXzg7qiXApkiCF3sTTIY19XotHV3pAOU
BbvbdrzOIU268kAsXgq/QRRKuQbguTcexYZWYQLI7Q5E30fmOKmpE/6RgUV7gA2zfoVEbjmOjszH
YsmCtHLQV33Xfc9ObGDfvBaqaUFRvGphVYuSdktZfzCYHDbQ7mbq+u0PWB0EDzGk9ddkAx22Mi6U
QGsXEjSSC0qqYATvEyZGFxTCOZycgznEnstrIlr7vTXZ/CZDL7rD1m4wbQtmXl5iCgxUPdm3ae7q
FRDf7dARwDF5953EbkXmnVzR/8PeeTXHrZxr9xfBhQz05TeYPOQwikE3KIqSEBqpERrh138L3HbZ
3uccu3zvKt/YljTkDAbo9wnrNfppI2XyTXScJ1XcFAejCTnBoBFzkB4rwveuGVEz8jdB019yo3VR
kfqEWJgZ5h8k0GL+cADienC2SFQzTpuvHuOxsG98yG3eNI7WJmQ/Kpc2356JczJ8DJdohaV/TSUM
Pq81+ltKlcuPHkRMxCfr/WjwZe8YLIidLX3/qKgAReQcHokYZ7vBW96MoXWusJXtnT0v3dUIlmU3
Cn98qioxRIkl9B5w4wPI1lfQqrV9zNCmtQtzTKfzZ+VnhCBiPXDM8gdCK0DpwsbONwvCwlYmpSSy
bg8zuM5C+ctNOBbzdCqECXckSrFtzA0MyYQ2YDdSSyDgNHRjwhtRq+0w6y5/dikPgAjcEIwO9fgc
zH26E1YXJBjSaDER6KYMXKsy/Y3ow6o6AJH0A2iFLjUtMos2ym04duY2K4w53Hd5lymXUkhPZl+O
S/KopbcWuppMJ1dfYWhtaqIv432C8hs6m8ZXXXoRsaExi4nre+92gx9Irq2KjXRHW1LYLzmhcG+P
8ukFP4MVGEsMgcbRWYIIHNonWZJdYhARnXw3vEY+CV1mh9YEjMuLBd5Rm33xEsSzsaak7XjejIPv
nAlh1eZmXPQ4bDwjFQevd1B17VhBF5+8o10aZoBYMDN1louwnu20hsDcqfV/DmI/fprnYfz07QpF
tLKqZo8H5JzqggTNZnCRD+VQuKemM6szw4HY9eWwQFEGqsWXPRyBeroublWgA2tv+V29heWFbtmI
Pqo6M5w2JDuYA+NYfMc5hBDeG9XT0lG13HiVMTCM67F8mBy3+eVykoSrSJppLwmko2+LctnSOSnS
XUtF+YTrL+4KL/M/ipLRn+aWpvDcBeWDMcqAxAB9liqix83/5xl9+Rs3tnhxTKilhcx9ipdLWT8l
ZUq+AoD3YHHzkNAy4btsv57j/z0F/ptTIH2RlbH0fx8Db7P1jW2zfzwH/vUv/e0gCO9OeCt4CCd3
xRn89RQovL8EAR2VP7ZZ/G1lhfkXzov0ztayP+ey9cX599eVFSDwSHzaJgMB0Wj23Lr/yfnPc/55
svBQOgNiTibkHQK/VKf/NMu0lp8rqlnpecEBo69RJD56qJvH9swNwNXvZlIG2Kle/ZgRJbouo1ir
RKVpRdwl850V0FrLewgqu9ae5F0a9jkGiVHliHHtYRLo3D36Juj4rFFbL5y4s6DxrFl/OQb7OfXS
iy7G+sZMiHZtaru4abi73Qe1Ex5KnsmHOIiDgysLt49oJ8fbbpA+0nvaniRz2u3QzfF2DQMZEG9n
MKokmuwLqLDxu+SgxMkgiJPISQeNPWj3FATxAGu+30CKUZBPg/lDyqX+ID0b3i7SwWlrp7Df8QcS
MpH+tJdrkWyMpzBBERfE1dK4Nk/WHLtH2drG51jDYg2aTNw5eRWe6rhsfyUTN6soRdK6z9JmOHD/
ah9pQ43nXAKJgtCNbhI5uf2LEJhJJzUH5lwQoObOkkA0M6vk0jWLwXMmafuN1dT2FcOiOtEafdNi
Uo/5SHtTpqH+ljZ9/yREP0ELNpb2B93j5K2lDyyA1hDI8f2ETOZSYQkwSZ4KUwYZuaSsPaWekEFE
o7z9UPM0DpHtjq8+yXje5Kr4UWR9D3w26/cW2NbPxRyKm8xs74wl8c7IE4Sp4mW5NHGho8oLun0w
hZ29bf2VyW7Og93yeSbyTWQCnZR3aeBfK41ub3fIgsSz4qitS59fFED3prPigUaoZxxzzIbDpOLi
ua7c9FVS35QRnAbHJviA4l6y7cAihuZxlqPtgSqbce2dVOsOt4Mrlo5TqElJebYw/VIaiQipiPTR
2AG0LhaqfRvyAePvLLeZm5uJUxMg+27h8J1W95nvTSjwc3CTtPWy9ZZ52KCAl7dND2HZNhxrjkjW
usamdlH3oUA2yUscLLDCxJC4P9Q0Yq/JxsNkKlr+VGOWx6VZkoAcEynSOqxY2VJ64iGJZ46cobFr
Uk7OKdBev/WuGQ7WZxU48mS2PIPGHCF2SyhtPrhVOl0WaAbdPhd9Re88j9+M0k+Mc6xsle9EFVg/
FYfYYZOa4/Col7GOd5rlHe+9KNgTkFRqeLDos31vSYyTEBqtD3AlrY703OOpcPQPj64jx44DtoA/
bs/I5SVJGdqwKcL3QGDixdFmelFm6v4YfIWbbLlctBGlwOLYJFX4PYdac4tWO5unSUjxjPlbGzS0
gxhrI10F1QYrYx+mVfnhJan41mbuD8McGzS91rm1Bn/+5TXtTHWJ2la1ZiOqN06pnRUVbd4HfFhV
+94HLorkHOQNOl9NZM/QQ0nMyxM3qY3rTXbxwerYn7Oh/NfvWhPNG5KYuwvJtkQl1bXNonFPMEMz
OtRi2C1jr86ytkjbmF0QLU6ah+ugkR9qjMgczWkOIkM05gGjJ3u0teEd6oyCzNYQfeySEWxBcspU
7BaXm6m2zWZm20WZwQ/tm+KUUKu4Snf1Q0Tt9I8toQ3e2KDMXzmiK6CeVu+M3Mzi4RQnUxUyAFGb
08HctEfXCLsjqR+MbQJ13Z0L+/ezJo+JlWXl+n5Ws8HNZUkpfRs5uR+Wgei9Eabquz/OpChJD7yT
XYUt12VxuevHDuaN4zGzcjh31F06i5jUgd2UWz8d41MKtxkioNk8UYNpoGSJ8ULDK4vKQqK+VsHZ
bWb611VVPIi0K7Y6yeJTLrlt1jiMB0yJ56TyhkO3pjkyx7U0FTFYaxtDEpMVvfZ3CnDEz8XRE+04
y1fbmsgrYbJU25uC4eBuoo6jh4vLEbrqI7cdm+x1MZKiOs6BS+DkLSRHzTkckqDV92/DADD4LqYv
SZg5p6yejzHYg6J9BKxiPiLDJATk0NoDmF8nnYwvHmHeRwXj9XGwIIZtmGjjl7H1qzfWW4QDjOpq
PKdzIl/Cyud03418rUJQYvfmMJX3GNL0kShaR30m3atIyi6q9cJo4rWkHC2edtFUztl1sPHMVUgE
e4sfUV7xkflxfWnsLWIdvDGF0fBVF7a7wYT0b5TFj79MvX3reYQASBX08ZMbtv4pz+T4jDURqk2q
4/SXAwHojpzYUELOUfXNjIR/ZctB87RwjZ8SfvHPJlPLaZxb7zD1atizBmb5Ll34mtGijOWYWAVc
cLYYbCarHxAH4mEn8Y/0lgVAy8Xul+CUZmkdlWN+r2DHMnUQZ4lrFg1wk5Xx47jEp9rP7VvSznif
1eJCZAiH+h6sIyQI3s/ntp4sWtsLuUrXCA65ao07Ce/D2dn26D0UYkl/Al3JjtlkjOi7amp4HfBy
53kJ5gdbtuOB1QPipK2heyEfWt5rC6+Z7xP5p2qoWzauBIQZGaN0Rv5nNrdgBojMDI5QDzSDYah3
uYPILQJrl8LyI5ZVuHcDQ8rtEojp1PFgzDaNPV4rEX6adSY+rQ5LaeOh8LxlZNa+m2MsT11tNIfK
SY2QQAq3Gi6/lIe0WzgsakHZ22c6l/ex4AjSwJrayt7y3+06C+9sMju7Pl1vmpiNNrSlcfSWXdva
dv3E+py3DAwld+wUjPVFdWqwIrMClUMOaRTvGSPfE5TAjpguraLuiOSmKCT7SOKE3Sxl3th+n/Ec
E1ZlEjzpmQkiHvy887W9zLR3E8L0TjjvndQP9o3wgyitKj+O8mR8WCy7zi89Inp5JOmWvlHd9LIP
2+crHoExML1di/6UrAsjJsKotxbDmO4PdSIzczhzydqs6ghYlmN0Hype3jn2Tq9SGtVnrif7RfRD
8GyppDkrlT0rHNYd+NbyFBCKiYJBl1FQT49+sbxzA/ztZulH3vvvq6ryw6lXp9VtvYR+//AeCCM/
ggAs7pVV7Ea3NG74cGzq6o08VbJXv53F0/iqjZKEbJUTZhvInsWxref+wfFGOUfD4KZEqFtyac+h
P7S7crGXh3ThvLPp6xFczB/K5H+np38/PZn/dnpigMqa5s8D1Pr3/jZAhWy2R0hHMafWZzFE/X2G
sljPidJLOfcfJPS/j0zmXywkdADIlHMoBHvhfzIyYZD9D4WZhWnI+YSdVmyqxw/yj3JvBhXck00n
T2w9WG6DRC57w+4o1SwlK9u8PjWPvaKpurGBeKEjqlm6G02O5KYGhPONa5tMGJlIOwF1TFSYXONc
t8iF9nTPQUhuoXKzoKuRJEi4YWUDAKIsmAcc98be8ZxbbgEamUd+SihPcwpH86ohKP0K8nCl8GcZ
3ZAUYMQmZz56XO3FCNzDdAjHcbqnyr3sGyediTK78bn2VqXZr6bqhh/TqzYx5+wPB4LmHm6s3FaD
4ZzmYc6tjZ+6RsX6gT+UHSteBuMcfkk+swFr/Sd58cTfjyIw7BdTAxDalUMyoRfJ1PDeU1OwuWuD
FN6nl7p3JHPgCGJuvFd2gPTE8qExuWKHp+G+lrOVPI6J6e/NQpaoVllSmiFjg+7NrZGajnfiIcKf
TKxUIHmBeK4OHEV9Qu2rKAafBIEM6xSxzBpDFp9ElvSthI07pR8zXG9Ulfwolzm543BV72pzKXg4
gIde40IqfFuGqTd2gK6n3Vip4DAgs/T8Nzgfuv30cqWvQZgzUkgTTEgBsO9hyex6O0Jlf2s5D4XY
p2VbmrecQIsDycEG+TiPdOGrC8CdvXJVc69SaXPBNAEF+YG0psEJ7EH78/SN6WE17SnooMWnERkA
gskEmH4Z1ZQ/hh2SK+wftaV3RR8NNM+ph/3ynntrpwBw8TYL2JeI+tmfQb8fbcsqHtMilw+aMAiL
5YwkiMAJHgxr9M9kfDmnz88BK+8IeArR/fBqK34sZRpsJ8fJCFn7HMvGvrwEZtFhUuPrp0tWfKu1
X21YBZceqByITz+Riuxm3Ob3GgoEiWeUlWhqZvMq5hCScZ9bxrlKff7WbFbmA0AqrHsWVr7QmGGb
VGO/M602CYOo/MzwzV78dQ+iS/hnzy4P95QQFSAFNrEjzxl/xXEXfizkdneiAU+80WnSfxDA3OUL
LoqVji5z2HjRburdFeRn9+DznBLWVwxlIXHlqRaWfxvXgfWO/hoSFao4qtokkKnuFbQEZkZot+6e
MdOTO9bP1UdJyPEypvN0LeCYHMuk8R5YewjFSjf5m6rS/J1PtDhM0+BchpqRaKiq5ioXt/hskp5H
bdwmwTlrneUeTVrflP26ujBrOB3HLOd5nPMecA4tL24rzpTdhnPrPIjF9An085U4FlPL8bYJM2qB
fuLcDeHQ3WhC4q9TZ5KVhKnDViups9s+lep5kMP4lIEcOjsyQdafMvHO3Jq/tNrvL71XC4Nud5AD
sWWE3VvwjMnwifjUwDk59IBTt4Qew32rtPfb0606uIE/v045CeVEGDxtm/LUe/Ete3eoTQ4puq1g
D5BVJSdbNJeZYSUCuLRhAeDwE3PEBpBZFUczmaZN5TX11iLkdUBeDfZ2ak5k1H31o6GgeMHooe/i
EsDwK3d8yGtPXVMqdiyBGpwHyFTz28D6oU82g+gH3pD4jtrL8Mpp0Yrw0+jUdn2/rcspP44FQxwr
qXxyWEMtvwFgKg587HxbjFHtRSCbn47h94cFcGy3mWKTGI/P1KvKFiSgpStgIeXsR7mt003Yefbv
ZU3Nb0ADD1zKc72FU/eM56Bv07i8J1Yjrjbix9vapj0s5PNA6rDMBlkkM2/xDsxb0UtxNerSfpgn
TdbV6mZxAySuOIhiuisUDtzG4ot6HlAVtosrAP/EYz+dqBQn5wZy5jYJfdIpg1PdDqpHcHO41TAb
XwwEkrOtXOvJn4FARWRd4qhT/vyZ5uPU8kuHrBoaujw/djPJEKJpOxY+yjPPErHDwLS/54POTkXn
sfAK7efZavPuMQn64GqzHo+mm1pIC89SfeuqQVwnL1huddcYH009AIiwrPGxyGri0Hx7gptqHOef
s1GDzZaJ8o5V5Y1nIyn1Ie4sfdWQrc92YVf7MFPqZSTTdj95yHqzq5cDgZb0gSdb8+6Lof4R9lXw
G98KZ8QHMAvVPvlJ8S/fudkiUCma/ViH+HBT520DlgCwemB1YQR0xFNoSVJ1ZlfoD9pLVhFpm2Zg
5C9Gfi5SV73EIFp2ddCgyntlFtMJyeXvCgLZHlNZvYLy9f0diefyh5Mk4aFSFCwGEDsXHVbGpiAj
dYILexSDpNxA04XnCbplce1dU9zlYdnd4rH1O2JU9VnVmFZxz25MkuDedSxIUBu6Gl5D+NsbiF66
I/VODnXTOePwgGRCmtcQ8y/TGYoBrSnjcS14jy/F2BtQHz3/XWU1tx5p1C7kNyOv1pt2g86xxPEO
7mh9F8jKuWZmXHFb0tggYTFbmzz2QhSK+uuaGDMnYt2bot/MxDfVQfghTaKisIA+XJo8twZD/VOY
4GhaJr33kWwpt8HZRoFYTDgg1e36AZ5V4VgH0scoSxTDRa7s2wFx+JTYNQprWrGNIqF9F4S9xvCj
PqxU7R0MH84MgBHWmDDXbwtJ8pJETXOa4dY8ELtxP3sCnozWfYOLMmrxZHl5w7aJDnc9ba1nL85T
NyqNxr2XsVrbLXoSD0VSBYcx5SE7ms4NXZuRj710zVtlWre9609n0dshaDJD/WK3lN2jw47iGPcq
OAZ066Ou6GgWxnN33yxFc4+/pY55atvHiRROtHis4BtHhgdIUG3wylnAfp4ckdPMQZT/HZbG8F7W
obePZfPmqQK4WS4eHJv9hfx+Zs+5Y0TfsbnlJZuc2NuZVW4stqpsVsFBZoeVGRhq+cyatkQWo8BH
+Wvaoj2Ol1mGCZem25EOlN59zNl0b2U8rNEXAGiOYRugOtAozKOJm/DVSQa17VT7UpksytB4mmBC
F9M98Lyr9todJMvvjHlvEMM9stmSDYRWMPFUCLJ3Dmh+B9sUC0zN8XFo8jhKUilsOscthjOZdSvi
yi7ux7rRadS6U85iNrPm+KoJHkhDjo/E1sjZEiE4+eZc3fVSjXxPHL/l4hDEqtolRX6X9kGa3FbI
YHGYplI1MdDZ5vikSQx8Yydo8Y2aeLiHawSo34uVumtkLy6L9DmtJF58MoMGRZBlPJRlJPIze41p
MGWDbpftlDj5Oe8FwelMWxnllAS9s1R20v1yypw6qtxI4EwsxnGI/8dwKLZTH7bsrEzVAxOuQzCi
na9CtdaWRlES9YmazkCal13Cwf9t8cNL7vrPiZ+N7A6mNJp5Fr+ley5lYH3PYAlsQHyxszT2BUey
0n+jJWOfAFIRfB9TZ6sGg1aUs3y06fwjC4yHsCGJL1LtI2LTkO4UOYK6r8aD6RhskfSKaGJEuGSF
Ve7A2H/jY3H2wxxSoOwARzgFhxujyO7IVDu3nee+Wx2lMUb4AWgtHSm6o8jhZcEbg9ywKdiUvAFM
zfoUxLYzTBNnXw3hniDafA4zjWLo2i8OJTQZhRMof9Ov2v0at44WWKtRLDH0WT/YI5SXSG4EBtgA
6ryz5XU6EDtpIjY6H+izBneTj8LPjll5W3H5fbDObkfGLn4u+84/NmSS6T925m3KkkxkxtGN6Eny
mOvS7JQ1QbhnlelCrzf2oCcM4L7rPrmyhYAnOz7LnWfyy+VhscuWvmROaNo+glTRbf7B8/tfYk6r
V/an6JHtkTxiQwJb6JkP/3kwTGOXtDRFvFMO1pQjHMbTuV1C7tIelhU8pUp9NpylKh7Z7OD71y/+
P0NIvo1huKa41m1b4k8vvmQVNcClyU7WVLefC2ikmyYr0jtkW/n4r1/qf0mNObTQHWudfgn7/uml
YJzmVCVLXqqxVbXjOwJZrZqT+te/fp3V5vzzG0o6jXUtBNRIz/0ZzgKGnO3LMkhOQxPP+xTt/uQP
k70rqqy/BwEuxY0WKbT22S0/miBhoibXkN6RMl+H6zjlp/vXP9L//IihxaBUr9B9Zto/M5YHsw/T
ninjROVouTXLluZDPjJBu0Q/rS1U1/ZzGjSfs9XG56/X/q9+9G/0Iy4zLvb/23z/f+xzqKt/zmB+
/ZW/KkfWumuOKxVCcAA4/ysS+Ff33bLIZxLO/APAJcxVVPqrB+8Eq9HO9Y0vDv3oy7P/mwfPpi2O
7XjnDnAyYf1HepJt/zNwjVkq9Pi5sBhsk58HSeafbxulog4wSX/E+2wA3bB3lUG7qDYhW5bNC0/R
kPUSuQr6ZThIcK+l+QquhVi3rJqye7ZLt19asBEOWGHssbYZc4IrLKsInzKfuovP7pK8yqwhasaJ
/qrLipSSzpiYj7kxjgYtJGBypT5RIis7TdWEekff3FbFzIihdUaYTIRNxbLgfDoTadQmJoQ/385u
HD/njmrg0/hv7LTWh7HWwUrphqTNqeyGG2F2KPMJ/9/zpP2c+hlRliwlNISrONItAMIvdjBcWYBd
tAuRSb/wWT9NB/DDbGzSOFXf6VvW7tCNtNOePFCrB1bOCtaNFodq0hx3Ndsbtp6os5NfJiq4YoXr
POpmkziaYdD78PGpDn0r9cDjD1R4Wrry2HAG3GNHBGwsNir+YVpF8USYO9as5o2r936crceRTVj6
UPc5dOuuI6eV0Bsn15bMy6aTZbvNPaXf+tadX+KlDvyoTVQznViTPa2dNY9flL7hYL+xbEnB1Wa6
62y/pQEv9Q6lQ1m4d+3NyNy38mvAEZkgk5oNJo938kkBvXCGnG7sfhTdIctd1e/TroUnpLnUt2xK
mM0H5cudTQCpPDh9EUc+JyUWU68+acaEZ5AuhWKyYRdUW2/NgeIBpezyCKMx5RSkeaDb4zjuRrap
RmTqdbKfwc3wRidN40XYU+PvIM7MjwVNcy89vo0kIrJ2B3By/ihX2XUPQ9o7DCwJfbKqNr1ALS/e
avhUm9jU1hg1RtIfC26b5tZugzsoqS0nojTeAV0ADU0DweKisSZL75KEh/as6XanQSvuJk9BCInb
IRooUpxTEU9kRJxSAoR3IK546UAUMTfqE5hA+9SX4GlYqxd/59vQUqzLLfEjLjnfbTghaHlIemU/
xzylT2NbIjgU1Ig2ooq7J4pSn+boGVuNULVl6RI1KL4B2Ylp0CnhpkxaRIkfWjelX7hnmXrh+xrp
PbAT2MeS7di9uPU0z52OdJqz7WL1DBKovarQXH4UfRlvydnML0PWlMd4IRYXGYZJ7KExqAzpxuju
5nqqrsqDHo4BkedkNPQ6gnYy3FpETr75CUP+aIjqBLMiee2JfVJa6+PiUbqNHXULNBUAAIe+hlnW
BrFLeM6V5oOXqiGae8aRPXkKmzU3KCbx5atqOiBW3bVlLPadbxa/KkvOJ9LGDH4rwU6zM3xTxf1n
bmbuFmVpjDw86+MKKKeJbn9M4/wKIteLKpmIaSu0HbRyS2eJz5FjmCL64t+PHQQKXhZC7jC3fxy6
/vtU/LdPRY+c+b96KsqPqvvo/jGSZkHS+buhInBNPB9CMkRne33E/d1QccmfsXLKZ30HyTBia39/
LPp/8fgr7AESdAY46PJo/ttj0WFxq8WfRmmmugBO+j/xWbzwT6c/8m38B4hjYFmgV70/gwDZTWFz
WQ8uM2UI3MgD59hWvT4sLIM5F6uMRFgWRalexSWoYcGNJ10Up3AVn+pVhhpWQaoICqrvlBSuC1Dc
Z58vVsITwUc969zgShylQ3PV2XO5il3A9bJTmfjW97qJAV/nKKP0N3YsP1M/SOXmx+lLO8u+dLRu
aJZPGP5GlMUJSLN4kvYTzqw80/OrLvEqyA0OW7NR3W9rz84iLBuqYTmrmi3dwaHJSlS90vCdrb1K
fXC7Uf1i9L+6QTdsilDczF2ic6gfk/0wGWhtwSoeWquMOH8pirp21N4OeLJYq+Bokba6Woa8tyaq
1zGqJJ1gVNZVqKwUyAUC9I3z25nJaI2rpBl+qZvtKnRyhiV/kEORZAccOmjLnfLgFWbzc+QZvXda
QlVqlU6x2+U39aWnTl/S6iqyilVuHVfh1Vwl2N6yh9d6lWX7IR0f+lWqFatoS1vdeUhWIRf2THv1
nXx6wO+DkE5Rdw9KBOl3FYFLB4UDaAJGtS70AbWWX2OVjd1VQNarlKxWUdlAXc5ab44c9Gb885PL
uoAddi9T/ypKd6jT5SpTG6FxouSKcK1qAvOrmK1WWTuha4zT1mdweNzxAO4/PtmrEM52NTRxzGZJ
BqSLjZ2z5MOlWeXzZEZIDxRKA2ehBtwHwfGGPb7PInazW+R685bsNXo8KfPslWBDd5Oz0vzJrd3m
QP3SFvjSNS7eVARYZIXjPCxzkN0mibvs5yAA30KMPnhkmx/OQLWaBFnn6BV0Z96L1UKov9yEfDUW
BgCk15hVqUfIbs7FXw2IsvEBG4RB9qZWe6JajQpKostxWs0L09DOhdzFSpvG2oAr3z3nC+EIgIvF
CbXq1FQxcoGovPBqK3yZarVK1GqasOKiOeZ5QVG9XE2V8cteQYiyV8NF16o9GiYi52rGpAMNSlJ7
WDR2EwcfQLF+eat9k8wNqCbU6VOtYncfrDbPHFToCTg/8+jgARmJa78HYfVca2d56VaraFlNo/rL
P5pSqOgemCce4NQ0r+mX1zSuthNMrvweYxYvysXD/aS5mB6q1apKVtMqzMwy0o7BEUbL8pKv5ta4
2lz+AE4nBK3/FDhdD9CBKs2ml9Zzj0PGE8w/13hmFQTeiKR9WYHyxlJzVnPNw2Xz57E/+/FSnSi0
Ur5sBkngEluur0V2CqCo78F7qC27pEHFrEYeAXT31wIuI3JknkbLavhBMZBvIDGnb0HVGA+NXdYR
HygeYbvahcoHxWG0rF9frUT15SoKsff6vERMx/qhKotmXzzo1Yo02EDLEhnsyXw1Kium2i4qRlNf
q9XIdFYtnzrIFtJOcIAwMu10YQ0Ghy8nfOu//NDmyxsFCVyDOMcwXbpaHoypJyYxzx7Wsp78tTgK
g5w8426olo4RgsBcuBVCf0uWmWZZIQUNdM7G3OY6XFjRtOaF029zO1cxGyEs4w1DqQ03ScJpiAQk
6X783Ei0lR8VRvYqqVCTXKUazrlSbexc1j8K8PqXuE7Fgwdg4dR1HglYIGj9Q9Yb2OhBFXnMPx9+
HqA3Merdm51f9ihcjnnVIbHbMC6xMdiL4JNEqcWL4KlxXaBIvpL6y27KRX8XxC2PPBEX8oudvnaJ
m3EpjflNl/uQ/mdD3JSD2973eaxuc3NUdNyzAo5R2RCD65K9JQCkYBY1O69TzqscS/vo9/yWbRzW
+xQj7dcSJAOiuWg+XEchwmP5u2+r1vWNBUUanyOTYu/kIjkAbQHCMSfsBLfi9N6y6ATAvvE2GvHx
yRx466vUW7bz3De7brLDS7gWe7dTUad3TpCPXGgcyIXhemRfzGE5zIkzHCooQScpluZbMUDstJp8
x/6k5V5qx901mh25ZInMBZCEUbnQrqa9r2p9tXRin4WVyO80weWWQHK40RaP24yv+IU4XXNER2H/
k1SteEeWzbZlNZpvRUxZjjtTeop7ezsTmb9fhtz4bCAsnxsW8O1LeIB3VlYVJ881WFWAxvtQzGP4
LRnDeG+ZynxKdQaoRAcgoWZYZCSagvZKZvRHBfnh01wGbv9D2y8QCSY3ObAY1NoSBIDI2BkXrzJt
cu4VeCQI9H+kfaxqAPlYkmXCbTJbnv15njwPHgeRTT6AV4sqR/QPKlHFsU75Sm+mJiBetJBvRL+N
Q/VbrPkjvSaR2ANp3GSgzkDFEVTTlTz2BJfg1XxZYoSZwjXXJAk4QX37MAk8BQSfWED5WFkQCFiE
0vB6pKPaNSfFpq5ne01ONWkQPOtG2i84WdUnvcTplRD2e/hH6orkNXPuufkjkdWQICOfxUS9prU4
aoEogNqyBrkwKHoXEE2W3kysV8FJmYbwXvVq9t86P/49QOkOmdlGPji6LjaNQhqcEcH3A7tcmuVQ
0l2/zRpl1O8NN1DOXkKzlSOWeyXnpDyHhmy33ZjbWw558mIlc3WmQRG8e7Onvptk8vP7eEqLS5B6
VvsMjSSND8UiCwQCWGWwaNhg6OU/2WPfGd88FU8eFULWtZFuhcp3UkHmbCvDnA+tqHEt/O6VtMdI
dj8ptuwMJMSVuK8Uosejj0QMtrAfiEVW016wHSAiLoYH794MwqZMaBq1t5GwEF8gEhlHziLfqiUt
dqlvB2eeICyEMbIEnGlhEaG2ZvI2ibq2fJrnpWdaS7PxY10Dcm6Fb2ww7YaDVU1rKnE9brEOE7vO
c9pLRpQi3kOTZx9WHfdHkLbo9irMDh1l34hGwUO5pN02V0ZyWlyWm0ElRUQu7ezcm4A7LfwCE7rr
DaU8+HrQ8L8Pjl8gv3vzIVM6gzvSiR2IUIbrrKh3Y+w2pFZSyYMMYyjy+JiPA9IK3Uu7PLBg2/zt
DjHH6EY2YO1Qehzrpx9Wfvj6/9k7k+W4kSzK/kvvIcPgmNq6e4EYGUEGZ1LUBkaRImbAATjGr+8D
KrNSoqolq17XJiuzMkUEA4C7v/fuPbfVu9JtXzrh1pl9H9bMPdUqqfMEfcJ/W5ulStT0hyIOjAAG
nt9UcY9J+1KRWFX+WMb99af+FsY5n7ylPWlgaSXR+6c6zvzk0TeHbw6oAlnG0qn/22JEexNv0WJY
9hbOusXH+KuOE+YnwgVd7EoORqPFvv6f1HFL9/KfoQiQBJx/Nq1H+prCNJyP3U3T0IHe2bFz9KOq
IezXYJBIk2iPPjebV6ppbTq7/ypzr77/6B/N5v/ugi6jEKYG2JkIPv25nYquzJRo2O2jZYMpNfoB
ka3fjVdODg4pmlrjD3kZFLy//IIMYPm+wMgvTdyfr4fMfG6Xevnoci59Tn0uYKWpcdfafbL7/a/2
8/Th/bvkVnOvbep2ULUffrUmHuKoywxxxH5iPydu2uxtzmESJElknNQ8+w9ulhqnJrTHm99f+t/8
ljxJNk+Dp5Mt+RHFMdQZUd84d4+tmYqz0iPvICCyDuUS4YZ/DPGmK/HxO+UJNHyoHgyaoOf+/J3C
U20Ld0zEEZIhF3I5LfYBkLk8WfXKTaOgtFIZH4jnbeGlN0BPPwujyuln5szhdbP0/6OAh+Wbd3Qe
JgzJhuswmf1gk4MOhmkjCsXRGwgcXvkYNXc6UsPd/+e1DNLel/mawYPz4YGKmFbnMZOvo9UOyMqE
1r66qhhvutSUT7+/q8v3+PPLSaw480rbJoPE+1XKqtAYOFUnjhgJ3lqTnaOjebn6/UV+fXS4iGPS
COZ/WaU+3Ey9T4WrzFwwmG+rY+pBvaEZLTWyyzMmZ7+/2IdAle93yqLbAehmkQR/hLN4oWX0s2ZY
x9RMsmJt9VzTCLXWAUzVyiePreyZSBJeUphLN1OsrDOwptbZHz7Gr0+wQ5qLDtKNV1X8gryg7WKG
4WKPx0poIr0rDWyToe+d0+jlCQX5SO5SZjZOMM0dk8P3l9de4o9ZQZr97z/Nv7sDDJZ8JqncaYDe
P79O4CGckQYILy+ZeDfAdoZgoINzFKjfN//5pRyHGbThsrWYH8XRo/SaqnFr65jgsLtBm8Urq+Uj
S72Hjfr4+4v9vNSzfAtkU7qLkcnkcr88vjJWVV7XEvfbRKAfmslGPpVWjnh68MarHi6b94dnmdne
j2/Mckksua7OFszTLKyPs2+JjhNVqusfgL4mO9htWo6pqcW2MGjjTdKG3FeL7PCr2EvNO1gb/qYY
VXVkxCSHtZc49R4XJ4SPZQVRAh05D4DJQCuMtdlYJ0b1py+J6f/Pn5mNf4Gv8CD6OoROtsafb38J
A1SMBcKTNteLrT7H87ZKHA3xdJuR1aEXE8xvkCQNERlVKidnQ0PWuW4aLad+SaHEBmHB0ITUiEjh
1irUKxEQPLp+PPNembXGyrsgFPvANpahnhH54rkm6PmGHkWzBzChXhvmWmcw9ZaqIDWts8FM6ycF
2P2Icsk6NClf4Lsr9gqVNq0ZRiv+g5pjLV0x9akNCIs2PxrWUTOsCz92MryACWbdiPA8Z5eXNdeA
XHZ02ni6qpm66IHoEQgRUyXJ24urxWErDPk0VYxSd1o4+w4iK6s6tipikDc1RhkfsjxWrxkRY1Bg
S1MeCiOZbkD7jFd4h5FvIsuPki8GKE7GhrPlLPYSAFwPdV7x7EG+fc4gt0Luh1j1PGHVeW2JImCH
7plokg5ovsg5hFtVu/VN4zCssQcmYMQHwK9l/QXIhXqWHcaYDONOs2pe0hHMugjpMePC5BsNk/AB
3U2yCy2rfW0AgiIgo8urKOxQQw6he9O2cCXM3m5fpS+4T4UDgAbwefuaMeAzA8dSWBRbrJwr1MX+
Qycn/itUNtaZTx42gMJ0om2s+N5Ep+NBfd/laHt5W8bJAOymgpDHfSRGRJj0KnmyyQDFaVyUeLUO
8XIw0Wi6XEV14cMXMccbtBzOuIGni9zRLnPjRFXNU5NRlD67DqnYwZSmUq36aonQ6PXQdQ5yWS81
CGTtrhV9ne9MUMc1Yng3A9Cu2BedKub9q2BqRNh3POMUa0XOrbQLRapFRSIsZgrBfqOykAQRKMs8
y32q+Q+gGvixnqJLNSKzvpIGAOWAhPRs3E45+3KgmIpbK2lFM+awfI4WvI39THfTfnZiysagJcg6
X9uT0dxSOZr7eR6w+JqRI76UFPx33pxMF7DV8nXdjhUqSy03PIR5enOgMoM/ifSSn5KPwBpLGmZr
vQ2du5yMeCSqVGBo/+10OqFD0Y+FiCuY3xljN4iLeAptBF8T/bi7zKea76pYykOGtpiTkZMBX9Hb
8lrJFrZkGnbFtwru45sn5urMxm1xArbWYemCDUziCTKCYTXnLFyDLuk+If2Tn508a9pta0/Oyzi7
xppUa/wrrd5EWxRILhHEHa5ZIyV0gbSU6gR7mb4Svb/4S0QCaeBWKAgmJ3Z2dTmFR0Svbr0DSug8
yaRQ26mU8xeH3MIDiEDQj+Mg5i9lXmcb2zbnFaJgbqMX2v0qy4byS0rwoYJKTGmcQRreLYdRKMgj
os910xTapuYMCOyROJbCQ7vJwhQGJQDamy5D9gtSk7igJm63k91N32CGDhsKeu168qvic5L1YgU8
XwWyXPDZkPYCN2ueXSV4P5JZWxNJFa+6vjG2gK/5QZ52EmOss/zDhaG71VixsXZcQmsV1TyyETto
cKfBO+fOy+Gck663Ny1jstdl0pPDHIZcCMlQuBZdFJ95FZV5rtp4UctpGzq+3b3M0KmtSDPedjZu
tTLWX3K3rT77eWIGiW+MW6aqFmGxfA5QkMU1u9JMM4rl/dwRNcPXSOeOIopKzysASFe66mA4t4qH
WnM4kT1PACRPmpnySrQo58ZNJZWZHh1yRPEuMbKqV6y2CpYr/PNVtWBWJh2PYKAD8X1o3G6MNl43
2joBkvGizSQojpa+G+bzyrTpC4WGAFEyEuTpTnmzpzHBfux1dogffyGhVE2+/DRjlO0uSxRLEKsx
BzNZsdqO1FHEvXCEc/rZoOUlePVh89Z7MeJc3dtGJp+k5LFdgeinW5TlZY7Jso44zyEwCQyrQrsa
kLkuiy+E7nryjZGDCFpoweEmd1ULK1wM32Dk1BFcWc1+9J3QP2tiv92T/hDBgwaJ35GTksZfcR49
05m3NrZIlhTSieXjcz4TfH2LkLGy9pg0vVPfpJgVQKZu4mFAH6w5zHK8Ut7POINdBPpiuO/tprhB
+fFm5vPn0RTGZUZiwZ511c0RXjfQPjtpvkYqjl7nJBluI3D58oo3Pt3UPWN2QnTcAYFHnGQ4xiEe
Hhw7AVEzDrBUV63DOr7KujYa9sof9aOoq+mibpV14xDihrG2yJDjONwFuPr0Ex60sh/LDc7f/GJs
GnE5J3N+WRuiuykSjwRyutgvgtTyTUXX+mvlOz1jMok3zQ5NmE6tZyUrcuBoRHfQQYKizlkuUHWu
08ITh2nov4ZSG24HFWXXRtfpFw3ZMF8ycmZIMs1jfwlMQqBRT1Z08nF7XDSjbR2AepFUEfdR+2wm
gzySN+dvkNB2R8PRtTAQEMyancGSt9U4zPbr0SBcICAFwR23pA8z6c2kZEpozbeQc8Jzferma8x5
VeCjIH3qclV3G71tRXIgWWIE00awA+KrkATMkzNCI9j5cdfuqXK189Sdq3uIGSbpskSLlQHocp3c
Xh6e08AO/2b0dXvREcizG9kIj2XaFlAO/DhsA6xU1lnM4rbDqmwkK8nJArJ07/bXqG2ICCrR34Pu
Ycl7ykaFOH7K7fMxMVlGLX0COVRLhp1rs2i6kOxqonCYzMzwQ/3a8KAZuIIF0Ri+VbC2Q6aV9bzF
QiXOhCBpzMqded92bnLTFkZ93xlT+4DoX2x6wpVXM6kaAf1IEQg9jiEHzam7tuTgJisMfvEr4UXs
Q0qfaP1qfZKvCTPgZD1Tp5T57IJWr8LkElzNeK83g3ZBDpUV4fVHKexpFlb/UpbgoVrXJrnATNAw
dTy7b2Eej4/Ss9TLYIfu6+Aokm106XQ4HnIyl1dplYPoDj2repvVXEPEjcFw7F0l3yCoRldtWgCC
nZNWHaxhjCHtVSWpb2MCRAEKA25KdudLLR/SjYlFR639iDM7syimxzDgEP3YnVDeMeuYTmrC7T/H
zlRBw4/m9JLmNNM2ctXyy9LP8RqUZElex5rFXctpIGF3kEM+dg9oZMZQ/LcX+h2O+adeqGX8Xud5
9238Wc5iff8Tf/VBfQtlCoJ2H+2zuzQ06TP8LfPUnU/UC6ZL+8b8rkz5uw8KTwnILP/KxEJMof4D
atO0P3kWyhMCcZH6vjdW/8//ehn/Z/QNa0qOnLlsP/zzj21JQ7yn1f7TbbEN/Ml0jnyXNZ1ih2v9
XIdhwtL6uqp04pnN5rHnseP0N728s5NnQ6s5kxh4z4oqu3EH74KBd//Z6dP6VkLuq/WmPXScqKAv
YYp4pypPIWninL/S+Aqki/bcuS6rG6pRNkkvXB5yGzvDVemSmX0tBMC6ItA4fLtnRIN5JqstqVn3
BKeY2M80IEjWDgeFlBceDTeXWKAegDtwPx9VGZySMEvFdp4jHaOSHJqmvs+9UgHLccsiNxDnjQ6K
DDP01caNdewocS4ooZSgojMJzsqWmmw0p8nfJNCZjYNbTeaDmKCoc3CpDFCZSoBZ2nmmO9lnOGIZ
TwRA3tz0DkKc1vUBAUQ973llV88pbLfXyEk5c89mO7b1oibUe/QsrQuTCisWzETFR+BwMVbmEdbq
AgZy/PgYpjgtVoNy7Xbb62naEyacTt7aq1KcTBRygDgVMKXSUuzho8fB2LOfJmDR2CGieJ+0yW2U
L3Xx2KUXtVlW+9QcHogbtHapGrDyFX60B4QSzxgIo/iRwQpUlAlpES6ICxKTj/HQdY+AQwBt5gtb
fYxpavY+UYuR86LGkEFWNzwRQN6uzNpfZSNtqjF7wKuBc9Y3ECV54muUVM3GwmZxO2MCDcgyKJjO
mQ+aVcKsoCzbcYBztx6YUWYE0ICSB/KY3iq4TkfG+BziMyzXcU1SUqeeqqI9FH1V7uEtoUVlvDZC
EAnaSTpoBXUDC+h8RVIYB14ze5CkIK1JB6tIPeq/OUnpXBTOHF4NfsWZABIxFUIXYl0L19nUZTtq
8WV7QVubEubU95DII1IdV2Lo43Oaq82FpwZz4xLCfeZWSbItR7Y40NPIItra+5p0Zr8regIHINqM
h7GZpo2sbe0mWqIjyjT6FnIYvwSQd2urZLwl3D7f6bKgIiK+cV8yfaYTgEPcqibw0XBptsqzxRnr
QryFv+FvobhgI4o1f9c7bKZ2hq+VDtM6ZO1gONglBD6MydfKEtWqp0ZHq9pQcOtFu66QpFIPqmll
z5whbL3PNwZCh8AzxzuDYTNKquxBy8OzeS6HoGhlHdhKe8TjqGOHHdNDXNscLaRI3qzObr50s7tK
DRVA0xEZR4OaHRqpL9R5cnSOjqN44zuCCtaWmLW3SjlkwPXMgmysOlBK103azxMzz1HbM+7tbiBh
De5tTr/pChMJ5xc0tclJomzbWnBJNgtjrV0ZeZfevUsklG7MEXrjyjyUXdSgf7UUV+PBymhVDeql
y2trpYd9f5UOGXbbnsci8hGPBN44Tq8EAer6JnLFdOhUUu7RL2On2ykerXGlTc4S7MSnzXApDurN
QP5NlAGhqVtn7Lr4DakF2CbyGOqZgwmQgJPp2e0TlqUBMhBB8fPW6Av9GJd+sRsSAKxxrZk04yt+
s2ygz5QC3yKq/TkdYRjRINA2toX82wLDFeiytjahPyOTiahFTI9zuCGYnSQSV3eqPfNKPZqEuyAA
zqCN1YrQs1qcUtJe1k1OjVRqJE61HvlZpkweCkICFpG5nVyYgI5h3XUzxiejMK7qIryvCXPyAoZH
/rkUeXUwfLW1XKRcCNnlDW1b7TYTrftsFnayjjK/BiThg02gMuQ1HsjJ2oTL3HrKJ5zDITocgofI
o1BKnXL6Wht+Trmt3kfhy1u7AHEYI/fWNqyp6jT6LIDI+isMrskmmdr9wEwOdCnNNfaS2Qum0Cnh
40xP9ITtvegL/6UxMVuOIh4QuVvkuXjqswN0P0h0nfrU6s8EvQwgmoCYA2VI9RZWgrxVTWkAcO0Y
iG1nrEt99jcUcwiFIi/ahsJgPfCmU8IJ+3LW9P4CDR0A4alz10k5Qh8i3pNgB7PbKGFGu9gXnNYG
01v5KQA7LDW7SYsa1mB14XesWjMixsDHsIPBeSzPFACLwCEWJIhQgHYeJUrmVehlBLmN/G7+vh7H
nTbVFHkAKlaVMeroKv3iZSJ+d6NrFk4JQ9PWGChrqpcKvIbvme2dn6T+2vKyaV1TtNMLqc/gLsAg
1uTbWLv3xD9Um9kfOojEMlkNE2ohTQgCBcsx3nZdMR60rH7ts/kih610NEbUffMAjyw33fLS5GRy
bo6LwEqf8GsmSj+b6cBSerh+UEtO4BB4kpUXZYgCPX7njg5lYBYZ613tkCnHIbb0FqhRpr6YVZYd
bRmGgTGVaEmtAZIj/I5zngEaaYkAOZdlb52T+9uRLkxEeAHxLEgKg3RCKRlSr5g0yVj6yWz7CsFw
WOm5aq7CzAxXqOza0yBIpY9zk7amHj1Vhv0m/fqbUEm+zW0ODP0oHilW4hXywPoh9/hRcyOaQELV
eCM2k0gMKvs1uJEicNshvqrsPL32zUqe6Z45n/eZ4mtwsy9dEeprFlMCVaukf/Smig1DWQvPgCZh
NHYBbFzWdSfJv5olURsLrvmsE4WzTQF7gKjUSsC3c3HOPGZAxItRtLemry1xGODZHJduK59hIJdq
o/u1R1vQRPVktRVf6MyAPIhpcwCPZnhCrpXK0ide+0xdqKH07mokfcFAiXZLYXbm5COqrNyPrjss
E1c2hoQnN3VuAblT++TRSZgVxKbOi2jfxekiBwv5ouFqiXvfzgZ6ek6DzMrbiDlES0zRRGOs64eJ
tGyCUhKn91GfVOarDa3FXsOlJrZNGtVlb8xqr88jTuXR9r4MWas/dfr4kspQXc54Q9NN38f9nv6q
dWkXTr8xqPtKVlapaNnHMOpMfHTkg9o8EXpxUxN9cDPQYtOJIOtRvaLkIh9RtPlb26AnWF7UiHvK
pKmi/9s4OykNm1emdBSC0taf8WuYbPOIyyi+J+oqpZ8zWU4/twwpvpZRfciHOJzXaRVHqzqyXnOn
JUHQScwXI0q1YjULYvoCLenGM7nwNTHExGkH+3kaX3TIG2tZde0tUUo1OOvWvehpBO/80rmaHXTX
dPiBLbIdjHtCLlMeZ6d3X8PIBVtitu6lr+zkEcKggDWY2GuALPnGTixifyrc3eumdgu6HVZ101gC
4B0osfaEtBuqtR6iFKIM7dD0MW4o1v3Ygl/zknwXwUjYhu4ALZPx5EbyuTAdOdoOuGdY7Go3Tx5Z
zbJHtrjucz6M+m2WqpDxiJuc6TZ+ny6snUNd9hoofo2gt2ByhvwhMpN0OvYahhQYac3B10xeiFgf
sg0OTx/OA/jGmFTWLMDeBUOxj/QNDeDmWgGQe9S9uXu1JcF8QAf8I8YSdSnwKd5Xlt3QY24rvE3k
vK+zwl4mszEwFr9RhDtSPrSg5hjT+8Q7CzKxZ19aDo1LOfWbJOV9OKIeoXHskQFyP4Te7HyOmOnO
694b2Vm9jrT0tG8gpDFgoF0oMuGg987ip94dUEpVbneL4Iv5J7lF2kUO7P4pLOxyizaS3NZiHvMz
yIs65t00IpVMZCDX2mIoHnUgf9c9/+l+LFhem8K/HehVcAiru69lUVZggtx0i9AyOpKDxvS37HHP
qKIv7uDCQFnWXXM3eEV2nlYtlqNCEbqEtA+z0py3gd1IezsY5XCdC5ugTHuGXYlLINv0qdGdF+Xc
BYLYvX1H1taVKcmuufGYe1SXYxSPNv2GUceXtfJcx+SwUMjYZxoZdJ1pSqY2pp94HbFDbj2IW8zK
TsYgrZsqzyWBLPXjAnV4SmbCEe2itnJawrjzWZLvarUx6+jo5Yi6Wsfaq9ixH00vKbo14wfp7hu6
XsZXeMPhWtfSMDpPcPCBgpsY0G3Qug1rqOS9XGWai34+Jr79vFea3Hetb9yQq0wtYNTabrYdoKPI
Ww/10Mizhmdy3SkrOZepzSDQ7Ny3oqnEy/d0OKiOKt2NhbxrM0DvT/gcu1Uh/OFC8T7CS5lne+20
nvet8mS0d7qCI7ihQPbiJnAfZlJaNgn2ZbHx2zzbokSYn3UO1sdhkjbN4vyEC0tHoCy6w7ykzoES
k5/jURQ3w2AgwpPJsMIIKdd2bOBXN+KCWNeMOLv3EDq9zlqoGL2xapq0OtEXQxjAZ7xnzgCObxx9
IHlGuonY6zic1xDozQYBe+6eabLs12Su9zcqSvxtk+nms00Hel9kjQRhzMrE5M8L3KSKd0lkET9a
2d65lUBlJVUqHr7mvtbv6HcTNxz7pOk1lz2fJGgU/FVpmtMehF3NUYpc7oySdgyQhQwbnhvCAH1E
j+/4sJKHUseZkcQo+go48DnbeDhq2ZeWM31Q+W6x15iGrkGGM4YZnNILPCYKK03XJhqslrWtQvT6
pe9ql+/xeSQe7rsxo+ebMQqyo9JqOIHT5c2nOP4mYT9fMKWg4ydrMqgrjXe3ZeEH+ADQnjzyuWE4
3GSqZ9MZputY6f6pH6Nsg9XU2WfkDGzMHG2+3lbVIdGNK88rwFy2jMJWnYyeW7dM1yVwAMJ7jdo7
ZVrdYD7Qs40B54kkUnTz0UKEtqD2YpFJ4uKJGLKnmphq2sLeDoOKQVau7F/1kY0VUf98NhX47g0K
zyTobagGYxnlqymDG5y6kbN25vyZRLd403O3ArMcP0tma3GE82CuX8s0/9ymTGBzs9OrTUfnswpG
y9oQNwyONPHDQ5ogV8vaMQwK4GQrzsyGvlqQXPmmAQAHp2esz+FgljwtrUt3eqErNyjJc4Iyr+g/
kLXeCSSYGP7Q4LeK83aq96j6l/YP8GR55tc1EQyg/PcRub3fhpISDR5Iv8fm260HrTavcXbSEZAN
JJRRHVzwsoHuZS4cL6Dv8QQOF3Q/G7CWHUy36K/f4wujpP5KvcZRDBzLtBZzWpyVnewzOtHt9Ngr
OtX0ey4sciofOErdQUJhMN0o9xg71rCqx5mDY4Vke5jrNog7rWEg133xjfpiMCYriFPzAR8wSaa9
EFvpEEg/2Jb3GI9GAUKDrFZf9/qV2YX23VxlJBfMmUmoWXyeaJhtpdvupza+bRzjjQEj5z+CrgNc
K+VtXJlPTNjyM6svxSsurQajfWOtpVY8jMg13qQkzHMLedhRaMUGDt+jBCk3O8WNh24dFECUIrGR
Xvil17uMAIu+B8yMGemmNoy5CnIvDGk7qWHY2i0jCA7/hUGNM9oYwiz/pmTBYjxo2RUEqD50O3zL
pBzwJhQbR8+aA3mYoAeSaKTUCdfcKgkAObXlZY/rFkEERJ7AnLOEwYs55+Wm93Kj3XR6LE+IJr0z
/oZ/lZXemxmZNyKtWDy8JD7AGs4Ok83maljDC+yYjikCmWzAqToRuEQyEiYzHuaEnABNNx4atqRV
Dhsn6MylFyjLaDX5HaEIhsOAFDhhECaGvTNtTsIgCFkSnLHpB3LR6K739ZfImw8jD/wqT6QO9027
II+Ps05u1xs86AfMSGr7TySltGn/1b7erkqO+tgtRkxwoj5vov7aT1vmBwlPPNlzG38sr2shyzWN
GReyGtBeV/s7sNKFCn45mOIxMUR7VKEm1wMUcdrtVrmLdRltkqow9iMo7HVjd+1ZqSKdzgURzHpm
v8p/hVqm4ZCs4mr6kiFuWZlqsraMchOIOtZXpsnG7eDBcXHGaWhW71mXduv2t6x9iCIcmyBDve4O
TU0zSjdIOww1cUGeoUafJUnMTaNn2d53yguQTi3IHIssUoZTkKPdyFjy59G6Hmr2R8Ofq22WTPK5
RdDzZEMMKdaZNs8vGbbnEXVHpj2T8NJcwtODd86GB73Wdce9l6XNuZtRImGxTBE0JtGh0US0sUh8
/co5i1crksVzkhre5Xve5qzi7kVLnLfvmZt+rMFeog19PY8C93DiksDyT+6macZiPgG4R07wQ+6m
rywJd9p3tt/DN1FkjGtpAhVZJTNJs4lESCP0UDsZOO367zGcSdjfTZF9zwnB/p7EGdWT2vMeTBv4
tEQI+t7DAMcpkHFp3mLYB6MUW5cepOXnYmQIlhYhZEaAMckaN1mmHQeTQ835e0hnDWcD3QNY+220
JHUyWnW6g8CVNgP+0mW6+yW0E96/QdzHnHK8Az9kr1ynah4aKTBK1Z7XB0x+fFwhOj2+aSEXTawL
T04FEvc0JLZ+R9q3gQOs7ubHbgGM8RrjmrRoUP8Y80nGUIMmRg5qN9Rlcj5LKZs1G5YfKGKfODFh
BAsMUxWKbX45CbHKPP2Q/5l1qdqTkVMFP4aARhoYfSQF463dSUXzSc9Ad1GGedwJJCu52Uavdkx8
3xpGcDSu6alNN1PWj9lqgRv/lQjqthTeo8kWzRH0x1hQRgTXC4MNw4qDzQaT/tqW3bCD2l1fAwIw
H/H0lTClBAv23NjGVVtXDGaRsPwdHMpaVl0x9e4fv4eH4hHvAgJYvItm0tRjJjX9pBfDtDOlZ/gU
r6113aJav/m3saKq9fpb07Roho6A+JOgKllWg8L2SlC+bRyv0bp8SBe14PWmJzr8REb/ki7ayCLd
hKqJMDxl7RWhS1jPnGmhptKGuoNwGB0Qo2arEoHtG9NyA41Cy0FtdlBRvcePxj7WeiISk/qxc+xq
O2jsulEl2Mx4pNYUO8lGj1pggtrg6QGt0WMDk+CsH3A8Io7KzqVRlqgRXEM/r+ZquIdBjd3PGZNi
HWuQi5xGvEc+Y+1DlnKycTXti9gg+rGf5Q7PqFhZEqJXoDWDuvCWLFO6t2SxV4O80znfnTdVPWw7
xemfdqZLl0aLEbKmhMwvqaYjs4xVJNviolP+i9YbBjyqItw7sa3W7xGnfs+rYaVmvElqQnFiw7sq
gR0CCLf7g0MOEsFOZMcIYJ3Y+Xx3Rb+5ObQQ8i/ek089x/+KqNDY9Ogut6k3PZNpFK9AdlIZeClt
RSMk4q1upgctscKt2xCu/J6MqnnC28U9apf+n3jUKisnk0Ybyb3WiI7GIMMHLiVnWX0m3gsA5IpS
Yd5PzeggujPa7sojLcvkoJfn6x9SU6eYzSa1MwK7SLrMzjW3Xg824xt6rH/FpxqZBzukmk92NvP/
6+F1a43T5aBIgDD77MFvzc9WxGJta+UmEda8plPy7MNWCshCJYkYBf76PWW1dLVqaxqZ2IOf3hGy
djN7klIBBe7K7/R5cTJeWsR8B4A/HmVbp1dO1O1DzdxzsFK7fhb9l38Fslq6oaPM5ISMXOaHVNYC
bt710NXXHcEoU6BX3kKKWwrBONcuPYsEXmLU47MaP9s5Io1X0OrdBazhBmI8+Mrvqa3ogj+rwYby
VYznvYRP0uT147sW978chj+MrYmTYI77L4PKLwmRq+c8eauaMsHG8n0Ofvb6v//H9z/1N6DIEJ8W
Gw5gBdN85y38M7k2xSeh27pOdCSvFfjrfxw85icd1TNnMbEwVt6V7n+TGMxPcMgWqbL+HV/0H4VE
Gj9r2Qls9zFZcAp1XIs8SnOZ0v8IvEb1U8m668ZTOaDB6QcynIPKSpdoKnfoYeHZ0yEdsThudD1T
uJ1Ff89EA2dl65d/PWc/zdV/mqN/TCzi0wjm/Iz4mdcv0Zk/fxpRTjJDmNPjSidHBfp2GQadWzls
ej1G66AfBID4XiLnbAoPEVudNkhaw7l1xYL+L199pfRLfkbM6S3PjfvZ1jxjNyGJ+mZMGsq6H+73
X0qAHz/xu8Hhh7n/8v3hD3I8+mT4LH5xCInEjbm3kzpZI1wUTp9zft8LjHZbdDy0E/tpNFKIzWSV
zVgDGZdkusWss6Ev1vSVesUCSfRJokmb2UNS9bSxYqR2boMiehMt4/+s8w9FSwrHmp4s6ta4PmY5
a98maTXnIkEdWfzBi/TrbXAFPTJuBNYOxBUfXB0uk5hBk3l7KlXoP1QRygu4DNicUVHitoIy69/K
0Mg///7L/NnKAGLyHb3mWgg99OUvy8f6Id7T1sdIyDYqT6U3Gycji7tT2XJIJbH+4fdX+qD0f78S
jBNidzGR+a734TmT0I1mZKXVyZM6anaa0PkuVB5bVSbjDXUCMkd6/161SgkUKP700Cyi/B8fGozR
po5/QiwJsKwOHy7vulYCZ5EQz8V8+VykHY2HfPkM9ly0HK/RnU46t3435PU7CKNyv6ncb88GfxLn
o2M1+soa0op6HHnGvdVIk3RFhkffpNZLeoNz4a6AZgk8ZJZDN/P3397HUFS+PlpULBsWsBjBu/pR
7OJ0dmnboUaHPaRcaRZUL1QShX+cqV0ZHYCxZl8jz5fn41zHW4c46mSF3d19UyQxVqsphlEuqrT/
BisburyN9fk7Ue//uZYI0P8fvmUQNjxEMHBYW3k7P6TF0qRAjo0H6CIV9SI3Xyukw4SkLKwk1Xfd
ipxznT4zuuEgjmNoB0a5a81G7nLBSCTL6+JG5jYcJjcfoseBoeEZpCl6BXYt750F3RTWZUge1cJz
QhyXDkGYtuVpkACfyF6hTUmDHfXNOxEKuHSxt6Fn3ZhpdIVl2hqDvHPrk4Impd65Uk4PYgpTgsna
ILp5ZkDqped5DI4Kzpg4xAuian6nVQ0kNKGOXSBWMGsYHwwL2soYgFxxqnnhTKJuqYXQCdE6d4kc
rDvQKaZ5V8fYOHahq3H6BzgQfvXxw/dBgsaIkRyILSlbwu2rUp4ZtZ+/Jv+XvTNbchs5s/Cr+AWg
ADKx3hIE12JVkSzVohuEWgv2LbHj6eeD3D12d4TH43vftCMsscQigcS/nPOdoba571csF1OyydkM
K6wLDDzYKT4HcuiF99SMxRSYdE474xfpK7ccqF/DGKExHVYYWNFKsGC19wTYA1IYyU/dgUeNYJ65
osTczsnfGRDGZ6G8+m7JDuSYl2oCclWxfHVp9QJ0J+myG6iedxpx8F/FCi9ro5VjtoiVaVb+4ptN
K+pMjkDP5l/8M4wv5IJ1sjiU/FUUVCspzf5FTWNRCUHNCUdGKNXKVaP1D335i7am4K5F5kpgG1Gq
gWdZuWwpVxL7/V+8tkk604OdLUseXvux6YpiMycozdX3GEKlWD7aEUhoAcBEcZRX38RcMKhQm77r
+1p/RC1RZICJCe/ZD17fhcdCJXhJUvY/d93R5DGdJYkPPd8BQRBkQ018XYXrbku8Z7FPuu7YBDY6
JB2hbWeETzERCQ4M+9kZ4+085V73YKMM5ooaWfu2ROXwLNzZWpyGT6AfpM1yzq3pRQxC1opdmScK
LGzDwysMpiGxfS1EjocSNdRL069W9xNunZ7QJWjWzMbakKpgB3agwP+1WJyYpYDY42MfwbfB3DFq
n9tEY4NURYn7E4UX0q2tXolun5guQH4Lclh4KiX7PCv1S1Rey3xoUdcpOoooZk0X0jaBeVVtmaCQ
sIv5gKa3qH1LAGP1WYgiA1IgSzWfr1W8aXWBzUpikkBYnhW69pSnutbykZflG1M/rzjSYnZ5kMWd
fVtYecgdeDlhoNiKmVlvnFjE3T5UA4NJHsbylEYYb3Z9zTtgZ5hHS4BbaIGIks71eCncmUtb41ZR
29AwGC4hOcy3UQiEeeuUhCJuEqelPimXVC4/yEP2GEDwBthQ0FQ1RwPy2oGw+cz2RZY1cptUCXmH
fcgEVRtV7T0z80rpGZMGg1NRp4t2JpHZ3Bl1GLGqJB+jDow5xvoRJwYqtIzsRdwB/D0aKBIiuHwi
2fjTmGjLpkMh/kWVMzYEsMgZGkFjIVKYVd5gavJlzkfRP9o1UR5ETzTdBRsJjyRm3RkvICeOTytM
YqP8IHQLN1UzFzlGBSKOkjNM5O7lly3KmrCTgeni4t315QRtqrURnSObMZhn5pJtjY+nKkiMpPnI
WfAwvo/S4d5a9vhbTbTJge0hKUluZjGYL7F8yp2VV+m0I8CCaL2plua17Szjxeg0/gabRowHnTE7
4G1EkSYHhagG+JbDBPQp0RwPEnazXpxpiinIQVQDf35GH4xRc/WzxWPJG6taDt0zTzDvFd4QV3fB
KYlLxfAm8IMo3sVzqvosuwm39MwjLoWxv3RTtxafIJeesRhggargv4zHqloWej1R4ERb4xj55de3
PnI+8b4YTDwijuC36BuoQZuYlnbxvWzg1qlz2B7XUjnc8qqnKoj4M85U0ZXxqtqfycSTNTL3Y0xC
b38ptBidIvlMzbSbMJVLZIjoPfnWuZl8fiMOkMkz1jq5K4vXEIHtyR2ShP1RbGVcF3Nkfx1LtgIb
slzmm+wmvT1HlLkpbNIyS+8uT4t9W+p4uryo+TB1QcoCGq1EnCo38vpzSDjvsJ2xhQKAdmZEpoKP
FY5FM3/L8sx6nvpWrw4NKvPsbYTh2R6KUCt+zou3niG/jGL0AS5gIDFj4qntwnvT9BCzz1hHzQZX
RRPMaoxvSdW1Z69g8r61hBKrv8BCZTvEeAlVqg1RQMgAt8mCdcY7mmVlND8KDmRw1gaXVDCuJzbZ
bSRt7iZ4JwEPmbE5G6oXNiEWOXEdeSwHVEOqSb8ob/BetJky/bR4nTK+dy2W002BuXs4JqPgR01A
9DEDjpEdHWu+FhQiGUPWpRqG7jLNTn5Ph7bZuCw/zGIaQNqNrGdJlTHWNErUZ9WltCfzQev0VU7U
lMVwjuaxjn30cEX8QiXCkN1D4ggJJ2kHsnZashu9cUCtB62+uQPKM5J3o1ok809Uxtn8GRmI5vHD
wGQBemKbcNLCevwtjoCC+ZiMbBBfnm5cAa+Ey171GKIgZ6/U1UR0qXxma7hYj4Vdo2LCmqDbF9OI
zQmNYDq2wRhjyglGt2SOpha2U4zyWuSQk5zUdsiFqwjZaLj6M3NCuzszQ2KWzuiseRsx072kMThK
bofEe+VaL5Ave1Apd72ovXTnFrE9soX8EOBzXGNDgJzz2RIlRr8Rc6p5Ie3GHW5N2HqKhztXNBoJ
ybdJ4wBGNZFdRk67qmP5LCY9t48hsTX8XtOkRZcMPRfe0paJCnguJLGXHFofbSQy2V0bu1m8RbSh
H+fG5L6fbZsYVTOMncuv0vm/k5R/M0nBAGfQzv3rUcrjj/Fvpx+q/TH/8yjl95f9Pktx5CeaNgzP
+N0lu9yVT/m7C8CxPjF2YXdIT6f/KSzMBOhs01i6wloHC7+sA3+MUtxPHj9Op4kXDFp0wBd/Ef3/
XyYA+as//ae2DmomPazFMwFSiGOCW/tz/4pWpwRraGEAH5iN+qWSHddppbJzTMTAedJVM9wjpGGn
Sk/i/jgkZXeNadmKPWQPckyUGvKCJ4JHcRP2chOuieyixsEdwadIrt7Q6vs15QM5bpP6y6SNDEkM
4gSMGVzzJErr3S6HrzkpthE/6mUAuHjntliurfJeyLJN8RgR1rOp7JydMEZ/OJAyXS79yDNp46au
cWttMjw6lhTvXkZQJc77RNzKcsxOrRoIUClcbHBsdHn0OigHLGd6LFjSbw3NMG7hIjSKfc37SSNF
zDvuOZIBhoLsFECXhYKdlRFBNhgde/AWaYbZIhJdPygedO5WOfFvfP9gBSBOEzZkDOpoERnB/tYQ
Ht140R8XnAq+I3te2FojJlFRIoHc8NzgyTGkC4a/Mnf1d4fn78WuIftawiPMiTTSA7mo6jhoPf+6
QWIa0nKiMNqk8/wxIZ4UyYyHwpRMHIH1u5XLQaVuX2xFHWkffS+tOyEnFPp2L40H5baevh8tI3+d
M7BTZBf0xjtjKYZT2USOCxkL8fTk1rn2c4lH6IuyCWELT/F3LW+nxxo8+f7X++NUV0eubDVT/uvq
KPKOL6NE5suSi9Sqna76ct/3GLWQ2Cy7pOJDRmzbAe0b1ni1LhEPDGl6DCR9h6n2wRZhHB/C3MiW
A02AkrsYY3Wyl4z7KlzD1IelVmWnxayOgzI7HNHpgGg+icQ7ex6XVWE9uzqOEXM59F3BteDW2SmF
QUeNuqJO29ZKAhMwwb0Cs/eqNJnfY2J9VyBl++BCUwM5OZAnIYWyt03RyBOy/OgMaSp+o3pmdO7N
1lmr+bJdgnhQ4aPbwyLOL5nSqAQWxo8ShhVa8cxqAHHZXmdvprQmQbJkC+WarbfPcyF/jkgYCDlR
BTJ1Qy5TvMUXm2Q7L9W7+JHBCj/L63P055UtUIybkowMRCSqctIA42J7CwtvviQLdYussmS7dDpQ
UbtAzo6b0N0bnYdBguLgNe/dbF+4Exv/zI5xiE9dUrj7zNDbO6PRd6vL0Y9Z+hsrlBkxzdCgRkv7
RVuCATlOEYVLhwHatneJu4RYNEXt93pG/kYIyQk2oKue6CirZ4rm4tpqksy9eSa0KzGNUx+VHpvH
Bjs8pr4D48QuENh8ToQbrTJf4o78Mbfk5wkX5cYqZvRGobK5UUn/3pg0InRoeJR9h5zTHbTdKVhB
cTm6x3Txe0jO+6aW7aUn2uZpcgG7ldpoPXdWJAgtHViZ6g7YMBYNeZhuXM0zH3KvSRCuUHu+A2ZJ
LnRB0bdZpSnT8uqoEAZul3pNGoQdNW5So4pTWAASga/Oa74uDbpciLlqKg9RVTR31AbgCceBnVIf
DzLBuFQun+nzED2mTfw4yFqdFr2uXjXbYhPZOHDxAeVWLGMjXCsBjAKDcinvzK2IyzaQfWmxq+ag
MDY9bMztYNvzGTNCdY2npX3z+P0lg5FlSo91UTktOqJInYCmxauVoV82GYL2DviBBdmSwSBJkLFT
GT78TkUFKuIXm7zGxZ9yQgmFKtLz0KV4ugcFvRE6gp1spM1OjHpyQu0QoTeei6/VomNpYtBDoHzj
PFZzr70Q0sLhDzp92XnjlEr+ibwj4dVd1LNyM8JXy8HdViOHubAHTqUWR+jHr5OlybrwpwcG5pRX
3KHCWJAu/bqLaptDa6Jhe1Vj4W5tTedYHURF0Bmpk9hRK7vcTxHHM45IYXI7jOJmWOs/RBTTtCWi
iHeSr+r2UR8HItlXRvkjT/v5sVWAH7DHLF1AovxyUZg+/g6B+W+59G/KJbhNKzL7X5dLx/J78vUv
uRh/f83vtZJrfnI8y5UsUv5Aef9eKrkudDhmoiSc/jI+CqqoP8BxxifHItZadxyL5Azckf8LjiMy
w+EP1pfBAIca+R8BwE3zLyuGlU1nrOQt0IiQQ8VfoVu9IN5niSftGHJiI1HOUe+lYRitPi68BzFp
SQNc/xleRK8NI9FywniwaR8uix3SjxgGK6lQT4bvTm8UT0s4lV88PZ1XpxIUlw2vKrYTHMYdct7y
S2GF8qgz035SCY5k1L5KXrgt3MXP0iKiE/Vye5/Y7h3GfX6juR6e9OFrUSm1ids4e+0GXX3wcBg0
fxnyciG+qsbSCvt/IomB1ftGk5EISWBe57qyg1AcoNTLfou1DNe0VAVxsbNQYVAJZrbZRIsOC5y1
ezRPIbMSPVzMraWAFAU5UmHpK45hwCJuKvcNg+t4AxQ5fmA1N7gceU5C1HpJOCliX6aLdVvXHxUY
18eebAy/lzl9vNeO3xBmlh+4N/BdD240n5MxQylSp9FXEUOLSVISsAGT7zhQat/uhe5PiTs+LtZU
PVtyZucGbqnBu1CMzj6fkuzRxdB45dQkaZaE+LmtjsRgo3duMuLgyl5t8MjvR5E4z0YDPG+TyuLb
hPMbUHrhPtuWUUOGTbs7iQMUE4hGGRzPktiE2iBpiAP/ZHX0jinsrDOxUsTOL63RnIYlj7ONHll4
c0DQOg+uXgjSlrQ5f5VF3d97GjeetQYSImSAxjtjtfAd9fNqMkDgRiaK9jAuIgX+AtmgAl3sj1O4
ME83+rd8zXxjZVKohzFUzTlGUfTTU96SbqJ5BQ63iHKfBrPMMSZ6q7oV/1q5WacBl1yblMFgmWyr
BqJSELEdtVDeFFWxEXTNX5DegPYcCTGroeXK6Ll0aXsP6/D+FteZfBNRQXG/WPxrrOXU3ahFuuub
2DwbImUiEcOAOeBgigBKVfVWdENzIMBkuEWAhH2bEJYPreSxhVLI+zGq0VE7Wy8icO9ydJNgbBrv
trIMR7/togoccyTtZxxjq/nIDTWSBsmX+GZSrKPriQWTb+QKW8/qiHsrjPKF7zFDpdjGz86UtpeW
kePJUfhKAgNoNrzSkrgSGzLsquWvXlzZ6E+R6mgKtIY/N6rIvDBY7plyVEX9mJaYQClLCu7y9wlx
9gqRjgBd8vGANdbrkwf/l/+pSgMn3GbyBjx/NxwOtPUPpa5P8Fwg/XZU9SM0kHBYoMEAo5DzKbbi
9NCM9rPh4kKqTYdFnmRaMZvsLCeQ/0PQTn3+EYbevEGNDMHHwclA2G8tyLYnJ+DO4K2HiZwYHZbl
uSFEPdEfzRp5RYdwfm82hN61VZuDrwFN5IVDFrjUGb7ifrmFLYUN49Uh/4zRVxYPdt/pAMuTdsFd
ZtZLr9/NpR1XMbNjlxYS0UY7jL16NXNA+lrmUi5Nivg8qYYT/EX7UqFA2xfdmpg45UyO+mK+NpUr
jn2aNxtyB6OjO7f5dVRS3aAiTL6ZpcmOKVgeODVfJGu8TRHiWDUooTBnb3oMEZBekochPdVjwk+S
WgO9IWwCLxEfdhij4E21U4q7pgdkvwGS1fJjNIxMTWu+xiw2j2GLcM/gY9mhZmyfEt38gBsUbcn+
85iEDtoFG3h4oHFletRTEq/KVSb+fMkzaCtAIwufYdjp55TREzogL0Mm08afJxmXCGuqV9dBTVq4
9TfAtnkANOOmz8rbhh2+Game7DFNn7umfDdDhKpiPjsJkqVCr+5DgmW3mJzOH3VWY7hpBrpEqphN
P9XuwYmNzJ9tDHSI2BqHvYp9aRKjZX6PQBVfxW723GEv6BO2RksOKm4QR986XhafgPPjtESutXys
m/uLB91oZ1NdCi4jzLt994B+GfKN1pc3Hfr7fmWM7Nk3czXNiJNmFaZYJSuAam5i1dcGy/xNLooB
VJR0+TXTpvHJ9tR3kKP6iexB44xltAm0FkOLX1sTWU8EQGnFBs9i9OJAbdrCjwVHNFkigJpRbBlI
zo/klbI3Ggz1ecHf7Gs4vB5xplwtRfynxKbjq2FoHwuVFb4ieOo+5GF4tQT6fHMdO1hkLuNIGc5e
qI/bTMj4az6FX+NWb66idkZmbN50TlQrbzabhns/EhLYSRKngef7eOc5+TX9zUKusLE0/hOnU8ie
hncqMufbOA3tjR4Co2c/zTvJPHjXj07+027D8nEZKSmXnvxRU5I53bfmI2cMqJYuccAQxEVzI6oR
+JZTZmfpVJKISAHTZWrjb2aec295FMK+k/U3LsIcNrSeP6dWiIW0JA43sRfmFYb+7JituQWMpI7F
IuVzjuhqq/Vz/US/8MUalB0g3s/uhYei2eoc8UaTR1wsRi+DKyOm66IusH3DdErw/wLdOfv2vQFp
66wNtney2nE+YCCbjnbHIxJUon2EFGYb2/+OFf8/jGUUUGgn/nWZvP2Rfx2/qh//PFP8+2v+GCla
xMdBUNYRVBlMlmykDP8YKTrIHKxf0izUW/8ok6UHPIT/A/Ii46113PiPMtn9ZJqAUCH5WgIasS7/
k5Gi4a0ahb+MFG3DgFJCsbxSSv4yUszSIYZn4TWHmdj7d8qm1QNYS/p5+A0EOTkK4FrdzM95JXi8
5/HgU917hNnqNe68pEQRLBfjPUx6VtElpASf8f/4Y+psbQutNSUmgdyXPOooSjQAUn3+xdSUu5X4
13clJeR+lnoUqMmz5w0fYnLAw2fdIWGUDxNBEXjqLYYzLqrIAzC/0PRDxnwnhJ7Ztq9C0qSdnGj4
GC8V2091ppZcZ3Xc1dpkpfuRN0douLLro7NQ6lWa6m6lF5knkna+pE6jvSd5ob1ETYk3kWBGZAEi
Yj3MAKl22/ppmVrUvVN7pbr9bmng8Uo8VJjExNUUM0MgDm2YgVJjzVh2ez3KftaEtkDh88A/4GLv
Aqsm9QzjWb1rFv71eBBXW+IeT5zuAvdM0pOLa2K4L+HQX4yQPFeIaPexWYyHaazX/IsSvqM7rv8p
Hqq5eDDd+j0ssCwvRjedOKa/QB87rrEKZMTKazZnXxprzf2pqju+h+UDvpm+rSWq6Myte5oBpmAJ
TAouwZdJhiAcGMRmEAR5Cw18L36010xy7yyO/iQzTUPQklX3iC7mlWGC+cpGptzLElE+GAS5Y8E2
kTPTcQrrxc92qZ8RJS6H0NQguMzN18o01Evt4RiOE7aEiJRztjwCptxoHbB+sjC0uuZpHmL1bmbu
i90m1b6aoKTyfARdH2ZOsDiecfAa2w1U7n7G0ajx3JTj58gMo5NZVK0DgaktrsIL8TToDMt9p9Hl
FXywfCwSdCnbUcQkYle4VIM8Lu8SvV5ABK2Kt6KSN5otb9e6YbmVMmZlB196kyZDssplBxLcp8bb
qwZ99TGqDWMTJTSDqWG5m84d7IpCa+rPUYTmezcqzfrMZjE54ybXv+BDGLbt3CU40SALby0+y2pn
uIhcaFpmHadiY3XHipiRjWWl3fxTK61F24PDrcKfs+eMl1zACdxEWF+gzyXIPIw8IoskNe7/Pej/
Pwc9x62Ovutfn/RvP9rub6+JipK/qHF/f+Uf5z1jDGHbtseEyloHI/zQP+Yi4hNnNp5mFIGG+acD
39RBTKHS5nnA/AOt7D8d+M4n9j0AxNGZrYgpHiD/wQ7Jdnmq/OnA58GCuo7HimMgWpOspP6kgYxm
c8wB3sRHIOn9uXJLC4acqNszihETIw1N1QbbGmsaoNNzETGUBEC0zXVjPADqAwcQhr2zUywy7p7L
3/Fk7r0mbpeD3MBoIJPeg844Wc2uJy8nIzU8to5tuNAz9mkfLj700RFFvGvlbEKI9dsO3pxtLQr9
A2FOp9IlRm2jZlgdUeFGn40SdQTuM7UWd+m7N46vxEqGnNZhO39eumFdkefzjsmJvu3MtL9CBjVO
pC4xIJ3KFnJDuJpjWNtT1M1N8sBLyMtUkKj2wLGuSVin7Tae0vGgZFNdlnEugRRI/W1hX3ZO0Wm+
hDVmsFnRoAqPZTNe+vU3z/GtBaIgmSYx0nxnO9bA2c389R7F4BCEnGpgFfwxzjDj7BnJ5ypDshu5
3XBxzRnQSd75WqNX22ioiAeFr9Hdszp1nhFUyWtIWYFTG8+HsePQXb3zrrZsvT70WPoPZiBqvMD2
3OTYt/kIZduZiB49pgKa42zCSWJEyuoDOT8PjjmLvdHHT3j0hm4rZt2kMUXb4JsWuVsl0iPzodPU
QOtQMr9y7aUD3NwdvLHsPpstgN0NjzEj0Aah8ATPNECIliy+D6t/WFxx6FL9g9PN2vb8LkEWdq9h
Oesnb1Sf54xZiDfr5ReFMf1kxLVDepcbb4GTrnnn1pbA8ejWmqUkM9ap8oubFs0jIiDi6pFxxM6G
2bn9FPWtDWBDC1d//vBBEJC4zk2VBlZkTw/zUv/ohIR7wZDeDsImiZ6XMW1Pk0eJnzLJQig7PeR2
FoLltInULLXwasjuPWorHoXge4+xrcLoPHZ6PlwnQiearyqK2i/62PQ/YRYYV7uoLUK/GnnPbDPd
0nv1D1bbNrbfsYQkYbMu1IUp1xfScvtHDe9VIEb9h1kWX5xxrFof6kBzhGrP9i6R+tOcO3S+REET
CBrF/QtQULaQQ5gHdhPmLAMKCDAH3ewt8BB2VebsV8fxSxwtFSrHmSIqaLWmhbOWMiNa+JYDy+mK
ICnbAe1ptTBF0GP9gaESI7+JNe51qMUzW8WPpfU+WPxtFFrpQDnYvbAnJjVITSduFNGkXDF6JOw3
K3RfaKt/6Nhv2SA6eR0o0yV9Lh8G9wlIWo01nKVtSuLNIeLMufEToo0DbuCxbZIzBfB4nAxmH1zM
Zgw1OKLDuUB0BRPlhpOK/F7VHwUa9f6mutnhLbUI5/rweeihGKkmqy/zgD2+HeyJ4gUDninjY4ZR
h15xoSo69KFRIJvr5/QMFjrN0K6zcNhMemVdWosKx5HYj+MiNIKmXpd9Dm5QoyaoxlQIdDfdci5R
RR4iQLr7zM2RXcFe2FnhPEDpmscdAb9QpqY8e58Yw2yLtBnPbuLszBLYGwnjBrZe7PTwfFPryhRq
nc5iFrbHuPDdITMJYS6aU5rhCiLejKxVs2UbaRTRZRyskU8gXZaXJteto9W56jIB/Hsdo23c52cW
eNG2yFvCHZOocoNJk8Uurc/2PL2LcLK3lUJRSzu+BBZ/65xbenUxkMIlGwKwJrVpqkboW6u3pHPM
bJamtqOaq/SUfHEtN8aiRX5ebIG28Od6mfehBgTF9/IsAyLnsdqbnPGMsw+lsRq+5JmbbmL2wtOG
8lHt1hyOFc72COd6/kkWE0Xe4DhshCN2f3Cx+v0UQoEN7QbOcQyZJbZLY1sJvT9i9cp9ihz1kOT9
Fx4s7CO7fDiUS0N+YA46AFlhPY62j3eu+yZKnjaBYzrtg7nGzg6RcY8wTxykBtAr0Z3aV6Wb7nOH
8UW8qEOLR58hqucGjAQZAZXacBCq1I/67BiIsrL4aI/mFABc1kk+HDFOVsrdtTWOqN4xvPNUOglA
h/wW2jDRnDZy9mPtAeMAgfaTnKt+ZdgAtSlqzl7kBPnWk6IhBdcoFjoCUFD6JJ+VUflaBb0QxJs5
X+I6Sh4TfXLRgBNlMS+Zh+QsMU5z16B+7ZszXJImgMrTkk2qgN3BDA0Y8tYPnWTYv/RmfFSL9xta
T8IQLfUd8Vwf9Nn4W1GYgGkBwAdwDD5XhoqPrmqjQz/mcoth9nEwwhtSM/komW7TVg3WdTSTYqe0
9jGa01uvt9p1jNPnic/1RHCW4G7MH6HfLLvJzmhOcBVbOkz61t5ZS6u2ZFdF5cYa+s5X5jR/NjMg
U2PP53pr+iSyTwsVbX+ZWz2q2CdDj9yIZAK00elyBSWbY8X6FejEogdx6NXLHd+3p70jvZhmnC0O
unO8nAKiZFYSuE0cZJ6bgdOxIzzATbtbQITS7TIslDJtlpuPQ2YoLivLIK+NHDZ83oYqfswgu6wN
sXXNk0DgEG/rVC1vEq7UW1Hp08nBsnjum7LdN7M2QpMnRYbRCx7Zk44OmqOftQzKvrg7zIW+BEbB
iemiy/w6M5XeoglKT4PusfQEkw48ANHbqYBDQjdhBY7jjURj00Oin9T2LY6653Z2m93oNsZOQkAp
2QFzvDK/5wOigwNErEfRqzmH8BTT1Q1cgyNfdbLmIVEYALf6grFgrNhIbHi6LeOGdFB5Vsxv46BD
3AcPVMy957KEGXTYBDzbNiiKXeLNHSAXxKXFJ4i0JQ59tx16OAJzf2YJoh0xGdrr2h7ewUaXpvdk
WBpJ8DCcm4QU74b5q+st+AhlD/onanToein91ZTq6dWlF7+lHosJdhZz4leIvEGHhdNOEVB0WIx4
GljmTOwdGLc6oNjV3L0RCs3kFY7MQ5G6xcrRmOb3RSYMP1trLyGfgXEiXJ4hAU4yXk+6dVuBl4sS
jc5YS1ps7pNWPJozWM+1AgLHU9jCPZqJqb+FIaMINvhh7Ec9NDZ2SyZddZt1uo+/pHvn8F4CyYd0
rjzjN3y+AJQcS2e4S70FpyXTSbv0mKKSdd6nM4MMS/hdZy+1b9px8VQ2rWv44PPhz1nxpbbGmjV7
0T2MvUMYOwTxNQLQta5tjs43aMkx2JslYe5sJeQJAmczbHNsQ98n8ka/eNTcn8VsO+fQjEmxTObB
eWjh8tvbMCIh41LolvTF7Lx3hWzf5hCdsB1Z5i7XCBsQcNWPSsyL8nEg2B+yNtlwtoBZD4l0OAdy
4V3yFDuPQCLvd8ymv3KeJqdk1IwAhaL9PgxZCwmcnPNwpzVJjLlFXwSpeoWCv9/JW29U8Mxtwgur
2cmCzEw8xqNFH1jwMc6LM4yPZA+PtxaEAvjWcfIx14pNhf/p69yM+PtEVSE0R3ULup2JZtCIofOL
lfgnw455tB3bOzHozncBQvmhbpPlEelnfa9HwyEz3KlS2JUGgL1Sz98jQ8+ZU8+pd4K+Hp4SgptP
eh02IBys5qw3kX2VSzcysIfCL1Z5hIYKaGM4Zh3MpWNQ++s2AQJhDxK+i7En5kW5G+3a2qe5Vh7R
bk6b2svHF3xUcqeR8djVTfqURLjO07QYHlPHEWcOiWHLDcjN4oBmaQdOPglEwo+1poZ2mtrBjEW+
8rNhbjZQU7nXlZmeEZrClS+A70bo97/FmW0x72Jjg826t39iThy/24BeXTTc3nQZhJgkYwaz+rt1
7L+CiH8jiMBjs8b1/Ov+/171Xfy37des6r7+87T39xf+3v57EKGRHjDU9bBimKSP/W/7b+jmJ4Ze
LiNdD93Vn/L0rE+MiBkNSLQPf4pFN8Un07UEBlBc5iRgERn0H3T/2Bz/3P0TeMRUQidJixmE0JFf
/rn7h7WC4zJstDND5uEKwrYIFlNZx4LwTHZ5fctDZRA3uO/D3q04EY1h9o6uQa8WZdX4Mmd2cZat
IGOm6dwDcacgj8IUbgxy+BQ1YRkHWRfB1ZUHE74T+cA8iU2zfB377HkUZofeKXIRsoMEMWxWiWFr
ejzUqNWpnqHtAMkU966EmVHXYqV0Rhzp49C+oPiLN62D8GruVf6d/ddmduXnlGNA1gweEbQSyTF3
t7SyrX0zWiZehrQvbkm69CcwW815dlCZYZIvsj2h0IB6IFY8zMhMj0U0kcWdLt3JVNSVXdtLn5Tg
xUbqp+uPgPjEtBl5Fm8H0rIBT04N4zg62vmw6EoP9BpcCrY960FXJJ/m4lbjv0am4Rmkh8MPCCd2
1xO1NM2/wB+0pi80pNHCIimQBaDPd0ue+02UjZtkbPwokxze9BbnpTOznWNp5LtzlhNMA0uuN516
N4kIWdtUSsPyrRZAHsr6e0N7uR3n+JU0dvF5LCwbLwm9ckm8O0KTxtvqs6zCxxqEgo4QJE6U5zda
bOjngYT75Y5WNsv6IBkrV8NgMREMsqnyHkRSD0kOe1lZtYuvW/i0Yd93KxaPoJlbI0v30Ys8JHJU
NChUYNk2476ATXMQjjXtWdqVZF6zyXqairK7aU6nQ/bDvxUzbVhIJydzNbHA1+A9TQ2EIAFQcY38
gMEjMjRFffGokYBda1utmFCU7ataMaC5VCmxfTHyxMp1HRbncmjZT9TEUizlyQnLzkZXI0LrphZW
0RlShCohkx24SqXS8Rp2WbEvWXc7ERnHyzCMOy+MqRL35lIzrfdog2cQSsQj63dtmG03CjQvzek2
UVX0k9jp6GwnxHuZDXJ8uowJJvNmx6qi7IEi68YbmtrpyhPvf9g7k+26cSQNv0vvmYcTCHLRi76z
Rku2rJS94dFgcZ5JcHj6/iA5q6TrKrmz13VOpp1KSZckCAQCEf+wwOBLy8bekerDIcwMZFjQUwrC
tQHuFV3zWRm3cSaSbGPDfZhXPRH/AuwnVsUQpp7EEjWcHhFJ/4wGiVGvAbCD+EjZUm9DUWbFpZHC
yVkX9Wx+WtToKdIBsJjQdWK0jS1YaqczboQHyggGpAzpROuRI/OXFh4ClTuMwf/MEIXMVqLxnO/A
Q0AEREX0qYnn5pPXIPXcIwCx9uBojXtuwLxYzE5sCxLA7YSlwyHBmufK69ryNgB/NKxkY7mwHlFk
1spqFsjjNA1PILSHyIxJY1yJjqoLWQWih8C7ewipFmJYFOgyBBNhaQKhoEa1jc2u/zwoWV7BKIz2
snFXsaXEpyBV0U2Y19NZnde2QBEnWr79pyD+fymIcyD5cD9cV2X547FPHof+7Xb4+mt/FcOB+9FU
pO9pO7D8gdD/YzeEaiFpcJomGEEXyzvdF/0LJIg2BcYJtu+xFf40XPhJqKBOTpeS3ZXNVVroUP0t
bQrX1ToDb7ufwNzQAcBfFoaWME37qPspWNk4HiSKFRFZAHoTXJuXEkA/B4LZyx58/CehGNDDQ5YA
2bwUsDMK5RmMr6xem71/4ys/OzXyPrsAQnKuAI2jTOYhL9ECQDdBPskUggAds4mzNsdH1ynMDV7c
SN75TbCrAwOsuzcEKHbZ13WoILCCdlqlro+WYSMn1Ki5JpRmUOtWyTXNBpmarLtTeYC9eIIKVF3Z
a0+kDx4LcpMX/HimHQoqJQHdqvaOzRuUr1DO6gWxW4Ty1hjNz6ljPSBkB9dC1Hd5hQ5J1DurqcK9
BdWGayv2OT6WPI9XT/0WasmdZ6VapAoe62jweCUESEQXaSwqQ560rX9CA7SHU8vQKDi+nBWc1ZJm
zzaQExTSGMqKWsTGbPjQXDEEbhZ95REYBtM/KYDqbaDGpityfkpjtWtQDrBh18Y2FgluW+8QQs43
XoO2GwW1a0IXqkn8ZuoifpEE2FAsNoKh0cwQ1DmUD/Bly3VU5dfBnKstpTHeSbQISlk0XTlF2tuh
4YYcKnXkPdHXrIMEjUCfv8Hr+3lmVzg0qLuB/aC6PmYzVOcgjx7D3LAYh+AmMNFtemmCdhhBIKML
f9ztfTqMyDKiORZ0N6EfZucN3dl1beQgGrHYOow+o+fAlIN2JkmujJuXSYL9DFqSbtNtask8gOF6
XSjKqq0Z3Iy+hfphxh8c/K4VXkLrKM3cE2J2sLOgTSA/i5KtDEguFKy6jdnzs2YgL5POyjZN1eGO
oLvxXujB84ZdCFodQCat9kvm8/MUZNRKbG49H5MHhwIbioN8hbkQityWUW7G3gfvoip+p2CUOouS
oQ3668JsoNm0XXv38r6LCNc4lTOt+pHnjWKmDEVCXn1DSjd4fn5qWtEzi5xZjU8dRFFmpy+ZKpVe
C1HTz1/zmC89P31wNH+IleevcK1PLgeGi+LfDcjNHtAh6wRkaHgKbmm5iAHMrwPZ3cmMD/Qkb5ji
lqYReJcvg4FpHLYdBj9aZ8VDUeEXEcIiPUUZTWyxSKzXeQZzai6Rsi26tF7bNWYcI3nM2sHWZIed
BSJ+GWX3onUZUhOuEiYd3ZnfGdM+QujkHP5NAhN2IcGTLMp5dM6TkcIO8vHMspJvTmOZXdD3NjdA
KU0NkIAsPkf5lpL1M02H5FrF4vJlecGaWg6mNdjbib4PWAc67JSYKGYVvG6XOuppFJuA600HXWFL
L0ME69cv79aADoMlY3nu4dlKCGEKlHQAkC1gbF5m+SIzjDzrNth3ET1lqNbBznNAPI0GPf2XCaBn
OEv8OnEXWv0zYSxQrG930WQn/Zr7gUJM3zKNkLfutbZxeF8nwjiImEdd4A6vSyTxD2HgEL0w30hm
/mO0smfqog6NQ1YPrll0xcmT13ZphaeaiHQOjX+6FMhn+mP6YNBmB+MBGgQJed38ZkUMi0mlXrBO
q0VY56T1wU56TDLoceW50UH5WUrCF2Wz+7IjOMBDh6bp4smFOrNpTHyYNaKX1zmeVhd3NkgodLjP
QJMaURrW3HqsHZPCPNA/cLZGHhEUaVRtw5FXZ8gs2IeDfR1znNsvVjnvYcUi2u0qxA0bHjtU3MI4
6AKcrKsDtoL8gcXfa2yyg8nevixaVBDU2oiAnyBSdoW3m7lphXttz+m890LkqgWiRGw7kIrmZqp3
9BJ5f1VubuLGBB/judPlILPnwBUMDckXJW2GGFB8hiK39vmweK+UmbItdpugZX1BCHQFp6XcCK/g
cSBkUGGO6YfNM66iK1kM6fbFUQx48XTqGnmys9r20TcNsS0NNDeqRt4WFeeVzIivjHG4xKwRVPHo
R6dzMoFBh3uGh5uHssXWzkawneVkeAhM58v3TOSIlFFrd70tvWOqmQtGOw92Wk30YtJArMHm3wic
CjadD/LlAomHgaKUySt0TKCdwDtRcd6mZkMHokp6HGVcD0y/BxqCnnQ3KThRlPS20xy0HUfbuKYm
1zQGdqDDvdFX1RM2qY9uYlacxJwpe+asYizogyCviX0YYMtDX7bVDhr4FNQroIy4eKYtaz5FIG0T
sRXBfvHDiwCajLFDYXTsLjnL+vIE2n5XHHpwmMbdjCPrOh6gSJ6HceBQu8Wt0Fs3QD2TS6E8m7an
XYYG2rCkD7H0bt6UJq5eM5i3qlFkasd5jQuOwIFFbCId9WIm9UboCNVoG+ZdiyprMs/7domfk4zN
hTPazdDCvhRYpq3dhJn+8XU1eOAon4LVATEVyoUpHfMon0I8yMZyrh4O1vgS7FiDTpI9lSPnuKnO
nj++2i9QBom8kURU03atwAyO6bBIliMkuZTDIZ+ZIDoTCLLQ2EZGZ74+13+qYr+pilGz4hX++6LY
/+T3XfauHPb6Gz/zfyizf+BYRn+XRNt8Ww2zJIUtQIdosQGJeUG1/JX+S/jUVMlMF+0s4YAsZpL9
TP8F3xIQMqmT/eQd/Z1qmEZyvpmt+naQmKJtCTiN52S18P03qwQIxVwUg+n+iM2lTp/zYgkdE5VG
22j6Td+n9nybEvn7XTc7OeaY3SzE48Rxs4RxIDiH72qDsjktGx+uK0f0kPYCyulQcL+2ZsFhnIZY
7RFeaH5EEHtoYTcEBicfZjx+EtI2+xPM8hq3wshEE/Rr3A/IKuTpECEp6uITbTc0+ygw7J0ODW5B
7y0VQbvG/8GgeFSqVFvGoHwdoof75kVe/RpCrPelQhe0EXED4T7+FRQnj0cHgwA0lLpF/Ki7UYGg
KCIZ55RNXLDdFwE0GS45WUlZPDceTMMbap5oqq7teGh5nhK1mOnrx7f0chz7Z3jhljhdWkKixCWI
bhRE378wmdr423Vt9ERZRWQXGF5FmmI8oDFBOcKDeoSDLAoyKUoWtT+AiSDoaGXlusruq6mbG3a4
AS/U09xUnRlvlzBa9NY08Sq2PZ5Gy23csvHSEF6yxrtcFqov8bYgtLNnIt064Knz8UO9P4K6oHv1
HAyIXgLvQdbC+2cK4wzVHOCZP8wRPugXUSZG9RkCbLVcfXwhDtRvZzsXos/o4lcoEDsB7HsUm+e8
aIIFf94nrWpmOds6DzPXXNkmK3xyZOp+GjuSHaqansiNfl1bkVSfs0SU6d+K2/qRHeFTmwYa6YBq
8/SQvFl3FhAd1KZS70nhguVdCtj1kHBwYqY3dRrBTMY65+Nn/2WQQcX7hBIH4VzJKBw9O3mLAapI
Oo85Bz44pc1cG5A1FBzpefzNtfQkfDNJeToCFxsSOTIAbcLf+6dD9jrPyILtp8mKAHT9QEpKxijf
1wPzDkSRHuIc5u8QbP/uQzKHPP0PfmYEXZ0UvBlWp827NqA08DjRskSpFqCOrz6HtpEwuh9f6kig
T7/CwAJ87gNoZEZxzn1/rbSqrAw3teIJ2poo5AHltvJrbvfEqDXUxDCqP03BEprAlZO29MytUHG2
3KadrDmEFzkBMYS9DC/+mqI2+zzeUKWdn2cqav0ZtILrFu3h45v+5cWgnKFbL5gbaimO44AG/QdD
PdssH8u5b7mL1giy9Fmh2inuqqpAlWITYmHYh78brF9nH8Idnk6JLNu16b28H6zQsMypboXxQMPR
wqA8kCIZOEz7dUyt23I4geZAr9xM3s9xHk1QbdoWmbp1YUy2ukmKZUSXKfanpX+IYLMFO6ckhTyD
ge/+PoU7QohCU6Beh84IywR/Mp/q8vvbFdFYtwVp4kPsJ2B7YIjO/XLVIfXPpFpmM5rVPujqzrs0
nDBhNXUlDR5jXXr4xOAukrnR/MgELNJnrzMZGbY/NwOeoCwUGZ9fA7Ab1kQXeFeRd9dBzQtf8BYZ
MxVMpC7UlG3vsQ3T3cBdYgVwS4doA11vLmijPudfI+/XT9+WWacQKxwmMNfaUF92CPLmknhNurPd
BoVs6DxjMl3V4PWKHx6nMowUwBN0yxXLPxB3JTTF5bZF+Zp71MeQclhZHFzvsq6q03I7eLDibpfe
kepGtY2nPncp/2dcxWVKBEHaERF4jgXxBA9yhbUwufY6pVHBQg+xTeJhKspDMawvWvklLYoxtflJ
z8JzJcaaS3aFtxdqivvrfpQFmxmHPezw1h2d4WjeplHApQ28AvjxBSVxrmZEOGteOkGWNN8aeF4K
rL1qkovcLX3YsVY3lWdxY8zD6TBRQOGI7oc68gFnt+YzX2EuA7Qj7PWeSR/KZrXRIeup6FUuAi7Z
4ecDgEaPedRSmoBvNyYi/gyoMEumHy0nHcTyQppGsaXf4fFXImt0CNddDR7xr89o6sZot04SigTp
KduvRgjM8SIYg8FJZi491THBkcYUzxS9jqqLzAgjJ6Ar8APjSEv+tAQ6YeRrK6bNVGwdQ5K1zXVI
3WJVz7Lh8Qj0erpUQc+u5SAyyaRJQy8tPpeoggNKSx3aZQAORAoMDGe8ACwXPT4cNue1MyEO8YwG
kBXKHYJzme+cGgiLzo8N8lqMYcX5kuvTYfWt8Iufm57GHVEvzMcTbBAVEubRUurcjQaWw/dmpND1
Q6RB7U0XjYOiYbSFgqLfu7QVUWDbLpikIWFoh3r+AkB2+SqC4eqo06BTLp9SzZDC+s2QghwHchr1
kr2rRVqDW8J+UV9oHFJ9L24Qc2Si+oX72yPoIrxrN87iIeahPPQ2gGjiyq7zNgrN1NM6F6+2u2Rw
+WIdwPnmtlI30GPcqIIRHBD2YDgXJNP5pJwU0D2kPdYQcheZnp6iOrVWN7Vf8mdj4RqEiUraExtI
HReyDDgQrHNkzpCZ0HKgJGIpNVW9pN1Af2iLcBJvAhrfwF99bTnqRiaZzShguFB380GhGZcWFyqH
F+VsKdgi/7hGnn/QsxprjbbfIOq8WOKAs5VAJyw1b4JYJIHaAISXOjLFeUxp1jMBdAJWq9FOpujm
AhePIX0Dvjbr5UrM88T09ztko7GSwtVtLkkUxgrTMQFjA56+2eeNSQk1dZJPlQWThTp2ivAL0SpR
Mya3NPI7ZZwknZlTtZraBjQ9yh1dZ4xnWdhJ7jE0Ot5N4/oYFFOcApGYQ6ZKkXH6EhTg38vLSvOQ
/bWHdiPOcgRiws0WZ/QUqnBUD1UAh5q8HRBVaOPlegjpciMNDV2TMOs9Yg1puLEOtjPPHKRwAgHC
t8gCxZhEVfFgyct+Cjo9ebCm1DMRL4im3mVIPPGVOUwdcyhEEzKLznAhWPge2JyhRR1ROITKrqG4
Bikq430ABzQNa2guO7TnCLn0NwfeUolqK3sBXKWRzwqAuDNIA4PPzDUTrAXVzgTXyU9yhEEUhjJi
qONSZkKzuQ56fOZ6ZsgQEZ5qd4IYfNbTcPQuFaPIWrDsvmNCKdoseDby9hu0fnzUBt2Dn8M1j86Q
fhi4tGvlE/dPuGQ7UnMNlRMYJNYV3dZ3c73J9v3QMB0nj04EYq1o3RIfAKcb7qcJfFqNGsBcCPdQ
I3HII/lVW7UrisE6xdKOCvNj4TecRn6eQ4j6enBGeF1VsM9aomqwpQw+OgZ8aupduOThA71pwrEM
t64JuOxL2Ew8PLZSOdFezaPkjmU6GoxSBfidhY3ED+k0PlWDHsGf07pIRv292a1AZKwX5Pq5c68y
dLjvDJ9NyzKYlc7WkW3Qjisy0Yieu6SkysrF5JseG/aVlsRHKCHsbmDht72xkos1e9+NcszbL2Yx
5TeBbQfYorRtkzSnXonvE1JHaqgfa0RGjbM2KrC6gRUHwhyt0qT5nhBzl10myyp/ctN8aT8D3y/a
+xGu7PhpCQz8yCg099VZjfx1rYXBykDAJYP33UGfGoWvLtsGtxusccFQUlrP2Va3od/jw9bwjoAy
VhNwMOqAJQJTQGSxaNMp/dKOc75y5QzGbVWj3tB/C2xrcL94eT+7ETBsN9P+0rk9hxWALp4fyYw5
jHoMm9nJ8rVc8nGBZpHkQDt2IbTH6mxicQw4x2So1JhWvVOBjJyNIEFbbiLMMCo2Pq+Xp908D9Qq
Ebyy1jP8G6xAPSDlkH4rW3uiAxFr15HIowMt056+jDkuZzD+THNvjXAKd2ENUB5MhcwXMGOhI4yr
OqsK9ysAQezn9mYtQRds4RtP042Wmu4vjK4vjc+u4XbLbV8yq/Ef9Dxo2RJ2P/ZUPWjveu9PIlom
XLpk7W0CVOTRaE56ZE8X/EkQtgqyyrHjtWyXDsNsCxBm+RTbWNtOm8zr5+ZHQD8edaKBgrZc2U4n
enPfh2Uj6E1kpkDdJCyMzLvEds3IANh4NWlt/CP2MULHe7SC1kPx1BJUSL2t5yAjGV2CUQRDd/Uz
+zZnaD3W5xGX8Ar1BvqybEt1gfiG+Iq9SF27mzoc21CRT8GzzA6AIgXZGPxxFkwLkY75XxptSgbV
OpPS20pAIGFxN75OH1s2cJZD7Ho6wiGjpTPMxJhDK9ylMxrc+OI6XT36Z4i8GaSkIm4QlbsQdPbY
ZfoSpaplP0vJZ+4GUensD5lufXKQqYVD13rGADkP9kNTJN6dKLuSW7Hql4YBxEBqDfXQCMKk6Doy
ew0eru29a8NfuRtNcjeEhhHoJJalPqIv41lojCHOMQ6yEaZu8niLcwhcOyclKm3O2cZJMRQmD0pe
gmbwWgioJAREEJ7s0SNgNFITLIV7Bqgupd45fcCX3GmLADLXHmB4VssXRU+A71VhMPFhZlohOrHq
wJ5z/12Q6jiZufQM8rWdWtS+kQetO6u9D9pA56toVBBt7H5ovYcRW6Nq59mpLM+xF1Bsi7TPdC5V
1lKnLDGgdcYIgpbXW8+DgQBCsBlzSw1gwKySusFK1uHE2AZmKxh+YvisU6SXco/XFXqX+rmDucCa
1A1NOV2xgGai795yUBwx1nXkpkG1n5FJobY3GAwsYSbVdzB0Bqa9h79GYmlYQquhdhYyUlnGfGJV
gL1xNxm9HR8VB/hjDFlikgd8FsUUiru8tag9vb5GNkzLuuX4N/Q3fhNOPLGTlhbvaOiUtNrLMsoU
RsWQkcww+KYy5KizQ1x7UTGeuKSj6mYBMMhTWUuti09tO6gkPqmBl/FZZp8iHbca7Vkf5H0PKOtd
Qb3Omta0RlrZg8C3yVJQB9LZPC1aulkHfM865V9h8GVXCQRa+D3tAZNMvQ4cpzV5VEUXTt3knauX
COwUXfAq04YfCJWrEzUr52icNJaeYE44JI29b2yZk2dHr7trrBRyLwjUjySqiD7QAbvxIFuTb/b0
b/GXyVMtVmYyAukzHMCSL/j/+qfJStrlasx9yXZp4c/LHoZIvk4NM2+IdDLv1PpuX5dH1gveS44K
BC+VTo/TF+fO5Kjou/LHKMGIwJKZZFU3zIUcwDQ5QbpzW2RZ6OyWdlBeFKMVwX2LcpDawykfUDgk
tbAPeLdoQNFWRe+w5RHMWiW6WIE/QboJVMWRL0I0sr1X7aCVP7psqLGL5WzpOufuaPVZif+xzTwr
TFsfAtNacGIzQbHxQgA4kl5y8OQ997NY5jNntDk/oRYwT2o/2WhW36vYmhgUhIt05tOB9yDX6MBL
8LQJ3XkSg58nYh+AConBFEUmpy/ckB2+ijizoFlrGMb06EDhXq5MQ5mYOMR1zHEEWnXUGQffq53h
BiNLZzDWxmgx/gZ9ZJ2ze77OwtrJ0od8GvY6kY/Q61E3YRdGvLW+oKBbbSY6ZQGIeSVKcpRAVMst
o64j7mI1nHlPGlnTE9PnB6YT0JKYD2rDRYfKmpjsHWrQgH0MH2di6h8s34o5qmRojTy+Lr1SIYK4
rHKj0O7a0Pvyrtn0SnV6YpSjrh8hwPyiVI1fylh+Mt1pKpFcjhZ94haB0TOQYMT1Eue0HNUXnpe5
JK/zmEb7EFv14dqb5NKd+MNk5Qe/szlTsLHhuh5xCOzxaNx5yCfzMYHbt8SqtCl1JgoQnSi+Hl9P
jVOGmDbuSdACCVIk/IO37qhc2fk2iJQ+Bb4eLHKUp7jpapnGGUn8Bk4E3Bd/4cTrKuSM8NMcE5PZ
P8ZlyStNoGly64ibsxNup3gI6brTs3azC1lTHOEHl5kZNduZDlg9r9HAvybrIPSvPIgQC52B2Cmz
e6fCLTrYAmDUkQPxEp3oFlamZ+XHtbX3rbiXmpFPTZCWPRq4SLsd1Yz8qUJzHXD8wxT2+pypcNSO
xcaA+58Hq25oed7fXPK4qkaZyud4iiidCxKMxOl9mWquy9I3e69/EB6t4mdokXqUYcjqyu7HT/fr
paBMk+PCD6W5i5bH+0vZcQR2hOrEQ+KGOj7BYnQUSSHBmtj18bVeqoFv68ew0ShTO3CEXMf7tSvV
mbCbR6T8HyanGDjIDHFhMxNF7wIaXiNQZ7EXLnTts/uhdAUC4IPKGx/v6R7/w0uqELqzAdJBV3i6
18j8s/dRtqCfSJGkAAN7jknwyFcf3/4vQ+VQFiaxtaAFWZZt6u+/KUJPLZzhaJTivk+siftgg9LH
QjZXjlAfX+qXOedQGIYmToObuqp/XO8mjUpsPGPr+yBGHms+hLOfwg1fpF4ioALG30654xaKxYsB
+4bNFt0EGzjU+4drm87xI+r397Ub6xjVTyy2qyEhsn+ObOjC8yYMyPdJJma+/pGj6tR+ItoV4uTj
Zz8eZrqmQuheBm1SYVnHMxJO9qTGIHK+U5Pg6IjrMlUqv0RQJv7NCz0eZVvAe6ERi+w1YEnnuHid
kRiikZNa3wF+y+yir3O9QSUpJ7UD0FydNX78aO+FG2ma4HhF2Zkmr6DDR/no/SD3qb8QTOYWJwn6
RPG2dUId5giKM+8V7Tww6aiIRHMMaDLD0nL+XR/ll8H1mMSB6aCR4Ese/TiyYHCfW7UsQUCbc1Ru
6WXBjqDqEQfp/jVtUW2sU2PPxW133vwsihui1yWvwkMAMD4ZXwenSIUu8VD6n1nFFZIMnBaW3C8J
Vh34GL/b+E5v+MD+rawnWstR6M0S4lClqk0cmiz8lUN0Ihfp5UDxyMKbYURfOKNEt/VJ5u3+JKG1
DE+yygydW3Wq02mX0dqSU4w2QeCdeXVCbiM7R2/xSL7V3JZ8LdB3pPZEzSyzddKU+v1LxmdbOllG
biclkpiQuRh/P0pbKpO2mpQuspQwGX7jq/TLhJOujToGAqCBjYjG8dQeOFnEmDfO35BpcchZo7rX
R6Bg6XUG8LNk/fGU0+v2bcjVoTZ46dH4YAGkRhy8DVo0yiDegjj6FkSIJTnbIQm87ALrUZCrl2Zn
cgdoLwQDh6jJCnVSaOSFvpuPb+P4yTGOcU0iJ1Z9/OG/tL/fxM7Sa0q08vr4WwY9tThNirYvvoKh
sttzu+svP77Y8SQHWi2kQ6XIw+sPPZCjSY5+UpTEddd9Vw12LrcilXpapGmtM6uPL2UfLWk+HZ0r
FAE8ROs5lJpH2UGEfnOel8r+WnY9hrQh5cs+2kWUUTnpJjidsBZoeBf8JSnYMC8n4QS3pMKiBdhD
WZcSDEce3b+vRycnD7UWVyfqScQJJUZtYH6M8TPTZa3J0GUAvwfXHZ8oH2w1Z9eC7siNMizEfpB8
FuxFCPXoTpGlCh2vORCgmHpiGMTRfFdWJoKSHw/C0XgzBlgBOCbr1JXoIR6PgcBgIii8Yfo6FKne
mcOKVkWGC0/FyfnjS2mNmbfzWb9Tgheo+8BjW3SO5zPuxdRULTe88d3q5VqDoHSaKWSc2ZoI9YSg
1957DkiHUSinUldJf37VqkFXCACJM7jClbqeyVmwJtLZGFxQUTCyFEbQecdSRRI+qYtsRMZr4MC0
zbCP4tC4ENTU7mfjj26RbiIZOXLVNEx8RLHUTlXwpwGIowMp7lB+IB2Wr6UJZVEBxW5WxPpNphZZ
y7iSisBfbfo20YXlny00ViRzN6Xnwb4XwhrlA2cLD+HqN/ut//71ab9IOvmmDWBJsBfCFXgfIhqe
QPnwSR9z5ci7tMU5FhqPLQ4eglouNf6430XuFJzNfpKH6IKG5aGws/xWRXDk8BlCYB8vdFCvxgwq
zov75mvI+bW7yqdOxevYV/YhCdLrglbbI+D3rl55rRHPa3o53iclwuosNpPugh0pXjitxyrbGGhn
/7nQR1anIcoqAtR7YLobqobZrbEYkOL6fELUAT+TK5ddKdu5ueFcyLlVm76emy098fw2pod/CmWN
LkFa95Tzqmykhddb+XdQE+JsnjCvXUGbN/G+qlt5Y7M/39dxZUH9a72YEkbUdXvM48ubUTrDbYJ8
Fjgo03BLPINF/Q2Dye4pN+r2i+d2HWlROBxSFBx3tAlmQML0iyag0UFirAa3UKd5WW37MVAUbOI0
/XPwPRzi/HDINv3YVjcL5usb0k8DLTbDcNemZ167/Ww+2HPffYew5n6NBzGs4wmyYiYxoHGTOXlV
Dv+39n/vgzUTgrYywUyQKiDOiTzE+wlRUf6RjYjKJ97XdBXYIXLRXq6xsF5rel8/XtHvF/TrxSRA
Ob3Nk8MdZyQoN5PatUH55JmyACM0mTeQQWzsgorsQrmONu1G3/6aFiHGqh9f+5eZ//KYYHVo2Wj6
6tHmOIguqDJEUp6aUjsFOXmNNEHh4Ar9m23i5ZP+uQ2/PKVr2wAPtJ+iExwfIie7yGwFVubJAjas
yHnYLlYVB55kM8W5/FzaRfg56UKjXpm5COqNo+ok36sEDakJizqklJPe+9R6bXBaGo38yn6LKC11
xf62KEhesLkq6pXdW+41xJ7yuUAJ4LykPHut7Nn+M0g5p66syjJr+JfQAQtsXsGeFx7Vm4xenDUG
FNbaYH5KIcvQShjanRUJ896cegfkfeD8Jhc6AuExJDoNIA1iXOAN28cpgWXIbnL9eXlyBz34ceLE
ewfG42FapvsSD+tvjhFMm8GOaHo0reEdsLgV5ebjKSD0ZH73ZqQGa2o8CFIpbONHc8DKwoL2QSyf
ooHGAeW0Fjyvj/rLpqNL0m8U/lMH/FCg/CHiU9DtqYpDRd3qAnNHKLe5jIxPixW5B2dBXAstr+A7
ei6lWLeZcQFrUJ7PzrzHKMy5oQaaf6oMXhpG4s00r5d+ou2SYhC4lnUgP5M2KrzV3eR59tLk0pF1
glg6JU/EcepPBRYZ/aYKu+FhzuPhqyns7NoofTYIb7LGnWP344AgZBLdjHkAIwYkPQ8QT1jOqz6i
BSDTBnMGyZ74xRWGf57Es/unRVU7XNF0gA/z8eDqsTseW9hu5KAep1l57IWLLjvtNVOGT03iiksA
5+ktYgDzvMnw5b60Ri1j9vEVrffAV2YVJBmNugWPBEgcuNr72GWZdt4WbJ0/0jp1TymboZYTDrNx
RqEy3dGI6In0ImqfasfMb5No6s8TVD2vDRU4u4/vxft1apFqEj5t30Yg1ToGA7ZQlDs/gmsYwVNG
axx+8/cKxLrC0wVdpsa0kUceiipECheFonmDypQ4xMBhkUwfg2BNw7OIN23lyTvkjZUu/VJCL40u
vsi8pDs0jjNdekMcIZQjkSyvYNqNqw56NHqKNWSaVWvBm4FDJOo9xBlkTbPeuAg8mKcrShkGLpfx
fDWjw1xiEI9qaTSyeyNrkmTnBW1eMkqnQL0tb3IYzgqFs62i6XkrFEdTcpHuS29PJdpTObKNrQQu
w0ykXbT2qPpdOUFS0nIFUQe9Z6Kv1Hs50o4d2IeLEaUhNLOS2gNXC4fEOgGcMrZ704vsP/u2Su6G
cuyf3cSG19ypNPxd4evX+MNMCQDNAV3zeD/HIdmx6YRm05j9QLPQlFjDBekDKI+ZriGvjDOVfFq6
AenR0niYVYoayOwp+PEfT5J/NWHRuiVtdkCuutQG3k9YkFJd0S0y/xEW3jxsXl4ItsNxjmyU1+/M
BS+9pi2H3exhmFkH4fQt9ltVM08W6+Y3N/MvFqwWaTBBW9pgLY8RuyiyjaqasvRHJE3vS+NZ3Wc7
R01Mu2+fsS8Ol0Pe9Kc1mm8n+eRYF30p2chk3k9X2s0bQHI5qvPEGJxnkPONWPlNkr3qeP7b9ESL
VxyFFQ+8q2CJg5nmUHk0ZKoIZ1S93eEHVe8m+kpmIRCfs915NXQm/ueeQmlg7BbP3/itqJ7jxZTZ
akHletwjeN3dCqiO56Ycs6926w50SNgFdm3a5gx3lOKu3NDufX3R/+FZ3Mz1j//+r/unIimxnOCQ
8ti/ZU2zw+uc7t8TLbR73cWPKXms/sWv/cW2MJ0/TFgWHI0p2VFKYOL+lB7l2AKnmnIypXL8V95q
jziSX4JOofd2NoZ39nXQLWxdg3OwMOfsw7L7G+Ij4n0iKbB24fJA910qlzDQjmNJk7qAJoGZnLc2
wmn3bkXxelW6KHpsTaRD8Z5ysJZI50PiVF1hnFT4wYt2TRmjPFR0SPY4sSLsj/dtsTZMXJknGokL
Cm2e/NG0udyApPTapTmUfeRlHXrG+Ti7X9gIFh9tdDXYyJw+5RLT2RWnKOpAeMItaRx8MsHDkANW
g0YH1B7o4PmLU7aUzrxR9ea33Bk1nmtxDew1cXU3S6ozvjYr8KWxslUhkHBbUVvPphjKZdnU/pfY
lks1AvmgnwDbr3D7Resg1UV305FkW1ufEmpu/pk0ElzAHlCNj6pKZ8KnPsO7FgkONIoeY6Nrd7Kp
5yth5yVyKKxmftWbjeV7jWBh8h/7SJzAkn7+zQKk4PbxAtzlVZs8vac6vf7Oz9Xnm3/wEZA4AMXT
kZY+Sddfwr/yDw8TIn2s0QUEVDn+oXXgWKw+K9BCvCbzgOX3D7KT7f6BgDAbwEvCbbNi/s7qe78d
AOXGh4uSvEX1gv9kV3i/g+oS3OLX1XCwbchFUJ0D3LZdOw7O3cEJoMqKtjyn7078Cqh0bN4Eq6vX
bPYtH/H9YVkIrbBATV8zBqiu/tI4aZpoCdQy9ftxsNVWzoW3tRI73+AyVBz+H5eiK4RgMkpMlFHf
Pyhmk8qyOATsgZUm+9xGHA8d0npLb6/5fzwVQxnQh7J46ccn48XCanJ23R7boinZT8BHNijJZet+
ksNv6k/vO0+vA8hmDk2NxiDsmaOnmlQ/ZGBb+32QIP6rZhsTZ2TB6KdvItCjayp6xqoJw2xd4/X7
tyoAf10cPouexYj16YToTV26xxcqdOq+3xu0xFdWOtG9t9zm/O++OHDTZCv0cz2OJcdnzA7Mc4ed
6LBvA5d81305/YupwVAnrYuy+M1Dva9J64cS9HI5d+CuwDR5kQZ581CiUTiOWP2wRy4CqGnW/pCO
/exTRUFavTgD5Fv/Jos92v9erkj9xqZlbVEHfzkJvbkiTK8UQFY17JF5R7+OdjkvK6i2Hw/j++z0
f9k7k+a4kS1L/5Wy3uMZ5mHRmwjEyCHI4CCSG5gokpgHhwOO4df3B+V7VU+UOtnV69qkZZpSgQgM
juv3nvOdv34XHSkMZUjybSrAXy+WDQi3yonK2llIkmH6aJf4YU/sdmB16HAV//5ofzqL/360T7cG
RUgskDP2O18NBj1tELkKVGUDkwgRfoD0I89f//6Q5q+7179+IXM56hyMpdyQn5ayCTYe0ao8dkbi
2ifKCNJ6kNEe3Hr2930dkwshzp6a/LUobPnmMnI4No617+O23ikEtBuoTcOKFKvmxzgioZtcEGQm
3eO7mYRU3Frx2sjF/MXCZPzh+i/jWnZSy+TotzvOlzAi6o7HKB2AWa1stMMeNBlHbTTNIg1CGmLd
YI4ILc7exixG+0WfvREPv99cUyRYqL9jUJyoh794Fj6XZsutiaqB8TZPONbKzz2IjGy6fHaKbrco
c4h2dcIUwThCWxJApYjlw5halDKDSyIp84rqOFZZS/u/pAldIpgB2VIRyU1irpgqfWUZTRRGyDNW
CGami7g3WzYcs0a0LpM8AUUiRCKA3BfExGM/pBrpdz54dyTn69bWvC0dUPp2DCo3fT0eu7xFDqpB
w+4iJ1iNhXOR2PlDP/h47+2Jlj/z2W1Logj0iu5UB968FyncsokUuRWG3egStKn+TSMeeZdVuUa0
w/SRT9a58zuAYETp7Ts68ic+udr+/d36+wPic8cuu6vFevmbSmWUMdjlYbnowLC1nEZt6usHIx3v
+zlqNsC9jf/2I8kRmcq4ju54y3rz6wIQtKOCzZp3uzaKDoYk7Y/I1KCyL1urstcEyD/9/S/8/d2+
NPowxbDNDCh9PjXCMW8pBtx9t0NBS3NV2cMhrgeLqXk7ffHC/f0JAkdtuiYTUsbzdG9//Wlx79Bi
wKG3Iz3Luag1YRzqofe+OIF/PArucMqUxTL7WVhU4nEqu4ETqNHJB8nnBdq+F7F/8/fn7VNTY1nH
+DW+gbIInT2yh08XKk+12XDp8OzG0ajD2pDZ1h3LmO4Gqm3CDTxKCm58ZBnxsfW/tWa8q+08/WpZ
sjhp/9V//OtrUMIsDX6Heftv2zIB5jFVntzZY+FtBhEU22jIuq09dKkPCWa2D0Y1QojX6/eiHrxz
3mXDjq63uirn2To6ef3VJMD843diM4pNGaMpcptPF9pGyBglltxVcV8d6O1uAp0cvrnqxHUkG0Y7
Xt88Fw6PcoHJ7dQ36bS008ww8KsafEvxXhijus79MZzn4aXPNHMt0q65myrIxw1xlXv62cOxmopr
Te++Ki7+/AMY47Oxpm+v/0QP/Pu73kAXPfkDJzWZznELrRFhYPxAuC0vfeFlkI5J0CVmueON1ZZH
5qPfocnfy9YNDn0TRWwtW7VJ9Dq4rVFoM8md32cnqo6WD+xmaOIJIFWm8a7oim2biuaLV8Knzt8/
b4t/+wWf7k4o7HzhepK7ScviYzQH1bFzRjqgGraptGWR7wlsyjL9YC2R2rKxv+r6WX+8C5g3MOVd
mhOfH3cfmTCy/17uMi0h2q8vfOeVsmoJVSO/L9Df6kKN3zzTSH6g3+x6hbuDpkGYL/l+KpZbU5cY
zFzbWw2pMUDtNHvk5xxwRzRURopFbLxPlWGwVHp3HhglB+V76GrBt8bHvghhUL/UyF/fz3X93VP6
nTtxoNgmIa8ZAul8cc5/L92WnBfDhkjhwHr9POXD002iKNCwnciKb1W081RWhNqsJ2hHoRD9/fLz
h2Wb5iUbw58+dbqZvz5isshdQDeG3DVx9RGkfsRbG1yWPc5f+dKXT/q0wCyWdOYNNrgWcmx+PZKI
4r7xIoc7qY3vc9z/33AE0c7HveyioSaVeqW7Gqx51/hq0vGHty89L1x3lsWLicL710MDFAWWmekS
m8P0HHU+UHtx1u3oo/C6V7a87hcvqJ+152+/lUEtQlE23Ljjfz1goDQ5ptg6d2zDq3NvUfdMkRVO
Fblplprf9ai8r9NiDOOpobjBBbhWMm5DnWrl76/vH28mBxgPRiLP/g1tmPadchLF8zv4dRdiGyI+
hnxfQOl1jK/lK6bDH16ark7liBaTvfdvEioX8MBCQ+UiTy00tMaIyF30ky/2iH88v2hjbe4kTi+6
pV/PbyaNuDbsRu7YI7fkaoxJqKqMIVDka4cBads6JgYW1YEgXyyKS6JUjGIzKu1int2v1sjfN+XI
xdgVsilHBPObTnCYemdOZM6XoUm4SWIv3sp2JqkEmXeMTHfdyLLaJV63YM97/YsH+BOD4ecKzbrI
xB+shYu+6NO91sWKJLVKb3cYzZJXIDKasxrauDtJoLLlanBrF8FhzwestAm23kq5onBCPWvgsJcC
fTw4vGm4UokFWcvEB2msndiRb39/I/5hoYHm57rsRz3qnM8C0kTzUXmhbdvBHiECyp7VxoZDTCqT
k35xSv5wKGaaTKx0OB/+b4rgNDNkI1pP7Lo5Kj9sDM23MxlCLaRB/f/jZy0S0UWpyLP826rWgBPs
Gt8WO4I72tuAljcZTV50gVGMLuJ/dvr/0Dz7wyLGkWiLUCIyuf3cqTCB1GR1z5FSghIJp62aO4i7
5oa3Gw7UsSRPtU6mL5aPP55K9teElbkG2rVPizbmkqrDRC12AIWBTjoj+tSsNMNWR3Xy978vcP7w
ol8kjwHaFo9hw+eK28/tuo/xj+xcG2PSFo5E167TxB5mLJYRmUduK80QDUaHMd1Sg7Zl59iPm3n0
rPK29B0ertSix0hm8FQ8EouFq7utch+/XVG46aqLRPK9xhh9lRPBIMFSFpDqZEUyFqAJekQgT8FH
4/VxBmM7WASTXJApG+xSAipmnGdtgrgkT4x7tzdng5i0Ef1XZpSju7GCJjGJwTJS6BIZzZJ41bCD
SS7GBOly2KZ5mzzIojamQ4Fiw9klKdOADRMM41jO40gYCHHi8topgcFd2SRcRLeuNIpqy39rw7Yc
WpmD67SDvAqrXNnxle9Vjhf2DkoQbIiiuFMahNFjW2n13mhR4K1ITzPbVZCkj6V0LXs19qA3Dl6M
G4aQpLrOt5ieCJcGFV21l5liOwkINmiGYiflEJAQrZxpDGs1RfpFqWGxpO9QNmbYlM5SXKW+b373
ZES/BIXxuJ5RGrZ3hLFo3g5qVDbdDJGn7qrUbjtsSYRPnfWaNLdNP6m4Z4ydjFvhj0EKnDBG3GU3
8TyvpcyCXQWTtt4U0SL+0TUTGrWQjv+QJeR5jEVJFK+0E3LPsqZxICv2t/R5t8TYNN+ixiyeCs3X
z13lktpNbPleWwLTLRGceobWZHRsR0Ch5wiMk7ITkOlzle5MOyeAOMjLbdyro4UBe82k6HuWu/bK
6U2CwjLCFkrLerMtbdioagIVaLfezpWDvgns1N3ZwYzTdgB2jZE5vpB2M756nRhCm0QqDBfq+yyQ
LShrRNk9TisnLR518iZczRU3TlC2G0OvUrLNhnnd66lx4ZdFcmUNXA92CynJcNHjOFvODoLMbYpw
d5VMY3SIApuAvSzvKSqIvyx4S4RSevMt4PaD6GyE+vBR+Ed+yukuIWFoj/k4muGs52Iz4m1aZUmk
1rmXlxeDlSx4EP8m8u1zqSUjeic/2WJZn9cTqZZhhEhqh4FEP0dx0bwAAdAvq8QDWtsJFFh61364
mqjW+Nab0KdhvSN/1DlgoMJSBgH/YOlEgUvykoh7RUNujNvUaQwCZaanUu8FJJZo7zn2XdpPT84Y
VbhHAhp1ffRUutqSB5iX/kH1ZCErTUQhmvr7PPCjowRWELox0Vh6ZmtcBwF0PAvmMGHfcE5bTd0I
uEJn2Y+8Fy152U2RtyLAOl1NWvUuxUCQj9Wle2QG5b4qffVhy458gXSY6XDlKu3mCZejqGaLrblJ
JDae8TTocJ76qDFNbp5vJX7cMfQE+whepiwSWdwPz2Tm5dcCEQ/tEXi1fm4cdDT8G63uMMkas3/B
v9SbkQdig4XQmeSlPw3xIJ+nhGwcsZoIzB7ycJZm+4x+eatnsR+vNJPvvPM0s/6Bk42MPysvzD4s
/dZTK4KOPP9SI7EHEBpAA6Qpk3K0I+1ZXdKkFem+bTlTK3yLRAf6pbqHmTbemOhz76OyytPDkJFM
4wSpQIBk+lus2APBS4JmXALc4tXVI+pJ+rvNxpv14qLhJfsDIkPsQiGNCbAbnNQivle6d7bKo4+A
5n6/pgoo2XwvkOt58scH5kzlR9u0MJunUhov1ei1IVs0uO6V2TwT+j2EMpHTrqNiufcnO3tWks+Z
tGLc1J0pjnPNfjrFGncwbWJw6MItObwMfImr7bkTEisQT0nsix+iIUUB47948oSZ7jOGu8UBr1++
JdNdfoPmR467Vw9D6EZOCWxlljwchak55OeB+41d11lnFFwHDNx56NFC3rArJf4sZ99U7suGWJhV
l8bqEbJDPG98JzX8VRAvIMxat4HvlowGDw0skuUe1IZjDFMBvgLRBbXX9uZWcjq1RzCi/EQPokly
gducr0qM3KMyx364iqMoPqW+QKILseSqBjV9aSc2n2qhgbP11L1TnekQ2AAN5+g2SXLKBtm80Loz
NzTOnFPc8qhuqpowrxmR9xaWkF3u0AXEJ9LFlEeGReKceIgEDxVXlya8OObw707oMpvXFjzXrT23
xr1MOd8pJpMdgr5p5yecVK21pwuNW/OWuX3z6iw7TKhQc6PQsmW4Zaj49s5Y8rFaP94YrS2ODTir
y1nJ5rWbmvYJHR4Z854nfiCwJdIZjQ+nVVRldIzpRuz6oJNvwSCdk41rG6RUHcSnMUWVRb1bltPb
jBgcUHJjDljfERQY0XRJzojZhEiX4rUGdV0Qo5tkFStUD8AFBINx3xiTc0qdOnpo3CTGttrXLy4i
grAjzi5ZmdocGSv038Sx9YB+484Xx6nVozDWenXRlvx49OPjg69lrItxlO6thSne6Fp86oksBhLl
O1TgFTHhJ9sSxaFFUhmtuoAmTpjmQKyTsuN/ABzsr+J4QMKYzQ2Q2pnnnDZWRcbTRNMaZqV8Q8Xm
rKNoKg5G2y13eZ80PTMX07lL0YU/2nXXe2usRcCtHT0/+13bfLfQzd1pmKKLFQbd5DS5ZWXgTa7a
p0LM443vyv5Rb8b8nC6X22wj/9KB6HwWtuJAuTZtwTPqJpLrOjnZ2BTv/QxdnB5r04c+1+lOG20H
n3jrR2cTXO5B6AkAamvgE+s5P1Oyjw9IROTbPChyoeeWlvgG7d704TW0+dZRn0DkoN8iwUdCfKnW
rlYDm7ezudTWqeZGZ2x33N1NL8V0KJXCe5D03EmzJlqWXtfmTmPNSk5FntXkYBhzfaNZGU1cBVqC
Vqr0E3VwLVJv14HsPog4Yc+kdNTuohzEh1ZnxqMdN0OoBmm8Q6wHeMGjJ0gJKeaP2syadu2a1ZQD
d3f6d9PvZzTwitByrWk4LS5vcrnTB/LnVovL535GGXYOOp3VzHPV+9j44hZoBo1/YTbXnZqa5zGL
xK3R+fGJgMR018HuQ0LkWwfWsQBPN1q0QwX06ZvA36vftpovWePrHE8hYChOHgrPK/bE0bYBHsoi
hpCPvmln9QyELf9lln53HZXEZqiCZEUbrsFB8Nq8tMCY9ys0kekNOumFD2HLh7YhAXYBBneIabeN
bJomjFRjvTogP7d2U8zrxp6gnVkjkanKcncG52vFRBNaAronnM1WOZ2BH4w3FCGQw+wsejSL2F4X
Wn3XBfaV8hY2sK6n7GXaNhz6ILsW9H/0PlHHrGxaDpu7J30ojevEK1k3yOoBc55qV4CAmhMC5+jO
jcz6EIwpwp4OQB7ANoaNwiD3zEm7o5qmArBHr670eGgvq9irgKVX04pSnxJwEYDSQv0ewPc4QKkZ
z3mtrDcIU0eR6gZLms8/LCk2lWsAmersi3HM7G/U2zqhP2P9GgzLnKnutgmd5YMgLpNpGXKlvcIP
+M3HuX3Wq2TYemOzd+tChMGgpZCESBTwh/k7/b/yOS9hb/DO4SSZmh2z0LPDWXvTZCdkD+XykGu6
tVKRpp/y0gb+3fcMvoy+CalQhxsSIvSdlWXyrheay1IXxOdecpDeibybXiepkcb0RIpdZH8PcLQ9
urIr9mnqPY6ZXu5olybUgZRyq3JJMq/TIblKAZuhbDUPRAEZr4keDVvla4BeQIWH0IescFA8jBJb
/2rIaRXG0+ReUFzY3zLb2VXOWG95nFiA64zdaewKUuGI9vtQ0F++jQ02/KAEQxrGpX3fkLkMiiyw
t9DYnIsyksWj4XjeLVmvcusoOZLeRl24ars23sTj2LzPjJpM0B5dei0ybgNgm3G6whxPNmrTTIRJ
lhnELZDdawYIxDQTZN97LgW9HWffs2kEmj9U+y4XRbZybO2ynrLxdtaR05JEtOVR3KbWDLKfGRsF
mddfl7YTPQADoMywFUgjTycRxO/Ss6+3c5iXln8hp5TVC1dS4gDIJbjJOYGsqet1MgRk8hKMc5im
Wl25kGcrajQt54Fzq2MTj9mpyKyEEI9sLnjusLxmkA8yHiNmaOoKLGL2tNi/d8BjCe9pR8A4Ym5o
afSphu0kssTlRDN7iVBQiID7NsuJXE71MxjdY5t54z4iVU/5Ml8IBfWFrAaPVb8uGI4OHSEYsruk
7wumSGZ7Y9SCp4CZKfuc7y3wvHWZOPNaoOFfg3NJiGFQnfE0TnaLOs97NWb3HaqgeKFiLV4KWdYs
WlJ78ApH24KhiDcYVsvbyaViKabWYOgddDOoJtCNlEPjHoKoSo+aVQ92qDxdensPqBjvGNutT9qA
CWNVTV59on0DSN70s7hmDFCwCGE+yl7KMqtuTeGXt25KHxlQFwso7rrurZCm/lrJLHkTEXDntanx
gQIVwNGBonQ32aY/PLVUPFy3lE1OmbgFbwnNtQ5F4/NGCcbmmbclvbO5MFD9xTQkD3WUmvfUx+xM
8zKxj3FOQGtJYtyb7CVNBDn15UduL4p9OXfRC9w645XQdN70tT2NN1KM0YuZt2zC7SjVSKkCWvmm
OQ36exMNs7eZc6e6K4BZcpHgSdZbL+4wO9jBQEejHxNujwTyGFLxqqjvErfPHWpMJPO4lfg7QTMW
LSyiIHdCuwK0tqqsqctDJfmWmwzgkQ9RE7cBmxiyMldZalfyIp0dIrilXikjWQ+EZMVbilc+edYA
OxxsKGPEA9vBpO20aSkBCFTnJ7GZCi6zREcW77YlRSv0Jq6SNvOqWxdjH72oVmGgibHTEqsSO+WH
2fcctRfWZIQDFqCXv06mo7QYTwbjSYIbkECWa8+YQX+xn6h3VuBA5RBwltb0gjj1uGWqOwf9WLUr
UnT2i7IgZYOZj/keaPEcnEzhjFCHHKJeJmK+7pwBRQWXkHnrelhywXmOHfohbaPn2YVExaB2BBF7
yRUJF+pDkVLMo2QCL7lyNSO5zydl7qq+qr6VKGVvcy8Q5LkQLXw/YKGd9iNt+Ohk9/zoval0viNV
Od86rSIuHjHNlcb8r3Yg/ekpzy69f4wM9GU4i0rD18wiYcq3lN0Lkc0DFfEklXxPM5kVu6BvBQOM
oEyzHZxGc1wXYMapd7mc876i/3ccYEXpBKB1VHROYjfZQQfJXZNWUhQEhojUwddUgabl70KEG9cl
rhOA5ZgSy7U5AwM7JcrS12IpIRHImjh20AY+GBnSVVHU+pGZNBBO/FK3JH+MhBrk6eM8J8PDYAI0
/9kP/B8R+BcaVIjKaCf+szMcfu++/8df4tXr7yXq8X8Jx/+j/viPNZF75Wv6ix71r7//r+gt9x8A
3FGPAsb4mbxFg/efclTP+4dBAwBJNxIKnHaLTvyf0VuW/48AMSoZWzjDYWO6/JGsCb783/+LP/IX
Ijx/iDffNPmj/4YY/PMgx8YA7eg2rFUTjZqLJ/zXQc6ESA0zz6jvQZSuy/ijwCA2TtEhowtb8YYm
Avoo9WgTRP0Tm49VZskvZnVLnNm/zyV/fgUSMpjR85vRuX8aDtYOrlLfj/V93U76dWQ/TUFzKVW+
qWgE5iYmw070YcB8FPN/dNU0cbbDvkVXyny2yXeaE0J1tPhKn7VVWvvbjlZl4xnXInHBBThqYQmH
GlXWSm9+2HSeADwSn8gILn/JyGNa/hX56Apz6oOcwTyVciW1zeQEe3ZwpCXFuXspdNqNq1nv2Atq
rbSsUM/pgFjV4+QDgeWeYPXxVyWp4LZpIbXi9U7gJX5YDMR+QS6Wr105TgaUsLPkRuaXttbfFknV
k9i3xCQH3a0bPBuWtiHb/PvM63tTZgbJzdaaae66FMFKTxJ0WEWoxnJNdvF51KL7TAztJpflRnXN
S0/G2o4A95tYehfElL3OMVqtLF8LlwYmvCl/NXQd2/Gq+lGOtr7LYUpTSA8/KjumtdLLy0oOZD5j
vGxcycHmbZpbp7hky/4/i8v/k8CdmFKGpf/31WX3XrfxrwsK+J7l7/yXwN3HBAq+4KcVxF6oA/8S
uDv/cBGbUjcgIFzE0PzRv1YU1p1/rSA66R24HHHQoxZDyPXfWUBYez4/vktoIB+mM59iNOYuE6x/
k9gEZl35Ue0Xe5g8zwOZG6tOUuSgQHiCCnTXKm1fLU1lvzSe2C8Z296btpK+c7c0oGkZmAdrKKeD
XNrTxFU4h2BpWbMWkLe+tLEJHm0/pgiJdb00uSG1oAZZGt/oVfSz9rMZvrTFLXChCDfTdAt3cNz0
sXfOljb6QMJs7pPgCtVj4NPAG1rA4TZSM80QdFx7pGO+gNJOgG3w7i/t+oy+fbs08B0ZOWHtDd7a
mIb+3kyDfB0vLf9kaf7bTAGGZRwgu/iba5fpylxGBd4yNOiW8UG2DBL0ZaRguJJO7jJmoE+wsZk7
9Mwf+mUQMS0jiZLZRN3jnVYM1sJ2GVykywgjX4YZ1jLWaArB/mMZdQDT83bDMv4YbFqwBRMRCKLW
1l6GJOkyLmHH9N1ke7rMAI6UoeW2TJmCZMuYZe6AXzMCBDnLCKZkFtP9NBJqp2gZ0vSaGPeNRcN/
9GrjHCzDnG4Z6yD625bBcDsbXXnOkdRh+vPbfpUhl8npGhVXbWPFw8b0FSVMJfKnnnbULSog+2BJ
kCCWBUpt1cSqvROWFt0RJ+Rc2PlEwayVDoSZzhWUNE163dbF8IQflx6j4waPY2lB9qvrnq5wTUs9
IYp2Iwdy9wRipFtvgONRFRa7lMJUzr6z/ObZSzPK38xTxWOVV2QNFowRMdwa13b1czthFEzfYr1p
L+lE+yFeX4OTF5g9VKOe5qQ0m+rYyigizhCn0VFoM1tgAdxJrNIiH8gsr8uUTLu6BjZhAZ0evOzF
M9m8hGMEroiBdPSYmewPfCsCIFem9Z2R18a15Y71hb2Ul+yls5cGfFm6AtdKPZzms7EtM4yzHVOM
m8lR6XXf5bz6+tgeNzJdAH8DNB6rG5DuOGjLw1b49nehW8XjRA/9te0966BZVp+tYxxwe9TW/D+J
GsG7ghtk6pUuRE/6hjSiURB3fCSCLOyc0CGnGzPm1nR6khb3jlT8eDHF05kUd75jCe32jDmF7Stv
7XxtTVyHxi/4QAN3gtgUbVptJlVO4diVzXPC87dLgbAs+mraadGYYgfzkq54bIwqvZ5IoHxLxax2
Rm817zDDx5uoxzz+85tlSP/9reoNPr7At30bzwn9R6d1QFxGiX9rj0vfXetKIoPYBVZO1d/LzB7W
tTshuUiXH/6zC4ZApHvwxpL/sYgy8+Cov3BP9bTRYbvvssHOXn7eaZnTcbQZLS3ZAxPNkBQcBoTq
oD4NzUIhYOfHAIXu7SN7QfPbUC1D0q60vdvWie1DnUfj2WDDGLYtLQ8z7iG1N4qL2vd2dST1kKtm
RgOMl6Hs3jovSa8rvXZPZJlPFyIyzHOkZ/55EAt3nTsSK2jgRC+BSRN+cMqE3nU08kHK54jeBEqk
iBPtDji42s0uW2oR0+qpiy7Y/Lxa5VDWd0C6pL+WOSHMawOJ97qmvCOuz3YuDSHtaEUcJEZvN+bj
+wWO6JHEQyYc/2DA/OwzT1ibok7XMpuvZZVcKzHdAIy9V4JGgHLqlyqlXY4neB34V2bX0zSMbxLY
9qsCMDrQ3g9nCC5AbjGaYbtdmd55lBatiWTXufNj3Eo3dPTRv3SZHjKZwhFIKJ3ZTPjBzao+d7zH
+pVpYdogNcI9s7V6kMDQrl3FGp4bfhy6XmOtDQ9pdVpO1yAPwmGEpB3VR6vyohuj08aTMZrZ1q9j
RsGD7yY7t84JpgyUvZkago49RCt7pchd7PxcJKHWGm9VPK6VMN9FBWhQJGlzQYo5fFKzxARuOj9a
o9tXvnPL2KFY56q32PTG0bMWm0+gv38ADyvZVMpyiyO+Q2pX4TIoLdzzEoDDymxNRaXl1nc9hlBo
jdn8ViqHvSDD/UXUtG268a7K+uYYeDldxi4BLTxzgVPX2I6ij1bZMOUYxowHd6IjwI74kI9TedCB
pe0HFuFQ9/uGGjOH2RX09LpmKOx1/Sz0HjkChKXLKde9Y8uNz2jU1UNHRc+6UYo1HvxVb0wf1tSc
m9T33lOTBrs9CP3FYyIQGnl+36GW/j5NGjDnTMlVagl/rfcV002maEc7iGzwtvPMemCpYh9ns8XO
GNbceqZ1HUR3opRvydRFG524jGuUGgMOsZg5LzAaU59WcGAxYCqzuqwN97pgzb/ltmo3uhsZNzAs
bDYBAPHYSGvZPq/yJrSlpsAXm827hDixARB/mEpSwaym+d4XtRkKHwx4ZqgnHRrqWq952wc0KlCZ
9z/wfT2LxNrpk4geBqPBuGPlauUwPAEZh2yltZ2HCGvF2uUxpG1TxU9gdOW6klbYoYW6HLC4bigS
/DeAgepMwozxkE9iqSEAyiBXcKfjAEiNcYcZ+eDSVfaQeT0dOWmX7zLysnea8cUxaEtvSfaN0H5o
9Dtde9jmkr8bl9aGbEP92ouy+pYMKTSMiaCyshbZWdP6141qhpcKiPfLYBrWtdthRHOosFatm85h
wVPESt6ljKaSyhHriGF+sJAQ4kvFHNY4SjMyRjLqZ+KTA9Fv/ViUOo9E/Ni5o3ZyQdOuc4tpDBex
1iEBxtpGAaK69JzW5o6pCIIkXqkxV/Y88Boc+/q6Jvj5aCMi2kTCKckmFtFjgBD8TPM6zTawzkE2
dEGlXXex7xyoFPKdoddik45FtC4Gp7Y3STt+VKVpngxQYQ9Dmw77JvHEN5d0B9xCpETQc6Jx5g0E
bNrksSHmPOQlVRgjKu2o1yxgjWGKfY0Idt20XcYgeYoYqhs+X6tAY2UXr55klyTbaDjlrqZftVHV
Ei9Ztzthoh3thzxaUzNcjUh+UMfvYjOmyebPz1nb1k2YQc1F3iHa9WzkxiqF6bQtbb1b121u78hw
uBrBmOxa5uUrs4+srVNIdTPn1Hi5IqOidpV/mgakRCKTA2KIXHu2uuAaypB8H7yUAsSdum0As3rb
F1ED8kLE9KvTNOzbmUccx84yID3zBq1PsH2ZRwb9tJL64DxazbgbhzEOpTXfTa7lXY+pSYKy72c7
5Nc7l/7VujDaTa3q+B3ky87qeOUp0L8bRUreZgR2f0yVIdd9JqMDyb+XaSzOduQ4oRf52QGk/HgR
ZUjjmZvC9jYAzM/nIGd1NS68nmi4xUS4UB13eQkF+BaGnwh5hOUQoxcYbPAdgUZ4/GMcC51WWqDH
E11IMkDGw0j9O186lCr5OovL3NlMMlOQkBuTGQLcuKxY8d6GSVW6BJcAb1YgjZPcZ8y5cq2oNve8
Db/RqLvV9EBtyypY+sn9cBd587wxpllex5lTbzPl2Fd0LZ/EbKWbuXHPaQBdO5u77pwgiQiLwMlO
wmucVznWZAyZ1fxqSKO7GkpP26aGem/jiUm/Y6orXymo9D5TAHtk90NfUN7QRTYv6eaKc0ypsgHD
hTRZ817w0S4A8D77PnTxxKi1tYk0iaJjqaXuKs4ASedCVmul0nEd0bzkVdkUmMXsdKf7wT3I5XHl
5PbFbFFo03N888xBrSBEtNeuAS+otn8kpFwx8EuD4xTPbrXJjKXoj+nPvupMIt5AeWaXw1BJ6ngJ
J8hNUQ5lwZ2OY09fCWoZDSFOlx/mmVAligR7urSR9tw25DZ+K1q9uJJJ+YMNKNDk2hQ9HdJuaQBX
UR2mVfJDlCVvfU2Ub55ylzULrPIWqpLatgDOnylf3I3JWPPcRcG8pgY6W4QtnohhjuXKMAvrqNuB
CL1p5kmDu/Lo9kN/AXGuupwL5eNmm7rilFfCc5DDWckrajM9XkVZCi7LSHgV6EHLOJutYU0dUAT+
G80nFg4VO8aZQaYP0sVrnmerpIECZKBh9mfZGku+F1TrXh+q+2rRCjmLaiha9EOShXHjG/MhXbRF
zaIyqhe9UUob6NlYNEjuTzmSUyUA/7NsqJmh1NxCMUVJ9lO6VC0qJiYCi6Kp+6fAiep50TsBL1/U
T9aihKIFrT6SRR3lLTqpdlFMjUin8kVDJRc1FSO7y7ztS/ZZKK0I7VA38aK+shYdVr4osuZFm+Us
Ki3yj9Iw+z/sndly40i2ZX+okYbBMb0SnElREjWF9AJTTBgdcDhmfH0vRue1mxlWQ9d7PVRZRlWG
RFEg4Gefvde+Obd4YS8MfvHaD9N6a+T4u8pfVq//qj7/X6oPZG7Mtv9c9Tl8/0z/hhTBPX37G39q
PpYFnwBsAOAA8Ysp8r9QAyTkP+xbWRbSqRf8BWkgQI2YJoOcDTbYJUeHGPSnAiQs5GW8xGzZXRdu
h+n8RxKQ+M0ZTb4RaAKoE1JiJKqd3xl8hRU3vevHVEimwjgkMRDLU8UCHWtWgKPHT1Y3ppzDsIlU
Xj4tmXLDr0TQf6QEap6EXzhuZNXOMyLx9Fb4RnbCaj+x/LADtrGq8gLJChn+3drgzNdd2T0nDaMY
FRcvZtXExqoastIBMhhm7Y4TfJ5ffJgKjExNGWzxt1QHODy4i/O+ieRsJetKlmJNJtDdYgOmUD4P
+8dChR1sEHOMzyXHxXPb291u9obmaFPb853OnA8hO052YQuLZKz9naky9aFlYUacbTwcLe2no3OL
n5fFUk7OSaenZU6nvalqQStVYFyq3IjxyPjDNiUJrONIhzaKCE6z3pIDhSQlH3M7G/N7I03tt2Ge
bmQItSaqSptQlprXmVziteubak3c4a10s/Blcqf5Hnaos1N2+DZNgbcZTFofnEE+itxo9qLX9kVL
qQ89YkRk5ll2pmNxPLhemt3RA/QZdg0jFnb6jYtl6tRIutXL2hi+toUfH+bYdbZFZZU/6IzUmyUP
rB+3QH9DT5eu96Gd/ehJF29YeU9fKD4dKxiAecLzIgC1L8vgw7Z7cl0+9UVTUL/JTL41QF7vYLRg
nk/HgVgQ1eYc/OoN4Uo/cpUvq5U/VowVtJW7Fg3WoXzyl4m0Ekt+dbhdkS/N0HpbzBKselGgij1K
RpOtUt+HBlEP/royeP7uTAwyMx50atRWXmElV1FYxcM8t8t9PKZmlC5gFFLHNhhhzMnluzg1Epkv
dgDE8FZTiZo9jV5bnl2c2ueUw9MdiV+Comk8Poy60duqbadvHa0/FJ+YThf1haF+gg3LKTgfhbWT
fj6eOaJl+4k+mnMXg9deTd6Y0O5TEp9UmFbgILALmHvlnyzUhnqVdb55QeiDVKbDpVxpymYq1Pwh
XCUBPjFnmoljssa1sT8WDc8KUDRrO0nBuqY2lkmD9uNVLe3wNEjJON8pAIYMtLXehuN0zhpelN94
6tguc/uS8FyU8Kzt9GeNdrcJgjKkupz1h3aN7/TBkjZMIYFS/JDgdNHGaK+mhXSPg/GRpiwzfEOQ
ovpE+ycVI3rKgJ1+SUb160A1/NZmdv9WNPFyXCYJbNUbUm83ag4BjNHjl7AWzoNRxD4xLFqV+w5T
YVQV43yqR0N0UYDOfAw8+gipDjPSzUwG4AGfcr1ZGp7MnkcsspscrM3s9q9UE7s7iMX9K1bKGrN2
RTgDNJvBkJxkJ0PhyXFlGMgoCPmRPOqXsDaUIXQuf8TxqId5Yy1DzvEqnjcZFPuXYWomwHKNtU1d
+MlpCOwR5198R7mSfvC8Zm3FgX7OCsO7hk6/15Wz3I+cGKJ68o9uz8caZdmeDlksOdyPXv1AlsPA
32210ypQwfxUtKW6k+1gP9vw+j9wQTVrw2N472EyHYI5S+NDZYb+05Q3dhQyMjiTMu84dzJC1+Nj
Ihp9nuEJRtw8zUvb8+tG5kujSmaUvJlNuE6c0TwsjQXe0/UuSjTVgWyJfZBtT0Wo1coIG48NEjlO
dhoIwTrO1LPhq5k4A2VZTwxZ8w9pKhUthj/v55wDtT/TtMRvERWJCSSNrMwtdphz1ZqGWfID9tKd
shTqclWaYtuoKom8YPDuTFbyCLvciEJiwOsYP9y7U5vpfiYCERlTSd4ZpKyBXuJ67zwEFwyeofHD
yhtjNY2pEwGN6H/msVFfBMVx1xYOHM44ueIQZX4mi0w2jVWWa7seBuAYraEjRQjl3V6S7qxleW1R
RY9p6FWRo7U64ZDrHpaKKWCk+ejBtLLwvk11AcK3j5eNSDy9k4JJkhNqsG6LYFj3fip+JDdlZ/Sn
bz1KWlRwzyxXcTGmkcZtdKbErlnVyh3fFFmLSFhquQLPCJEna++dfB6fDcdTOOkDPJ5ZMd1VaW9w
w0owyLmZ+CjKAS+U32QXK66q3WLW1ucoE4HOurwwPsSRPc723h08oH+mEeNApfcB4+sSHGRYXmmt
O3B6MFehplpgU5iUlgCFcMO1nw2PoyqSN2Nyien1LD9nr0of8rKFEGo0yfhqJl5zDJ3GPyZBqgLu
oHG4576J/6wzz61vONdl6R96qK+rpsSGjlm4iFyuved8tuXN777iI5HtqtDCibok6SEMjGuBesys
rGt2ok6cRCRQgn02ef02Cbpyg8NcRmYQn/GMFLsaW+zhJo0iCeFYHBXuST5Q6RYkZbZLuj5f2QyI
GPhjeU5cze2bxq7PNDOBSQ6md8Lb7H+z/LL8qltlXNxWP7aOdJ9IzLyYs4BgEcYNg4/jH+jeW3ZB
7/ebxvWHl1am/RGj4Ge+5N0hzYkXNkV2Q5igkcNhxYE/GUl7zJjjWOwk4trS9/aw3PzpePpZQOf5
I+5M+x0v7XjGKwbQEml3eLOyzNiXy+Cepcryo52529rJm4gUKeqDeJ2MUaxMIiibrHLilZ8M5XMY
JGrXY3y+x/1mRVNLi6bZxD8ClgQRCm66Q99i5kJ52LcwQs6pEONJuUXyZQih8PotbQZqwQoJwW75
SWrpOZVVFdlF7j8VMS+ho/8g4vXhRcudu4G76kal1kfcMjbIWuBlV/W5JLKIDXQ6U9omXsqmYEGC
5XsjDD3sgJaE22wq4g/dzxNAg0x/MKUwwoYUK9SDPRz8Me+3pdd+jBb3lZBqQXCeA+wSpsayTz+N
3mVrMcNj8YN8OYYhAaciKU9Td/Jr6Bdk7eRwESUhWoLkWPxMv3zJDa964lBVnKom4FHvUiC7ysYi
yO/rurN2EEbUBQvsVnrOrYnP1HfY00lzTa6xS3Mht2ZqJ2ef7NBG23m/T5gaUepIYTwgaE2HVJTI
rkGv13Oeu2zfxo8Wd0FEcABoKeP9cq/YAkWFq61jvehq6wbj9NkHMe1lbYOFPQaI50LESxo6gth/
rGlumr5R36A+POL7JsfcT5mE8ZoX8pNOuWabo1PU0Uyf3mFuzSCSeWHsk0UXXuQ3hcxXliiqOzXZ
7GMK4ZEvkE0aYWT9jq3Xxn62UAMlPZxHbnhb3xT5PefeqMvMcjvi2dqaseIJOsbWceE+gM7JaTMN
ApNCU8P8GZC4XXVzOaz6jrVGTWPAhoidXnH00Bvi648uwRc6NMwZ6Sdub6s/G+MTv+oPYu3J3p7i
eONXvWpXrCEKVmp0brOzaNfNWKJBN37sf6HhQ4dbq/dvISnz0Vc8kFZsInJyL531bVJ+eU9GjxvC
YJdsfwoaGquFHN9TMMV9DuVmCNL6W9bLge2nrMpQPvsT9U3iGLtBVpy6KQjr53EeeNfwCU6GMa/C
ipPyKtfEf7BtlJY/RBVurjV5m8Jfz2kCNr2Lc6qw2fj+UOQ4vo90hq84I7hf+Dv1h0GsZDvbgzog
JE56ZQ2ALsw2yI79EDR3jeLfrluvfnf45DnFrLd8R8KPIQJGj0S0y8Dv1OBvp+q7jk3rDlZzcPAw
+fIJZpi7+L33vJD4WDVsvb6LUrW0APuLOgHgGTdsAvRVy8ZZ5bR6sl1S8tEc0xRLWz0jwqZjvxdl
h+uD9M6aU5+9rgVHGHtsJemGrNh7uhQbbKL2yaxajKqm5giAXXnDQmhau94sb1UQfD+zUDX0oUG8
tTgSJ4JwCoG6tQwbNDAoapN37joS6owy+j3fRze+T3IISRDCw+mJJVqyHvIki6OuX8y7WSV2RD1x
u9a0SLBrdQOvx5qogvuApzBLcHYbeFgJDqxaBeVxknn+nFBr/N5x9GRmaofLXC3Jk3SXdhvc3mx6
T/MdNhqmL9eWQH7iYdT4M6dh4/XKPMx52zzFsYQyjQEo3/Us1g5Fq6trl4Rk2hqreaVNxvpiEQ74
UtXJawwi+CwAsWascExj79iKfEcVogj1g3nyQ6meCMq01TqOKXW8wxcqHqu0+fQXeqxXapnwHBmp
uUQBATp6C5dEYNHHnnlflHP5llNz/RLkY7wLsEUl0dxb9o5RqHtBwBm/32oyIoVhGmdkota8omqb
a8SjNe2KC2p+56LpN0QNOvpg7TW4qPHrwqmPE78B0pOWzfmh8YMCf1RYZledYM03m4VNIoEKe9MG
hrWBjhke2KRnhxQG5xlUQXaQTuhfsA4zwE4eF5NpfC2DenlJE5TelWfRybZiKVRvTLeY3wpuFTZX
/mhGS+4v98Zcs2WAnYJZfSiv1e2c5CxcV3ph1WI1JhQTm1oLxck3Amdd76s8tnDagxRg/rwdZC1X
n12HwzVBi5uBdsGvMDejj52X8HPzpe7GQN5bRd465Nw8hrHG4ilACqlNg6hPPeRuXOXe8t1gVzM+
WCHbIS9lFZdVgzG/ddWkpudlNFj8royOgbd76M3W8TGD9b7tq1XoUO1z4i3RAam7BCtZ5LRWzZ7m
/0hBabtgnXhZkmkXG37zXJZyev2L/PMPwua/cYMZH/DlmVBakYbB1rjub8Fv1UxjXjrWeAEbR4Fb
CCXbsgd+I/Jg4M2Lkw9bOrsht49O4W4NobduCpHUxyDXLzQWdht+1F245GS+st2/fnG/hdL/32vz
oATiPAMB9TumTFoDSPTYHi9K6YuvOCvG+2z4N8U4/+ib4CiC6ICea/q/vwEU3k8MvcN4yWygbPzH
M2iE8evtr5/lvy7Xf+NyxcV9A/n8c0nyNcOHVv3difbnX/pTlfTdP4g88HVsiC4BXFHIF//jRHP+
8G50e9beuMzc8GZS+x8nWvgH5GHAi+COPR5lN0PZn7qk4/1xM6EGUBz8wP5Pva2/BNO/OUvxZfiO
T80PqFc+Tb9TShgwGS3nxNoHwVyVt5RiEGmaZaKlmptzBhxtquKPmf093bJBkr6YvWIOMZ2aYTXp
LwxnGHP0wJrOp5t4o303eEjnRJ3IypbPdcVSg+NXQPCoe46HmLb4uW8+TUcVOltr3uCXVhvVq81+
4EHJm2NnsA39HX5UfarTBOgroZHPymxIUkx26346yrsZRDwRsmytDXR90oyFU8vpB46t0M+PWSvG
S1r7Gy1bWsCm/GQyIAU7b4ipfXFEQtiYNKTANmRb1ppKbOPZEK7C205DN24dVDm/oTeixREm1lBr
poulp3KtizT4KIsysE8tHhHeltq2iaKMyTlXkJb6wsMLi6RcU/89ju6WWzlGs7b4KuRSnZKRlIMb
LJxoybN9ofyZ1a8Vi7UBIY9IgjO+2nY+U0nhWslBtD07EiXVA0seE8JajEnMnAbjvWtLdpntRCzZ
bGFIkSzgjLgMjf+q2owMjc8SOtwQhudURGYPTkUcJmUW+Txe7PuG2FCzNVzPev7li+qVIBjulaN6
F4kIzr/SgNPo3N7lwuK9SOvQeianwTNstkfrmSGWbE9J/vYWoSvpP9GMDhccv6RPqDTkGOuoqpQE
iwcSMqw68e4busGJM1Y4oyzNhp1qUv6xtAAssafzePg1pBZkNKeSv8OjrfDPiofQux0upCzcTuIU
I0iWRW7vBeeOXGa2KlNYHDT8uuFrUBfkOio2Yq9Wb3RsfIOhHrg0hfVsk8BJVpKm4t3oI9uhV5Fv
dtLO/SSFQmRBdIFGm5na5RRWM99/llZ9shOrWKJcLPxAkOv5Oo0W+akrljI9GsHMCxitZko2fpLz
7sohBvQ2SpISCZ3Ucu3OIH7XweSjoweMZPaF7mlOw9SxmcmhuzX3kp3Ku+95zu4UXxt/FtPty6Y1
lPAdGv2tvMFA3x24td/sZSIgX4wmevvhg6XLWVXR3LREepz4XxZWaIdfqclpSvm1LG2n3r0ES5sg
9InjpLfNhyAbvPOv7+hhqpjgExAXotOaa7MZbqeOfEzi11EX3Q2p5yb+Woz2sOy0tsSniSAcRIJ6
3ZNnavXecA4fVmRYMNGxghSPeL/CTeE0aU3PX6bpZ/Z6x4kIsvP1E6fkx5olzqo0Lr030eWz8frr
VQbl0if7chbk03jW82I5cnCVGbZDDk+XFT6poqXAovVGfs+FHJrlCfQhBsW6vP1KMQjf3pOciPyl
m8P6FHotrkNd8+dwzkgjBWGCtc6oSWgWNaS4VSh57LM45w5FkYreC2la8zZrVPlzWSBuMTIYt2uK
jSoDiGsEcgd3nX43H5oKYD/ahaLJL7px3YX2sscNMl7NkUgWITX1TjNB72CegYnKdVoBzyTOoM5d
0EfIXJjKXdto8OHYbbjpZZWg02GnvcBAgswTzuErv0yOlmD7rCvp5Q6HH7LMeyf6NkZIticC9KGD
MS+QWzxDNnNf4j72Wdd+yw0g/vTL8rEow3J6CjwDh4CtubBtjZqEXb+mK8QUBj8dcSuqzRBA24jK
qtJhtqvaJuItG5b9xGpsP5IkgkqQ+87GqurA2YgYOODKbnGXJgnxaae6vb8z8OVXTf/U2eubeuAb
yvF+RJDc4Fmwk43ROcRHMfCFK4l5F6RB5mDDC1IUQJ4Yj5Wlqms51DAWhuIWBvKL1H4JYQpujVHP
P4QvHcrD2OnmQ2B9LxmqX4Okn/wtWaP83ODd+eFwJnzuXXc+3DjMG/b2ZEQz40Xnhn5NbdGu8Xvd
vDBhkAGj4vxOuKw8W1OFGSCcqi1SEvXVibn8gDlT8AkYy/YUuCgWTAT+zOC8xM77zLn6hL3UbyJK
hq1Dj9ZwJ12bwXiEa7VC0LVxV8aLf3aT5qIJnf1gzZiKzQIrsUQYaOYjxajBBZGIBLJhT0wKFkww
1NLWOpcFd/PHRTjUAprhrkNh2i64ntdtU9C1gp0LtbCPH6pBczeZsUHRZdRfrar6gr2YOakL24UU
dQ/aQhWVab/Eyqlfx7TUT6BfHlJ3aK7om8lqTFrrGrNBfar8Ll2V/dQF9w06/z7zS7Uxk9T8ktjj
dBJx8LwktvfWtwzl9eTi93HHqsaqaKlS7QcNeBMozH5SaJa9sh/almnFkyp1N6WZmuexxo4wx01n
PrbpDSRi++amzDXR/pxZYpUOHfDzcjQrky7RdPyI1STLyBK9m5PU7Xu5h5UGWtewBG4bp8H5CMnl
2Yae9J5RIdTyKHTM+z4X/UqahjoMnsNVPTr5x8Tj/YSW0l/wzH2MmmFYsc9h2Bonhd5Rxd259ZgE
BhHaTyDIBF1yufVYWF73cxCT/pjJLjafU2eWw2Pm6Tg5dXopDklZVGAy9Rd7XuLHNMUgXdx2ERwF
p/PQMZ6WLUca39PHvnWMezyv3oYAZnJLO8sfZceKqbn5u+D82o951g3vQeZBayDm+RCq0L2HppH4
1ImneA1ZM8NXNuLizowbu1qnvWk8iqLGW4RJB/90ibtBeNPxhnP7AKwnIrdWqN/KPNI79UpAE1In
0bl1m5vvlp0c8jFvzzTfiS/jmNAX76PARBbIzw3ro/TUJoJysaDu73pf74OeHG7hk7lLTQtjpV+r
SZzHtBP8hIEV2Sk9EWtk3L7j4WdcPMGlYmbpWUL222Msf4tzCJdJ6cmVtmuBlkTi05tYPlgKThJ+
cjxsk8fqzgnjZc2mhgpoj0f4FtSIiSpjK+cxIOD6EIS6e6ppe+FBj++UnyftomKZtobfDXdYyUgp
9MmLZzbW6YZpWlssgaKEQP427KR8yvKadUHO8WNrw9ZaTxBl2o0yJ3r9Os8FZtOm6YOcNDtdx5yf
Ta2H09w6NzQzf3HAhHvHHWhAjcdxvu5k+Oh05rBTVZ/yR1uokyOX5pq6shyQJtuRqNAtbZuOtXXs
Rd6zbsNKqmPvEFAkfK6LZH4xW5QPVm79K6CMLzncDbysFsDLZBqSl0GxrvfbCYh10zpAU2gym8wE
oZda6a3XY2Ncdagf3koCcEFSQRrT27lIXT4JEtq/mtxmK7KepyNWf1bPpDB2ahTBqwr5wQc16Scs
kz7ZkybONzwOWcHlbbamGb2g1RDz3KStaxp72Fd1ngrgOEl7IjCMCQtudX+atGAtZNskLfg7050v
J+QGn/vNdyrovJ9oZuOGbam77DHAld8U/JQ9dYHxprwdragc0atymNktCkvWUSlzb5MZjdrgGszA
gQU9TVMWQs5cdtE8NOBafN8+FTlK99IGynnh+Ub1M1EHdkwynORD3mWYSgu3vvZySrxrGeKQiFwD
QWvo2GoG1Si+FgSMki0rrooPkMlZELtwcZ/wkGWhMJ3JUbfsUotwivI2iB9bjgF3Ngtp7ryzk3zx
5QDLd3FyzlgifE96q74uoInVSiYpq5B+Prut617oZW5gnTWNse5rtz/i9u5Ok9VApakyMDNu1z6n
ozw2Y3NSwTKtG3y397Kt22+gMszd0DX6COs13ukkeOWgBrah1eTRtXjMAYcQdxiKotjmwJnLI3Ah
skRZiLl4RYbnJsJTV5mvJJL2tXdM9XUqZEkaL7TRrtEQb7G3njeEGutz0WtDfpuHqX0wwhnNKoWC
sklU5vZfg049qx5nvb/SWS9iewd3DTp9PHk7vMH+tbbKN4VsmZ6qEvH67FTmZzeG6o7FfoFhnmvh
UIxZzO85n4tNUOSpf0VEcSmZkfyTHqHxV/HDrR2WgDcrZOBJrhrflhSnrnB0kPgPia2aB55+h07y
BB33f5nk/4G6dBOP/oJHRU9x3BvRmV0fjiK8QX/PbCXh2M92wrnW11ocRodJ1M1S+3mZfSI32vq3
gtFvYg7fkIxpQMjU8U0Ime5vjEx2orPnmi1an9ThucOQ9t5yY/4sSG+kLGd7fImmEJdkCHrnoDV2
zTlCXU7lXe4SxtoafLA3XlMJfS/1YF2kAc/oqG0rfB1Swg4DwZqb4biKObZJr/1uJqYTMtDT9/Nk
e0asN81U6H3WA6zuVO5+1u4wdk8tJMB2u3SWxZakQkoUHwvzBHmmYGJgS/C9cNbHuA5pgMiM9B31
jhsVWkC6VD+DZaienDDhRN9hzJQRopl6N6WYpjP5bN+43TtNBizLiB8Xg83HNswZHHZBUuv9zL+o
KU5QlrfTqYWHsKUB7/3XLCy9xvo3ghrqzm+/dEQ0gVJD9ZOJOPPbL73ghByjjNZ7d77Ny26WMxv0
Vsm49q+vrtsX+vvVxTe6IegDtA8HV9Pfr64A0rPBHrjel2nJr1gFUm66quH3w2dPfLaAHm5cjYkh
BKS2ev9Pv3sApRMEPinJECjB78KpMVs+u6h6r3NlP3vjCManyWbOj6Xe15PBd/U6nyHAGCVj27/+
5tZvpRhc6MiVNmZb2/IdWjF++9lZHxk0J2KJYi/IVx/GpBd3ftHYz1XeMjbDnOaHH0D3nLqEdduK
hveewQ80DvkIMVnPv17Qf+XNfyNvcuXdUNr/XN48lGVWQWP8a4/bn3/pT3kz8P9AP7QpJHIJ33E9
8fX+lDdD6w/3RkO/gfFDG42ey+BPeVPY/F9E2gJ+k3zGzJtZ8n/lzRBVFCBu6NlBaHr/UfKWDpff
PmcIrlxjCJtkgTFEhjdb5l+St5mX4U6z2vQ4NYQHCX/U7solw3NSjY+TbZ4ssRY93m1VNODGbqBf
rH9D4BIZafHH7DXlwXEU1KV3XBZfcE4Z6mVcdaY5PRJIkmJnMRYaj0WY6zfuvQh5IKiSnEGnBBY6
2O2AEUAGzaqMMWNQD2ouSIKwjs9h7vns7ka9HBZr4exW5TWqXek7ejMAOUwZPmuIkVSXY1APjOZr
mM/+N45QVGIjZmySxUQQSVXZtdHMk8VdW/jo7HNod+m6DaV3N3KXW8mhv7bgATkqQDRfsac2GfIp
qnxSeT4/ohR1F53Y8noLVVYbf6oNqE7BlLiryjUTzCy5upauIoKYjBRxL/W8T+hXOdpKZye2Sjsy
Ehq2W53VW7ciemi3KYibbkQ+XE8uoCLR+fYbZ0ib+JMunywbGC3T8EcyzOreredwDa7SeejtXB+G
ehbr1LIfUm9p14AY/Y0x4+2flFE+OL5RXpxqvLomDyO3RE9aqclPvwHZUjtBt1SEQa84WVJC1fKm
5jpodlarPs2SO54t4jKmlcNr65f+bI6bxq7rS6y0/JkPXrgd6GjZti5lEon226vthd/cGFO+hbQd
eUbawB7ivyANvYUEm1caA2akSveIKoTCAgbyKYd8cHWmcDo5yh8fstaEMVikX3M6nD7d2hvX7MRO
OO/mtQsCaeUBzWRRqQxK/Sb5VOpCYugr24vtFGnU8Y5EcVg86jLvLsYEUCHjE/uCmR1wQ2tPlxkQ
6JqDPcV9FK+vDcTotTnEyfMS+ABsyqBBlM2Z0/myeU4sTCnr5NAkfJzN/nvJv3/P/bd89IcKbg+x
7fDqgzp9DKCl4PCLc9zFAG8vwsCxmSsWZgVUsd1i9NXVtLmifa/vznYhmJhLe6W0I7YWl/1dTcvY
OzZH0NlG16VHkafWGrRl2eBlGsS6KYpxhy8h2RpNf6JwuD2aqXc3DG0DyYjlAbzDII+CfGKtXJUD
cjzXIOxW6Jd9TFbaW7pXg4UXMawr4G5zG/snMcDvISlF2KvPH1JH3xskaa1Zh+uwFFf0+HJTBepb
y+BxkHn9Ot8KGMh7fEifulCYNd0cycw+uQJzHcnGUzl/NxJSRLVFr8PSm2+iZwoY5jDeq3Ew7kae
sxsG7GSdm+Kdm2F7bzOYbQ1Mv3TXJe5hJj/6KrxbB2Put/gyNeQhMkhebhx9NtIrUE3vkOaaTe9L
vSvJWrPXPy5ddu4kmkyD9DcTBa5iHBIwC4BrCEmXUS4346iybTHmUyRQpK5B7JSPKnCTA3UMjLCY
Tg6cAqZHOZXLruoKoMhK6R09ud6d0AOULmc86FnExRp/5fg4iu6VPKOxN5rZveDJTW8NlDX7FJOI
pSHKcN1Y2H4e5nh0JIqOe5E6+Fo3tbvxvCV8zll6b+lDK6BIZvHD7ATZPXGez0oozGgNEsaSWZ+e
Glw0BG12H63mR4YsqtZalfYpKSGa0AXBJW0mZTRIlJ5yTsuHmdvuKp2439F+CK/Mr+aPpQ8hxcfc
n4k00fs8T/NHOE9w5UCyNE+NJhdqejA0Ec3va/LPkJRD1u4PiRsTTVVYPnaYB9hll+5gwsHK64Mq
BsiOWdXRHqWq8Nrl/k9VY09lFgS3nQYlnqnAImUGszZYKa+i7zkSmewnfEEoVRjEM8/YWgtk18Du
5HZOQWlxc8etOTHXczC2xH4equ5If2ba82wxmm+FAYxvlSILmJspHW3sDxrVZZXXU7Avevxd50lo
73Higf3k6JiPSMGxLcSIN7hfWivTx3SRM2dsUAtfO67+LLL6JsFmasS+gDiq/GsDcJrRmQjRseZ8
dmzm2AAFk1fJHlXuMHOIv0/LvnyCDeow2g0QstMi5sINlzF9V4FoN4Mt5N7KkvSTQ7SJkhsQ1gH3
0Ilz4jAVrXyhcPstIy1ng8LIMzrDMKxgOBB/4tb+syoEzgM6MMa7bmhbyqrtxlz7kKf0aiHDR8gN
cOnEImTp38zYaT4bbWbvPJNJ+IN1uiOZJ+/jwQ1/mlPaA05mcXY14GK9GWxCLtL0D5D9ceFLx/vu
VqGbkTF0mh7Y4ECKCwb2wa2Hg+RuG7WcH+b1XOpbeiLmXcSHmAav/TC7Z5x35XcjN3OyZb0NSt5T
2fgYN8J75TkSbhS27m1PgsPA2+armCI2i+ZunU3TtwLThuBmxCIFFPpw6/IgXyXn1HjIcg/cje1I
/Q5mubg4pUoSruJO+JEdygW0R1N8F11TXElJPaEejja2mCo+4MeXJIpTPqwK6M790jiwvdqxZZdg
Q91G7kYEvVNILO/uOI8/4iBtPgIBC7AycuQOIwkTOsma2ThqKx8eILNjUnPYv34T5tzezzD96FaB
2rnvfRC3e98Y1UeYTBVL2yXuD8pCwl/nWd7gDPNl/tYEmRCroHa6ay4IF4A3dBritKo88JmDAsbC
Sc3RLDAw8crDjeNr8z0Ou1hsqswsprU1GO6uL0V2jUNl7vDp+1GFIxuoQiDIXDopflbXGjDQF7Z/
nseuOVpp5609Jcz1PPQtcV0uOMRq9sPE8DeNSWIXjG63Af8eipXVqkerb7s1Akx4Lo2B4JdPJm09
+bk6tL7Q/5e9M1mO21i37qvc+OdQZAKZaAZ3Uqiexb6VJgiKktD3PZ7+X0XJPrZ8rs7x3BPbIZsu
sojK/Jq91y5WeVY0H9Mm6dBChn0rfeJBypd0Nqti00GTq0HW1stXmwLqMhCI62npPqsw8h6dqMhf
y7Att1aEf33NER/kq5le2/CB03Mi4jsRh9gRzqW3KOfToJsMU24FQsAM9QJP2pqtz86IDaYLpPXk
4Sdlj5VbEzvdBmcHO+ZyT6fMP6ZLn7p7KIzznZsG9cBCPJKvgwfhqSp09QnxUXerPUzCfjKZ4mO/
UEBuQjH2PEuiPY92HPnFq5HNb4gnD40jFrvgBV9d8Yhh2m63VhFNF33bz8hmDAPoZkMXSEefHpIw
vRFLH7/UhXMVzgOkmXyA1mhs8HOjnZ87D5KTJ656bI3r0MtxWWjIKNfQCo2VK0NnV2OUZAHeDOoz
uXcmKS9lFT4VanZwHeQj2lnJ4mr2ZUuCMpHe4VXbmctmJFbiYCYZ9Aalu/XCYGnbC9GfmH2gW2O1
wkS7J4WhJ13ZZnaAHxcCA3P4rnkMkSV8tlUZbIdSgDvnt7mcnc2qv4zMifk9ZRZDu0CjWEOMkCh2
Yyr5UuF+LWBW8ZfKiDKOFmu8LFHFP2fBlD2g/4sYbGuD/iDoTw2SdUSmhD1epE3u+aGgRszH8OiC
A263RVP3ezf20AYQMpi+tK4DdBdbDCLnKNZY+6vKtDeYPpaL1JDVcWQkdeInzE6miuO3YIk74DRd
B7q7HrahZxWHOguttZkuz9WMY8eXpmxeQ6t2biyGi1+liJvvE4t/uuT/2CUTGPjLLrkc/8S2k+r9
C350yJ74IDVhMuT/oLD5V3dsf2D4gw6Q7SAN9B9TzpV17o4ldmdaZ5uvY0j1oztWYKlsx4P+QKet
EIX8LbAdkMo/d8fMfkiFsWzTYiZDn/yeavaH7njOu24onBiecZ1PF0bSgh5PzfRusnT6JS+G5YDz
mHsJ9St3VPp+Xb1fXO93WOC0xg2fa242jrPhRlld8JQu9DMX9fkSjDrsbYfy/ZYKit4yfGChXJky
oGAmwO9p1t1420NEYpkw5xlg8cTNvgzny3eoe/cpgiBAUfB+O3fvN3VxvrS5gw7R+Rofzhd68n63
2+/3fHG+8sHEZF/JG2c1RzmQeNMAMLdWdxQyVAv9UAXfunMJERrDZYqOnhO4iJOPrHXrVxWEw/ME
zME32f98AxFEPQJNGtZRMzk3Fa6yfD3NVnuT6HC6XJyGzGYkJqCtc8O4LQsyH1fOkIdXg2ES8/pe
C4VUGYweSkudzChJCSdNFnbgfGyj1wVk3z6zg3YDUyT6KFkmTL7l5u6uPc8zkChgBp0ldPxe99Qt
ZMbu4zELd3Ac3CPD5GEnyqmy1mhk7PscOQzwI7j9zmqeOd/oWsyeujktzn5OVXpfZinYg81u42Dp
ywYaLxZpvhmk9bEP0mSDoBgEPF0xyIZ68i4afNXvE5MCT3jlXjGVIwkFjnh/Nzh5vQ/nqNxDf24/
R0bgdr4X5xkT+sWu7uts7I7QHamPWLLfll4G3sVAGHQt0bMLkKlLch3bcwligE3aS9ZDM7GZRrsM
FUqUrNEyT2caq+MdcfwGHUvRMdlk8D2v8f5w4E8xhQimIIwa44QXUMRtd+yS3IpWdjSFN+wpvrEE
mfu96JY6XhtkGn8D1YtcCugYardYLd1b0Vi2sQ/wHzwF/ZQcBquoN4s3J+cIBHt4raTn3thjw5XH
LbtlfdQ4QB5raytLj4HKRGDf9dK1YfJUC+BGA2NsNwYIIRca350jh/hunB22iaY3y+wLv11zVD45
FDHv7aQKhP4nsTRzCSrLdvLgKmzxoKFAQjOsWAiPemRJiCzpMXR5Dcgga1RT96pFejQWqGV8ZvND
sQ/YxAOuof6g07f9AWnCkcI83YLUzfl4Iy+YS8xdYTqunIIrSHkYA1tR5X7dyWCbROm8Yn9qghTx
MNKzD15nqbwwOw/ZvZAgqkp1hxR1z5Jen5ZKBf4sGjoWUcx7hi287z3oa/yRag7WhdvwBKqiFlcG
Mx573bYIYmheML4kS3c08ybfxIy0UIJ446kHnb4eMdXucNn2HZbMpb6w27o/YjPJ78BwqgIupa13
dlJgcPba2yXig5mWyTcgBo/SwLiauekXtynVOrEh7pdx0j4YvZkhs5gcvy24geNJy3vkd5xaLiaI
lUctvxI2LTSOiQhWUOjC0UeGPfTpDc6XJ081mR8SBIB0yNonXXhnY/4CHSUTP4DJ4iexGPRqAoqy
bxYbv1Zqn9/tcnwANRIxjJm9g0Ny6cbMbAx2ZmLe2eQCrDme0s2sGn3AoJmTX+FhGgiR/V1qLxXs
YhKsQ4j3n61MKVaMOllHKe34RFjG0ek758FxdH9RjXY2cUixpmEhz9mBOyEw3gRUYqJ30nC5FqRb
0NKGyc0ycDameAj25aLUvjc8QBbS8KZN2IbTNjAXYJiFyH1iKwiGi9P66l015zT5ubQxX4WNywgX
27CdAlD22qu7DVZMKFYWb8ot6Od0EyyMa/BZZbzbppXwQXUNz3uLEdTwnlsDvXM8EcQUwSA8xUwH
rtmpouUXGkhOkS67HI3GRrgVCZ7K6bdN6+YvzILQlbIPmP2QX/9Lgi3d1D0utXQqriVKF9q4UDxg
Oc6+tbPqPjoyVPdOPRW3dU180szsZ5vh7b0cls49MKxpz5IyA8e1S4C1b0Vxfx8rC/ts1FqvVssj
bVn1eKI/LS5dWbVQJLS8bltNjlEH9KfNx/k+lPmZaWrImIgErzsJLxhOrUbtLSKd+AMbDQwlLkdm
Fl5LD3J5DMoOC2/vuPBsXIfe2QrP2aimuQq6aDmKrIq2ORttVN1Z8BhhTopWQNrbT3Nswk1fjCE+
mUPa7qEQ1eBF5PQ57/rUX6xqebAGi2YgSBz26FmMDNKp20cciuZpoeA80RDAj8lskfC81dGdtnt5
j7ne3C5lUoF6rJl/gc+Jnqu6asFHocqN2hJcEQdTvedGn14jiPQPVqScdtVDI2AIZWFuMRVSSZ7K
IwDn266HO0OCiyW77kXU9nnyO9ujTMXLDJeyYMnkNPEza9Azb60r7Z6bKBWY0JYywtZUYGzc9BK3
8GwNEwA9MS1fXGRQmyCdCx+YD0dwBAoC6WkzIo9Ae7AbRf4wThPhc+lIehdOmgO/ymyNrDS7taoZ
TUrhHPvQqNY1zOl/aK3fic7/oT42NfXjr+rjm69FQZTd8PqTUP7HF/4mlFcfbI9tqGO7jveulP+9
VnbFB03sj2RVyMBdW2cN/b82SfyRTQwuMtBzNUuF+9smyfvggGy2QbxK672O/jsAD9P+yyaJOMOz
1pIH2ZGSzemfN0lZbrVLXol5r9kvzGsUHrFc62y0rsxgYm8D6gCxV57HTb4dO8IkmMk0zUG5pRTb
pW7GhHpLGJ5fE22hMcZr21i1adivG++tGrrgerThG0LeEGskOpNcLaQFSo4WpCeJZCey2BmkZ8Ni
50+U1Yxc3YwC0pIQ4iw7Q5rlU9POzXFO6uhKsvnd4ErD+WwCZoAK7USbBltWssHjU9+HaTMVe6zu
xB1IiAivhBHh704ltq9VCTkXE1ZFth5jTTLlogI14BJ/NST57CMI+8uJr3nRc5lAnTY8dYoo3+mA
nVb0KxZySN56HZqb0hj1DXbc7GKwPIq9Muouh7E1djJIkH2LgOCjshsgA40BqhV01AOmaByWE9Ux
c277DLZAxUNaQIB3KdPWo9vwNkvDYcGEt1kcC/TNm8Kx1R4aQLgBx+aBqVbyOC5eftMZlr2Fn4jp
b8lACfRucx0RGgcBTODHhR5esepaAh8furPl8oBDxjDwkjlJKDazY3P2Nmm1JD6rsGcJM+PUl+qF
27G7l21buDuXegbvPHpixD69mxIK2FtPU4b9Muktd0eaDbXFsATBpSpTbilLkA5QFguo66G9c2yW
HMzOA320jFF8a/HnblQu75zhBld6sYb4Ve9UKG5U38el35amdSWRSdArVOFjw5zoemgx2tIpbAzy
c3ydn/kNUZfvrGKCkpc1wcmrSJ/QolOXqTKf41HZ67QU6Xq2+3PUYBjcz72uN7ah8z3HKKpliZou
TZK7oK9RVBqtA5lUjYeQlIM0sdxNrsbRR35YroMFxuvKG8pgn3iB3vZ2nn7zxvGNPs/YlkoxTwdn
Ku94yMMVroX60C4S5GPmoSdGWksItqnWdqFvS542nz3zRUlsAKNlovqMqH1ZchzGBGga24iWeqVn
l++yjbQf9swrJfTTYzZExosiG+zA+LO+00izLmelvaPjnqtlI5o3DSnrfkY85pU1sP0qeGxHlPSz
uSOMBZUHfKfzCidAJmf3GlaVnu4YN+JtDmNVhjtb5fhkHt0gm+Jt68nRYpYlF2X362SMwggiKUpG
kntnw3P7e9NM9XivW5us55WuCeR8IvkoTND5JvGF3QjntnORuT5Pask7RCZY2bbYmBGxEwM68/pw
bT13Np89iwXEKktkM/jgqKJmoyTuxZeJOVByGIkRZ4FRLgk/TcJyuTij85rhfohjNd53adwzdAtD
yv8rlIxD8jFNUa4Waxq7gijnSLemP1c26KuBfSInWx+H4cecGX/ms7KL+f0YZc7jOZYzpf68yBCf
XTzx47u0NeE6SwrX3dS5BYR3P3eu+ojScezenNRjJPaR98jrB5TFXXmMu8KiyC2CtGPEX9gBc0VR
aoMttui74KFIewCpoma86ptYswM+WFQY/+g9/hvClqlM75c3NZZaEFv5n6ZZP77ot2mW+oBITTr6
t+uWW/CH3gNiDzAt23Y4M4V5nnf9fktbzvnfWO8DK5MZ2G83NAY4XJv4lnmR89e5f+eGRvf652kW
LjkEHoQ+MG8zJVK6n3RFzUD23GTL+qhwnq7J1Nt2SMq3FjyqW1YBOFIIBuNR6xgJQM9t7N54xAKU
fAFPYWI1QfdULQVXuBcHO6OnzX/oEZxfuKEXJzcdCYGfhiZ2PmqW08dIcql1Y2Jy/6XNuhZxnB/x
8adbO/XQZwxJgSesNsqPRVSVlwPEIhqbWe5CSHW0k5FZbfNhbLyPQ8yWdO+KCCVzV8/2yzBOvXsD
WdlZOyXi6cQsO7Wx7IFeEx2dG78OnRG99A0pRgRCIBzeVi3Ws1PHVLpjnZ7l0GN7TBGA5vMxdq3x
KotQODpbFxdddVW2CEpZprYNo71iZnOz71obCT5NbS2MHEy0grKyqk344npNq8JMwmUKD0gpgCHW
0cDNeT8CRoWXMDJTGxzpS4oR8TbilxiXTcpcewROWbR6ISIvKTlWc/CbIAXsvmCLW7gmnhR8WAqb
WeQutaKaSiqaiNQewqLySR4yIwfVcULEQvJlCXAe0Xl1eTjr9RCWsYIdxoZtZ6aEdV85ZBIexAhj
CAAKAACmNCugliz0zmSzyDCGXQhv9T6FYQtnoBWE28pivJWAU7e2V82vTpWkGywCeBTSmXjZEukp
qZ/pCfU4PpVW5QcIGf2OfV4NxKUobZTKWX9wh8l3+ijd5jkaYCw74bU22cAMUTatbRWma9XpM34g
RPG2eMFtk4PYDAoDPUEaQFKloavI1rIf0zIPb62wbm/GaHBuM3bRH6McXELoSSKTySC75Xkot+zC
46esnYKbzCTCDTCGYfpj35MQ5XBkjjJ2rjwvDZ6iarL2U2Qb18Z0Zgyx6UPj4jTWKcBDuTMSA9qt
dJp0fqpqGBYQeexH6EDFfUv8GLVnEDGO1EltTT48C4LjynlZDkVj2kSqdkRqsKnrDuO0NLsRrQP4
1NK68BaHG0lWenxQnmxnqE3ISNY9s4tvktIDlbGznEcdZVFsUpO9PqMtfdPEC1yZUZPX4SDn79U5
22tyTuc6h6VwDMpiFTT9cN2HoXkhJ+SLSjGmOnvILKK2oNVEmV1QBE/Fbgic6vNoRs+SHZrfZa57
5DfNhrSylD+3lXu5zNl0i9gzOhbYOx5CaS0vjKDy/Ez9Mt+SshEXxlLg+6lryzmyvPe2Kqm+Dl4d
7KUWNUaFFMkrOOJ7WMb9CzOk7HnGxPdsjV2sfV27KQC3Asp2yifMNjqEDg71uueM3Tau7IuxZEqX
u3G2Sxprvi68Qh/HqSVWgNhGtON8rXEtk3PPrxeocGQ5xDdFkEzHyUCq75chUJFBYr2KtDuBAugg
hqArnTfl2FfER1G88r50K8fJIj80hM8UYTyWwivW1qzNJwWX6Lozmsd4ae6TynC+YOuhVWf5xURH
A/qBs03x++A0ibrIxRycqCErlCtAl2HxHzzVOpczcDc+Gn17T3pKttaNKN/sXiCOGAm1tHCvfq7H
EqSCJAyXifZYXYRJqB5Dgqd8u85M5Al5Pa+XxQsvlSn7j502YDlk4Rm8DDKBnDVmCxMOmpgkxJZJ
zVeW4r3fDvUJQjCQD3uc1tHQWy90RASaGo7pMl8f55M5Ve5apfaIMqIzDT5xKhJXmDaNbVOyPwSr
45a3aGdYc1ad9ADrTPJqaInDQrDHYO+8xyOb24y66Y7oN8yPaThaWO8C93M65tjg+rjHzQpFja1G
wGZWMQc/YS7Rrz2MJWyIQWOvZuar/KfCmm5C6M/QMRhNABlR4vLdWYoVrb1yAMLMZJCxY5eWJuQN
luGBKPKBJOJZEpNMj3eF2yTlEdWl34nprebOu5OjPR9CI8DsHLWM7ZKgPWhIjbuuVtPJ6MwY5nzl
vpF7rr+VhvoSV7V5guXS4qGooV5nXrKpscjxITfSS0bp7qVnpekpArufrJLlLRImWGWBDRLZ9mMp
mvupXoTvyobN7zkdlt1rBNVXaraii3eLSKjcGLYJfEwhUNiHRnSVpUO4VX1MznzRyOe41mqXwL3b
8nl/I3XDvavNlp6CEK+H0JGcIFHDKjRJ803TBDq71OTs0h0W2HsKEe6NkZgG/GV2t1NSlrc8ufka
7huaO6bcX+rpHDRmVhLQbYbDJbQDdeQ7nNfmWJ2BbxVlcZbq/AZQnt5m5lweZEEggWjFtJ5bEZ+M
BuMVlpBy1/VTj0506j6aTROtQX1gAXLST10rPyc1UviF6/E0gBtjBt2O0Y1ya6bwbUk6fR5RX1tT
+01aBDahrurvE2HrzaCIJSpDN90yI4D/0RD3cQZHnx2g3W70LIZfbdxcD2FiyU0Cx+acm5S7OKkj
4wDPt4lJ39TF+LkRKvuE8REq2Mj8O2e9DP+cZQrH3icUS1+bNG4PlsF1L8ghWdeafwq0461mre09
CF1xEHjI10Msza3ZxZLZvpG8eQxZOTsjY9dpGHSqDbLbpIMubLZJvK26pD70FCSbHqvP3lJlu3Um
Ki8DWdiOWfpwEeclcNJsYkHTScNYC0QGJF7iQbOctnjr9AiBXLFO70MkF3Nk70dsfeRXXC4Kam+h
ckjElWduS6nfalHd9r1L6RAXiU/S7o4j2kA+YbzIWCGeiuz4HA5ChZERV5+K8sqpmltHtDuvrc+R
IP1K5Om4Juv3zjW69JiUrCOLpnJXNfvRlR0X2COYrZM7EG4ZTVxaLPXuvHYad5ndE3U1JyEmn/zW
SIubuYmjbZcLXNc4tH07m28ha0ssiCTz4Lsu193CBFsBEQZo3ctdMWA7Cg3HQpI4MeL0DOehU8Qx
L0lQ+p6WX+vANjYaWOAKORkxizBgucjSiPvA6m9HjBxvBDfUzHV4/MrWYOUyFLc2QRdcxoCzBt1L
8FhVf5iwkOzRdRkgRhf3mHfzbRbrTypwHv/ppf6bXkraKCp+NfW8eC3a1z8r579/yb86KU2unaMF
VhMMVpLJ5e+dlPmBoYDJkl9hD1Gapu23eSdTyd+6J1LzuJwk5CDLZqet5N/pnqT6ye9E8+RZMEOx
O2nLpX77KeUOPIebJeFkX+RmdbZyMlglSkiiI6v9vjUqin7newuQ5lYZXEH2YPHYaGGgrV06ZvH3
2ffuof3eSxgLZsBg7wbM8f3eGsAtOe/tR/q9F8GjxBDpqvvep8ymw06UZArgaVsAF7l9GlTdvnHb
3sJud5gLmYbjq8h2thl8S2TadbiuzGW+N9xl4cTqSB7xa/CJiG8Y5HE+oIkhB6uYZKax7QlkSE7D
9bnParevb4AMp/dNHXgf22yx8KCzapSsFoakuqDXi4INuvQX5oeq5CVme9lMXmbGO5TDguzwGXs5
MRHudVoX9sfacUYIROX4Cf4XezbdOduyn0F9NRFYuYRkbjaaVmS4UDcN0P5Lnh0SQJif7FbXL2Zr
mSVhSbH3VnruWzbNV65oEtStKbFf/CW4HHrbIvc9FnsYJ3LTJZbnT5Zg9MZotb7tEzKcffAMYt2N
pIOskB54+QrBAIsgFdg4AKUe9oWx5De97NunKcpRVTXzuMPXwNnVmvORdSD2RNZMmEED1lT7KEvi
LzwP+jZJgQRvhtI0rmEhIvnXdrNvy0mekIgUD9HiIDxw+/KGxaLjD2C9UAG4nXmp9GA+G2XWEjBQ
m9Z1qRh5exUigdxBg82Vs1xknUZQhpOw30iTuD/jvAMagUBvrdFa9plKSF7EOb58Mua82lIxGzt4
XstBRebyJnLTOUSYie6584Kr3qjLU0lKa75T9Jv4pxd7kDAJB9WZNgv3H39HDa2G6NLQZ2SZHwsE
a9Q4g0fM/DGp2nAsjsQ8j1m5drqgTrwtHgfuDQmoDM/Se5cr3lvef07U/+ZEtbQwWez8326kp68N
Y/Huj2akH1/z2wpJflCImDzbEvL7ouj3I9WxmFspNJYckzZsNGxFvx+p+gN/YJouSiyGVu8ird/k
VuYHB6ocwaQMqSRHsvN3jtjzgugPlj+TLEHJR5PvkBdRSpz//R/EVsxz+4XsTQ1piZYsj4ioTkK4
hH94T26+///+p+jzmxINevu//+885PrDqxChKjlqbTRoFu4p62zw+uOrBD1JTFYZBnsOBCJ2oUe4
K/iPxE+xZrnJbQAx2VIzsSqX7j/ZCs+/r7+8OE0oum/eNoc3+88vTjB1Nlmp6+HS8wCzcNqO62GS
vK4W6V1C+/KKMLTy8PLF1hr+Qvx1MjqmADZu1nXWSEYBfRLDu3AhWNYGmqS0jK5bNynIFsFA5Xdz
U5H+GS6XfesEd6ijxvWv38B/+0M4jEqxtIHcMH+2J4pGVYy4Fm9fL5O5mRQBn7kBSjd2xvmxZoLu
BzIFhWLkwEjPaqqPo0dwmyYzi++P/OgbuzBJkmtddyUG9FiehxVgcNPsMHlDCokRhFIOm2ELnRES
lZGThfHrn4GZ6l9+Dy7YOWagZ5mg+dNd3iqr72dn9PYxJod1w+qLU6+Zdw5SmV+/0k9Vw/vjhs4f
GaF7Zpj9PHPV9Ct5JXmlwSKddoayuOtstz42nVXfCg33/Nev99OH6P31IN2xoOMRZ5x9fgL/8CEy
ZQsjyqDdYCnT3HKioH/osWb/+lX+zfunIPcRAYp9EXXkT++f13BcAGZBz2OO8Q6N9LfK8uJ92roP
v34h8998XDV8Nw6m87nwl0MhCaXp4fZw9+Yis8PikLUbeTwzM3Dv9ZxjlqMNZgvK5DG9mwftnqrM
ZqKYyOAu6ovlIte6vm1mm7WRfS6xKnkeWgxMs/bkfwZHHP/zLubZfBxCZr2+tQh01mEyMpZVIS8y
VQrrmEsf0pp2+zzaS7z/9Q8JnO7n55EFvWRk4ZgOxk5P/+TCDMwAneXSTPuRVhYkAixzJ2RIYQBZ
25ZpS++FMI88eGOtU+YePLzJHvZDvx1k1W3TqmmuqjQGMsr+CPFGwSoWUtWV9mb1yYG49axre4MW
07yXQJ3ABcCz8htmnA+mSL1ttMRg74cIYFpINlERxvOOqTkeiPATxxmM105rbHCmphkmq5LbhUi+
KjAJWrPjPXO4mYFBTNygSUxBa5XuAxOJ5JCQArMuZB0xDw6Dt4iLx89ZXx9UtQzXVSaB5A+4Rk+s
MjNaObr+Cm2Zjy609+3eLjMfFiv6SYb4Tx2pRVmNIq3IZ+Ma6fz8ZWbmvcLv2W1CFmY7HSgAE4nN
QGFJK3aj8NzYbFgCGEObPzthlH6rkE5Oq1R4M0GDTcQYa0T3DuM1ml4ct0jXTm42e+15lJ8zAjNi
AWwk+qm77ty48FZWHo/XPVb0z0WCM13U7caYPLQLQfrVSA330igyg642hufkNEdUp3zXLF0Y5HoH
4HTFVRlU4G8AKnWrsKHmNpxih+4AfncAWzdLKt8Cbb5qS2ZyMrc+6gixgcKFegjTPD+poJofjSzt
ED/ilb0C5sbkbB4icyO4X3yMAtbOpEoGuqSsV/gpiHF5n4pDJ3rUFU5rPaRqy9aFJ2IAw9rXlvUK
T63cgpMy1lY1IZErzaJ5JB0WFldKew+XMGE1jbh2nPttFFm3ZpD3G8624dBlOLNmAy7SqonML4SX
5OvGltXt3GSXcaABSY9kDw1h1q+R0CLsR40FQ1EcCd3CvB7ikEGFHGKgCy8h836KMITso64TcJeW
eZM09vPcpa8miPH12LSJbyS299TpwN1aQNdODgQgVjKptyqHZfJzgea0P8P9u4EsLMcz4JmT++rL
/H0uUqLkZmW1S5mDs4t2SVqsoplvZgrYn6cIT4EllqtG1AMP1zASALJ06TYOXRvB3XiOSQttc9e0
rXGhia87dQYRds2k59dkbAWEsRbpGiAdl0GxmVRItgS/IdnK+mKepTpEyA720qJTQfVIZBq0W6bJ
uE6WtN+YDOVXkYOJloYtIIwjKd4whITAbmT/xXba+cUamvEII244pCjqWL9X6sSkp9rVHclyOhDD
oYc6B0U3ZY6azXMIfAZnpTyQEOUsJEzUdg68JsxZ6S3ToxpEsbWEGR0E0scNQHTlJzP4Is+CsCgh
ZpziiYUYukcA4ARLnZKiJybxbB8+YkqCUEQrtzNssrzqVqTbANTKt6FrxvJKwIlYBxVFwTIQQdKU
JuYshnTrGNjjTpL/tTIF4ZJiGM0NP3FzdGz0teDMUriTYr4gprB9XrxRXZt8UHHzCoLc06BDvSoY
lJHi0IxYV8VCiETSvEXOFG7tMnaeInbpJxxc8sEQ1BdZWUXXOGqpTgZKPuIioMGGXsJ3Bz36nFIp
KGaEnd4Bd69fksRK16lYxnVsUBcaupp3SH0BAao63VYMop9KuvBDHev2ywKgeZ8lirOHyGkCayi/
7Axr+uIRNjHPVnVlRUtwBEXDzcXWQPo2DoJ1UhKV4zUDPzm7yGtP5COeZ8vc4Gg1N0qDllowzuFr
UgtfY3pZ+xzaOOj7xuI7SUlT2w1Dx49k2CCrO9ZGkM3ShAwcL9LXOBszMKVk81bYhPYisTPfc/rg
SK2i0UDilKWObI6DzfMqMU19owYenuKh4VwvzfqYoFpjGcUoZidFXu/YyemLDvXE3cwLRGsDC+Bq
AfLGtz1H+tMY6DPbzY66O+FgDAhQb901jMbXjRPJFyY9Fy3AzJ0DRnzXJiacAOpF60JPglE8h4JE
GnTFhFNtK0yhhzxF5kASU7QtCevdlGTzyuC8yuu6mIy6UW+cWNwQr+hB/Y/CYddUwxztePud9K1h
xBydmjbHBpbgpFh1U8H2oMsboFKWeRb9BDkjboCSbXhet6roahrNCYfh+/X+jzHoPwgfabLOhc7/
3bBeoJ/s39L5jx3rjy/60bG6hIyx3iFD5OzlOUsjfowAXe8Dn9zzXNDxCA+gbvi9X7W8D/Lcnfx7
NjB9H4M8LX+0uX+nX5V/qbWhVwPhgExMT03A109VsGUjNUIaFx4HiTDZtyzp3I4yXBjKFN0urrFl
DOJzwh7mUNUKMRUxfR6pmkO3h4sw7Kxa1jtBiIL4D00A6/KfC0qIrcCQmH2iHeHk+qnLnVo969R0
7YND6np5zbJbXLuLjT6BqZ5OV7In0VkqQ23iJlh1oYVpvhrIeMDXEHxx6YxvW6ndutlUUPicZ9Yd
4RVG7bFjwtjKj3Tnnd3A+qiWLZp5w11nOiFxJIfC31L+2B3NATmny1ohI4S2wXJZ4WYtCWprHqN5
CFE4G3mCc1pnNb78NpvXitIkX7E78I5kwkuSH+dkMzXeA+PIiAxfb3Stm0XaPczLKluxVc3h12bE
7az6Mak/53MuCBK1IHghbIDmhRaAJY9L1oDcDoEZZUeycjKu8ncSGOpDUPs1UMQzJqxogici140d
a/bmWIeJ3PW91b7FImquvRzeCUvdC4rRY1Xa7YPzjiPzyDd12r4jtCIaWDoPxhodKCNCFob2Va2s
+VTANzNi8MokwgM9M6CfiTMGzYhJDVovaRa9mKD/nZXo9XhphKVxi4kVgoITze1mjAcoUM5yL/ow
u25mpBnT4sFga0dO/K2bGuozR1yC/pN16aQJN2KULGL7jqq9uhvIfPHzwM1vNGU2wDerkekl7oPW
ekxCfKCTNOLrZak3+FHMbe1l48Ms4AgWERbKyWa/Ape+2FagL1NOZ5udMk6jDWt/uZ+soEJn6xkr
eiZSc7iOD9iFqLPq0L7lXa8vCNpqUK1m4oh8wDt6yIYRBoksXAeFyF5YKLcP5bnprkc0VX7aG9V9
3cYLBBNzOlmDcL6ETmRvse3Wm7zmp29M8M3ZPDQbMy47UtyiQaEeHvFPV2kVvaY89itO98nveNIA
/IYjd9EwXgFPGy702PYbvNTeTtVRtiGjp1jRwVr8QJ31/9k7s+24kSzL/kr/AHIBhsFgrw6fSedM
StQLFimFMM+j4etrg1HZHWJmKTrf60UrIjPkA9xgsHvvOfs8IAltMc4ugnN5ErOkyU8O95xdOx2g
v/G+urxIQKAUzV9fDTtXTdabiNKYPBWt/0BdG14aKAoQjcGiAXQYpwCAnvdK63iBUsIz8CRGL6W3
NNk6DpaegvNAy5jsWel2HUehppAiwDTCIBn0mN7mUR6Bnu5C48mdO1g1jpH3JzW31pWqXaASM9fx
NMql7TaFlcfXEVaWKwAJXD2HsKnAGVfL2kiCGnqplMdc6HzHSTwR0ZFP7dPCqPda5WSJbGq6Xkhu
03BvV4osKD9Z767Yb3D80iAfD1hjgFfidZruZYm39yCzyjuhlXxW8bS8S87eu3DqnJMiQ36Dbw0r
YG0RqsVOOL2So+u3m9r3OCAV0VKug8A2wwpMnpFmWNfKb2Uo1bB1wVIgsSZfZryxC6gYs4UpY0PK
GlITCwRqca0rSfWj9DieKgS3wDrZRAiewqEGLKfyABcmkbjtcme691paMGRvxOOMj7HLb0Fk14dJ
+Oi48XpU6BzojI/bGmvSjcd2cFXEJF1AUMmLFzr3zUMy2D0wVpDcl7CZmmuDrOhuK210v4D6qidJ
zx8+55A4W7Pi//dYo2T/WDo+j4vbXjjQx3eJmLLnurDKJ98lcinSA4SSesJcgyJIbdB0Z9/TqEd9
l0B4JjjNbr27LtG58RVa0gIapWnUg7AnP9lJk9QuAl9a4JWOWag/2sVuzrqwpteIGDDYK9b4YPVj
c8ThtF0MzyCaZKjiI9UIGI++iZ2rWI3pXk5j++jayMc2IUyx+7UN/KUai+RB6rmwjl3bRXeO49Rw
mqjA8kDIuPuGypWEPwcUhXto1+Df0BuytxipPNJjNMSX3icWchNZkxszfaavhzO2j5FY9Ua2RdPN
25GQNv5kf1cPVGfTvpGkOHmG4i0iZS7XYD7sfart9NRmkH+bCe01e8N8SmUWfgVlYfEHi459nps8
I2B9o82K1sCwkCjGOVrgOnMbtFERksaN1CJmUE4BdlYzVMUTmMjhqvc97+NnOxp+jHinRe0y2HzJ
0ZK7Lva+pzbavcl3ahKTZ/slAXBzSplu3Sk7tnjX4rtoOsVCdDP7FsXRdRqy9S9ufh1pP/w+d9WJ
43ax8VyDkHYQjFvf5MBf1056o12iPx0mXfwF2qi3JTc6Mp/En26gYJkBUZdiW8QaMlPLH4lvGt/S
KaOVBWz/ynEbJw+6Oi5f0XCP30cbCDMJqHLLiGA+rOeS99zIqu+sUheJiZYJW0cqR3+HlDu+7kiy
izc8Ttsr20cIAk4+lrgGOnoxu0EbmCkmJuT2XqPtIysGrM+Ll/Z9uWu8Blh/LyOceYpcFvx4EZK6
tDP0sunzviCDMJYTw1+A5Qd6UqMREHTTvhKgmr0wxeXnIpnLSSlPTYeWnek9ok90D2laENtlO61c
grKL7UuXTB74YQ5et2FWOieOWNU3XYX9vh+MYlv1Jr8XaW664mZJy2+22xS8ZjL+EFaZ0QsJnfUh
2hYXv4EY3bGdcRd1Go3BQnrYhnMXbpHcJwwI/ZfI3vChA5S0PGoZRgjBlKr6jFTSkHhhfQNHLOyn
OCAxnUB6o2qKhykGDFatiDBnhYXNH9ywFYGBUHXFiQ1d9wAmk4c1reELAZLxdq64xa4TVPruVs1d
B3zZSVB7uoVDPs0KLgtXhBmKqubdV02NfWsxEOk7aGY4YLrEowJlUjv9wUNrVzSa/0FJUyswDbXF
4oDXyaFOUdlLJtJpOl431kKdM31Q19oPAhvHk/aLSFcu22ivjDZwEUCQPshtJmsg3KkV6DamLU8C
CAtlcyRy05m38xTSlOhh2OBLyW3/cV4BcdUHK85ZsXF+m7HRxkjy6bl4eXqBXA4Fnq29uEEGP7+0
GFAeLHuS35rQTw+VFzH+RRMCYoXaDt6GbMpD07X42I2IVs4mpgdETS3j4ZDQSr8TsHWKs18TqhgN
knzU0nSSAAKlear9NDeDshrpntkD8OB5gLbaX3m4BPBr/29Z9/8zh0RNsRIr/+ey7qZq+/j/BG9t
BR3xV638n3/1n+NI9x/4F1fAoUfj+0/Ewz/LO+cftqAUpCvuUEUCevh/5R35Lr5vkQLGVEXw16j8
/qn4sP/Bf2pBU6TCM4Gu/keR1NL8POVQ1JGUdoBI8d2ZtkRm8tdZiszmpkBDnh5pba6CXZXFcsuJ
knaHGFs8wf1Ym9XGNzminkKhI+dUilL5gNc6IlPFhGl6bxNTm+0qpl/N0cgra+IQNJaFCQ7a7n5g
3PGJPyS4BGKRdVO5uXPqnQHMqRZp85rXRE+gAKB9SJITWsqM+GEI+8q/VnGIdB6i82ttLpBpMdLC
Cp1KZJAWXfi3knPPTaEKpFdVSdNoM1TCrw8CnxuRe9kKsx3tsCiCLE30nWh69TLgbEBWUK85EX3n
zw/RTEBCkVjzQwud74TYFCUj/WHZQn4us+pcIeD0z56C+Nv5oG2Bk4EjBYpmBBZPNAK6CKe5Q0hM
SgTdKr5GraB0bYSI2qOJR+HJdCz3TYqZeWBlDEd7jO3nZSIiorSh21Js0Hf0is66iUTD968Zi7zQ
x+KlmyYBmSsV0tRDDbPmR9quERpAHMRTQgLuqx02THpmu+U/A4paXREb477piL+HQ5sP4FrTCvjP
eTdaxuIpDTF/UD55a9qLmvnWTsZ7+hm83jw1+e4qd0nzGCbTBt2eFFcljdobGzbZtT+G0A6nZL6k
YTKeOEJndFvxBRB9t15Pbw7XhJUZ5vCWdc3/8ucPyr7FrBkrrnoRw/oLY4Qg58dcuu4r5AeSu6c6
1FAiM0FbHfx5ltwbBcq3TaVRp7OWYv70O7zygYs2P+G5ZfAZY1IbGG1ox3ADacgooTlcoG+psyI2
v7QeI9B9XixGhVRj+RmHw4qRHUv1ovPpoV86l+Fr7DmE7iThy4Ke8V6O0BDQKjZGUFsFLFp8a69U
GuuqLVjo2UzBsUeLzistpLPxVMXATlTLuoj6VdjLHIN/l/3IahDtarFQds+gWGnXPsFCHZxLjoEQ
oXHUsfgMAW8xHFf3lpzq/od0FLZls6+tm3hquAmlmvmBq5ouyH9nlyAKL8mNSBUpLRk4jQJBjst6
QzSjrqsaF+xRpqF9MtAbESdC8MG8T2A2LZsCLsWDbUbMg8qpYMXQbe9+zFj6ol25rGEo47pOtGKc
Paw/kW/39qlwh/rVt4grCHocLgdFp2YnHebV1CYQ0ByrfqUREb58LOHEkFzfjNQVppXWTbou0tAb
ZzIPBy7JJCJ9N0fcCsUiqisnTskDWse8L7ZQXLi+qgmKqSE4tNtBmiDqy3Wq+XFLDHmdHHDFcfF0
TNO+QfpwSqDwvYJgaY+NW4PIZqBmPTkQr16gtvGMrMkEqDZpwxA6b9ewYQ9B126h8jvk5ACOHEcL
vo6ZMNvvZn7QBvkQ94NpssAMm5u8y4AT78KWCKERWexBmws7CMo9+yTjSsE/zBUTtBVX3CeaV4BT
DQYbzF5Lxp7kmHeXNsxdtwbOXPbTaFFb7P3y6LmtuTfzFKY4UvStTVAwaaFVxve155Z2zdLpIV49
xdxhoi34QIvNjlWIaoofdDfXl4+gnUQzcOfgRmapYntmvkfuE4Uyr+N4aBYyCAPbtGfLMM3Qeurd
euAKwt5+qFnoCQbirHnNyJI4YtSIDpxBxZO0WfNetgYVUUS2y2PHRNc5zqjcTzamzes5y1hRxO3x
Q3EOtJ5CcwE0HlXSnXc2FPkY4RQqDsyIyWFwgFQFGJ3aY56EK9lasDWTnMuawofLAkdZx8/aduu0
caI0JVqbqKVm0BbsND3pLUgtjpAFBVC2tzpA5gRWrqKLkTSfDwZ4suZTFYXF50mx24a7Ua0rR1pM
7sCOtry8YNz8g9Sb5JDELqsbu/kTyj710iaulV4xj22PA1DsZv+x5h0BgC8w+1XZTxHEn4P0rJsh
GdULMh/J9zTXbQ8pR9Pfj8QYz3vgM+xvbdfTWYntdT0qjV0AY416IXGAH/LPLQ3CTkLnQE4sJWZ8
LSGeeFQNpGerIJyOgnXnwBna5TlM4WCYuLyQ9DH98L8Vo++80H2dSTVu3Dbef+ysVRWDR5/oZbxY
nLbLlymKdPYF/wb7BL0NPqg1Mo5ycLu90QNTu3RoinsrHgTxaOUPZsOAJGv4uhu/QVu10WHEDqzy
xbqZFpeNLOf8sJIq/drazHFcWvGt0LE+sv3YDHWsaOAIsRp6KkY/1aKuirKDXCpkOFMsdInK75c0
/yM1k1z6Qd4b0QuP0vZY9m7BT1RCRNpkq/Oi4p5stzFbDGXPREsHGVDr/ajK4qWKrPaswnkAH6mJ
DOYcgkNPEC1XqfVB1K15czBG6iueMf6dVUoz5N4lma5tcMA3ltXfuCa5dd2AswScZPycyIZYOxLq
vjUM5QxRNdfdmn3X9qtSPuUegNf8kS3QEzPQxUN9JVPVFuGdueYQKNV/KQGB1GtKgQG4646e2CYl
wCAUjmt+0V5OXxkoS+GFJywKBbsqmk7boTBfbJMKuIa9s6XHje1Qdr0LZaNx0qCuBIxN2ozQapwa
wb+TkUJS0nbZyIQw4mGezi6wniww0CSNG1Ey4N1rT+fyqFiWbRB1AwYr2hnqCmXucuvPvTx3qeIx
l8wNmSXoebEGWs8QNKqLYXrlbbJk/hn7GKvXYtLnxX61AzdUr3NI5OppJnEczCN+FZQ+ZBkb7vyW
O1X6TAP9mdq7ya9JUnPucTpTP/bdREzYQmCxP9rjT7gE6j0mspzGLh0FotYZAroQAv2WwF8NnfJo
joR56LlncuvXsK8dJ2V2b3fpxW/jVF+4Xt6PtPfL/TJMIc/xxNxFyfSsVFrD7ZXtQYbTNwb5AdR+
+R41s36IXV3Smm/E3s7oronebe87Io04/pTezp2L+Xs6iCcDZuPGmrru4ifxcl8sCLkqOhv7ShvO
IVQjSXQqcXZR0z01aiA0qvU4GSEPaKpLjzNxm2UF55OJ+KKIc8N5KFoLk0RrHF1VdadMDc51RRc5
4KKV5DA07uNM7iIozsbfGWrJEAhAg2CFZHdOk2L79M8GtqdbHgKaI99YkvdueKe8tfV9BOPaxkJ5
FCCGD/76hAC6CxiZoe0R28+aAKuN1y6cMb7XrbosqXs/JIXYorQzH7J2DZshPuVZzMIAMFRDCjZ8
yd+bOLu+92OuOJcIsZyZKDYHIomqr8SZ493HlICwOC1E9sR80T/KyTYgVjVmwJNXbjPf2Q/S1fsU
J85pMqV8M7Li62w0tMgsmRfB2LYdAT0sG8KPGFBjBxkOJg6HwPUzorTyBH+FC90sjOL+hIXqRx1H
zk70Fl332szX3co6adxyb0CUcZWEVTd/5US843TdchJMzHKrMzPb4XzynsKGHYWdf8VMVSDYjETI
o9nN9qEAw7ulba350VDpXMeDIa1NbUOCH9hI/JZrh5v2YZyy3NpFeLEQ4kgEgelDElrzsLFSyMRH
uXRj9IPNP9qDoGy2i2/V29AYsa9GcYjCqopsMn692GBjahPv6GfD9GIgePJ57IWCLvVgxdu27qlA
YowdXltdkFck28Tup5fa89GEeRqXGnqB/bL0y26ITf41lcneE7n5PEWzzxK3i8oxzgl5xAins6FA
R65Ak11DsrvBA919MWI1XIFqvnhYcgMeXuEjUFvzq5o62skDtUt/hoCvky8dbCqT0bSn+rNBa0WA
rrRRP2MfGJoJEglqF5qzpI/chvTKOc0y8WM0g7T1NWxyNvUwTacakNikgSHRMqV9e6BRUy2YCXMH
U1aEM2vCp+aag/3qxwVPXTHQXQl8vMoRbdvQLa4aE4XKHkoFAY+mi4eb1SNUu6N9qHZxC9iKkyyz
FGRvyB2DhNQ+fTatBWiDQGDJWTQPCgYndzEt2L/LsPgs26N0dinsBQX0Khv+PH8cSC9MamBIxxCq
XbstqsqevyzOMnRfHRyyAO8LxWmkKt088zYTUTd/o/BcmTe/SDz5BHg18M8S/mvzKdbh7V+EkFPs
WdUi+ujozvBVNmHZRQh38AmLlQ4C76oHWn4ggjEmqKwOl3JXM2a5icreevLNwboBRsKp8i+NkLu/
Fx/zaZTtr6psj74GXcVfPxQupRB+jBOtNgMO6XiOo92cVJxJR4pjxLGCk89QLByODGQ9r79/d+uz
GPXPt/f4CEheuTifBtalltkAtJJronNKodRqNH28rvGLlB8k1q7BKZqu8FMmQ+Nkrcfv0sFccIXT
BFCt44HtXTZm1kfxsV8r6LqJyvRnF0ICmUqbjfZvPvC//ogrGtQFiCNMrL+fr9eoosQAt5wfy3CE
xAy7fOiC2MvQlrTQ4JqgJMVw581d81Y4mX5oenoVwMzoAFRz+1CUzd9M1q215/NX+TgjSs5ADrN9
R9oWj+Fff0HDbYxl4NxAMozBsdEzvPmhpyX10tHiQS5mrOUv+V7dD4dwl1M9Ul+UmHvzg9XySA66
rl5rMK7s7y/VB4r08wfzaPZ7q9cJXfb62/9lvcvRrNuibeJj7aGZ5ahJ7TVswMzgSudUBK7tsY5z
3znpimPrdrarLjuPjhgfBmdU0A7GSb2YpqZadj7OxVZPGfsRmRQ58PDRv5HDmYfVeoZfez1k2HNn
G1jgOZrKdh4uuEr7H38WpUkxzQ8D0atsQrqeH3Ad48Ie02W+W89xb4y4WFtL52fYqGVNBfT7yyFW
xeyny4GYlr47fQPHU5+DimLLIK9nlAazEJc9EBN9GZ/9YS11yplPz8avrrXwR+OxFMsanVzEfCyd
DMvjrDyuVmRbVCfuQrAW1k/+kYvFn4TV6mj30R6yxRq+M7UpXZphgqd2rFY8f5DIeiR8ZGza46IL
3t0V0Oq2XqZXQSEFwY+PL/u/AqO/ExjBQ+P+/J870dcVWsvk7dcmNJi09W/9U2Hk/4P7BSgKPeY/
+Sv/V2OknH+Ya3I8Inc8I7SAudf/22Zog3LBEGNCVgNQjM6e5fffTWjBC7LcTKDFwOQZ0v9HtkP7
k8bIQhXOM5QmqHR5krmfH2OciqYBkFp7chmh0KpIDevBjJvlgum93ldN6iPJrKX53hkyfKKeaU+6
KMOz0SYk4zCJhk0sreuKCuaAinBcp5t5sfFRjjz5pAluQVEQQFKZvQJQks63VmkMf6StsK7nOMpf
HDrDuxoGAwc2THaV6cTzthRy3FI0EoQZme106AtjOTIR8x6Hcpj/JnLs00OLK+A4iJhcLsOapLQq
vf66saXIBjhA1fUJ0QPWkbBTB6bnKhB9v34vPvdflsi/eUZ/6vp/vB9Oz9VsAPHF+mwQol9jzlGW
1afJaO3NHOXvK9uUrFquwe/f6dMetb6TZMwh8aiSDsVc5ddvtlAULMyZcyDSqJAEg0SecK5x8O0w
eRw5Ch50nIYPv3/Tf/P1aJRKlGssJlp16///l+dEaopuovmQnwASaHQGa8ROB/za3Q6z2+rNf/5u
Llo7dmHfQUb6SYcWKX9KyiLNT5Y5udmlpFO3nz2MCLdDrp5+/17WJxfFej0Z1vAm0ibOivPfr1+N
DmUeF5mZnJp4zqkBY1Rl26YpKqponFOxjufbAWHZ9UTf8kiOVF/vkg4J6+8/x79eYdc0fcLxTLSJ
kk3l149BmpYE/oN2oRlotm8ZOXdbLwrDJ+WtnLLfv9m/riEmXR/2PKZiDp3VX9+sRbJl962Xnmpr
We4rvyVb1eAOJkAhi0/wEYDiyhL+yt+877/7knT0wE56jHe8z2a9DINMEnl1eiqnZkQewq9JF3vC
iZ8M6X/2Xg6kR5jJq6KTn9ciwvHX7+gkxmSNsUpoaGNppm8B9ag2W30V0cF//v31/LTffrwXpjYu
pb+mTH4+RqVFj1oGFcFp0ctkbSvm1uc8sUdr+/v3+SzQXL+Tiy99Pa+ty1X8+p0GDxyPV83JKTTd
MWWujrJl42gAC+Fou48xtKx+M7d9BT5hnSDs0PzEl99/hk9rZ/2ueDfZ6EiZE575ee0gE8qAjPR8
hrHDKm7hjNxEi4EJw9bFGfIGwirP1n+zn/9rFcI8lS2IHMzVPGZ+BoWOkYfOIJTJKSaO6UubesWZ
07a+AcEYH1q7JjoXR8VMmI2eIzgc06DH0+SV8w/A9U37vYYxf87CMjxGK4uLARV/LKlx//ur8+8+
p8sPgyWV0wFe0U+3Vuba4bRIwzgyGvbetR6cNhghefAT5d7kUcMhBtowhZMEsFUTkdOj0GtCbBie
sGU6V+SMhKeZkv1GGV4n994YVymxIEqOh99/1n9dtQzDfcysqH5RLX3+qPCKkKTlU3IiKVRnEHj8
OUNF0/W737/Pp7ueFeOb7DFsbsLnz8/PxsQQXBSjS05UF8u9SiCdbpgDu1e4193H37/X5+38481I
OhQ8HTFOqg/T3F+eVNrv3M6ZU7Zz0qq3kR+O62xoCHJuFUjcdRTU86SvLALuX/GIRgfENf3fXFhM
zOud+EslQcot4Afa2hwK+Difnip5CzyMOyM8ymFq9Unmgs20V+AdTxHMunsACOa7S4ETJAl9zY2u
4zTin7OWYMDCxPIQjeFZYTi96yHO0z5r6DoGTd4TQSXoi17yuCPaIWnEw5Lb4c9xHvIXX+fLhWQH
xv2KBv+jJHkWIDwOirE12XC7YhIPLlC7R4Zr5pES1LqOSYoZtmadGHR3puVeR6E9bHKkj+Tdmv1b
HmrzfaFiu4Cr0MtGzWX4s/DxtpzLooFWXpL9cFw62tuIdgnY3tiSvhpYdyKpNmWDqiAmBOo77mv7
eSL6odnM1OWMAcnv+pmPvTNti362afz6aXyJbO5sx2VrsdoxeR9iNu+qi9yfaJx9EZQFx0aEQaYf
BVOiomFPup1zgPjEYaiUc/fDl4PYldCPXv2GRPoHgPLrSEkVUUbfS/H2dd0aBPF17J2k98jXxQld
RuVgsuT6dzskVxdcxzahR8nUTdTBufGkKltfeM7kL/TzptuPyxt6U78TZWze13YTZ+dqgQh2Cq3I
A+ZD+tolw5c97JolTtE8f+xWgIqu2n5hh/Kt2fhWVnQlgsqcLTPIc2s5wuLi2uECS7rV7BY/OXPi
fBlaMzeYtpnl3ZrXtBLceZ0pTuILqVDRtmtk8t4CaVpZbq2ODmphzLSBgeI+ppEN3rekzbcxBNe2
sEXynkeF2EOTct4QPFKbc9NgEA2TYrl3JySX+IFa9A1jM98mGp7DVjpW8i33erYmLLUvlgYwtLPX
dVisaZr+AOGfIbLfJ9tltjjAkDO+7MsxZy0BEVwu0aSRFoSUXrhpupF5gGtgYVjT1SAhdwDoU74A
emQ8tMRvscB2ZhfXb/GEA5q4Nlavmzkzvh3yS45DTMXguZXx5JGuwO8YOfoSGXl6zvx8pxYko2BS
5lv6Ds2esDmLaM2l2jU0nTDvVe19BNfkZPpteYWM3wmI10i2nujMi2WXyxk6r3eEaRA+Rb3cVQ5K
Veyx2UXzbgGpRvK2WOSBeS1olDKcoXOltFx9brvaKYgO0SRyZIO9NY15Qf4qRGDBPtmrGaUIwVh5
FnBVxYtKxtskQnuQWrhpY6IvCC+pzjhH0P0bA1i1YlKbpuBrYSVtsRhmOeFc/bARnYMBw3VeW9wP
l6hIbtvVSQlMZN6O2keBgdxp7zbJsxfi2gPNJ65yNw/MIcPD1ZfTIVMw4LLFWvNATA90iLNsEhU/
dLF+J1/qrYZOvEuNwoZmTEKEWEZxMkz/a0O/E0qXXQN0nPEqhkMtvhW2c2aSDhhBJDcAo4DbMigY
x/CqKmX0tQcos4sdPZ/jvGADdtYzUiH0jZfYNqOerrm3krw7GyP2tmXxrjPZaB+TVYH/UGXrJhJ1
f5ACUh+1BRwb0u1IyDkOxfRsVU5lbUIjkteDm/OBqtyxQYlosTy7WFn385SHA6IrwdCO6d8tByUn
3k7eauGQZv7ckhn2TNN+etQVcyRE5TWd33pc9CWTi70mesm9k/X+jxQK+QkW8XxCtlzwppyiL21k
PvjuND0wM9Q7exnwt/L8IbmiQmUTwIQrSFNHniq50/IT5hmOAiIj3bDVnEUyH9tEVnpd4JkyYSsq
J8SxIU8EsHXyWKeUPgBcQIZzzNsrbOaHAQAnIM9aFLed2b9IwBNbC8vHjdMsJHtGOejrbe+Rt7XH
XUNmRg3arkwz944RZ7f35BB96dNourKHedsn4XROp8EEe+5P6hvalo7pQim6JBjZJ08lduczgQ3E
P4qJCLtlLFiYKWcHSoTcuM91K3eFbr+WQDj2eD3H18Ep/Z+9MxN74pWWeBKFK7/M06KWg+kmRqCH
ifyZauA8VjI2rSEU3jDO8khjxTOBi7YOjL6RRypodVSzJfpNbQ3tH7UAiFxPqT43vX2RBZQ/FeJJ
D+jnX9PkBLQelfIwyFzd52ED6zq0Q5viP40d2hQt44vEoPvQ5+rMj6oeZ5foIh7CBOiUxuh8nxez
u5e9QdegKbutXzVi63ssAaJR6nV87x4mSTSqR2YC+WyJ85zprrqL+s4G6mmlpzBtxIUrmGxtUtwa
1F2H0XVZ2Kq80GA3g7BQ4i5qcveIzty+VlFESFO9uI+h21jbwp+qA6bUep/T5Hwb1sQ5NpomGDvs
JoHfV20CGtP1D/FYCiztEyaFqAsZ+5uzfTMAXbxF1sexX9lwVOvOSMudhjPtbJJ0zLGilvLVzTya
OFUTXRG84QMaB8l2Aq6t/+gpx697exrue8eYfTR7iEECnFU801FRtatG1r2hYge0BGWIAsCqzrml
e+6uvr5MaZHf1Z7b3/rgyI9208UqSJR/LACZniYf1h2WN/+qYoJxSQdoR040Fu9ZiY5/B1ex+eJE
brP3vBTQuVuQGF1LzEEk4tJLSvP2RXb1t4KX3rVNhZBduYtAzh4u45uJOB6IrtEZp6geOMuizOyD
Ji5dmA7LcIUwBiRehS/MHZJdVojvk6GwIg91SCdZ2d2uRNtxwUhSvUurHM+MJNHdK56BSIGXg3YJ
3sEC0t9Z5ti9p6Bdz2mT89RgE2izqKfNK5vMfcYsX8ruu8dsy9mYTjnHP2NDN8xouhwlh9OXlEm9
8RNxU3mZ3VrcJJM7PBOFO747beK/RoMiOLEEY0foobn4Lo89XeSS/nBZlEfDc/QZ5w8x1YU3YnAn
IMXMioYMpjG3UGWtHpopswJOUVjvhJbbPm/oaogmJOcKSSWfqp+PTpmaF2dKcpKIJp4ZmCo0eq5h
8CCEA4dZR7HNfLTCNWuqLephC1OvYjvTS/TI4FLoYHYF0Vlq5jFi0R1aobsIa6JuYSqbK3Ovsorf
jYfCwTbr/lwvyfC9pjZadfr5tjQKrkLrJ99CsS5lOkrmJZa1KOGhgbTwTBs1givsN0PUxk+BCfE6
9HX05JakBlgVLzs7s3q2ygSlxuC238LaSThOmmsURPLMwTjc9aFnktXTPHj2C3AbIskWttcwD1lU
xYvpluhpfeNBjjNSAVkuqFP8PXQrb9OWBLaQZoTXncPJVsoYOHuJTdmnxoYbuMpU5uQ9y0VcIhdh
5DzEfcWjMjpC+RL7wZv+6BdbHajlnaBhxLrPyKYLssJDwVC4gQWTcoMoag9TAPwm2OatDFnOZjpb
V9otDsNiEWPGC8fV4B+EbrJNUej84PTJ/NjAAA3E4EeXtBx/GjXKkWYpSoa2ozgnNHZ3Hd2sc8Lw
COkK7QExj5r7uR0Oddyb71lvqQ01Pk8dDkJnh/CFXacSZFpTT2hWP6fXmTUfMg9RBx7qOaCo9iCg
zaRpmBaBurN3dBkbBSbSKUqTeptDXuUBUYV3s9XhFgJIsff77o++NapdbVQLRADER0WjvrXaKPat
htTbA0zdLEjwISDcD7bxlnjOvoL2yjlF3ZRFdy6M5nUqltshC8/k2TyDPL6w5dIwIoUH3P/yEyHi
C4CoBynKQ81pOgCw8abMBAAbmgx0o+odrHAXLO0KSDMs9xkBOnndlXiflcXByojY5GNxyr223zJR
JF+ixgsnESlF3vdiVMTKFnS1N65BRRBNw/BlsZfv85icPGQu+0bmyRRopaMvJnyzhegcPzs7bY0G
T2uitcBcW8tubJKv8ziTAdvHyBOfTX8csKg2TN275BH1T4zwQ2VB24zDV0O0/m6esPyO1DDXw4Dm
BX/beptr8+zaifyKFrfE2tB4/raLp/aUNB7t0Sldywmp4vlQTQSaEFiZOWQZecs1icZGu4+L+QF5
vfpBJBqBtUad09DZZAoh9kGMYrKv8GF1HXhmrG+AsNv19USTpW8k90EU0SBy+lNElpRCUQBCZkNX
00l7UBG5hY4QQN0m4zx0lPYgjZt+6JFddEaVooZhQLbxuomSM1NJ0A4ifPWjLGQS7HED8q6MGJDu
UYgIn0JqK9aQlyBi2Q/biu2FPtM609DVEL4OKHd2odFQY1TCvYJjPd80PONe/CbUF8NxqZITaex6
3XjmTWq4ybjrlabsGCTb0tSldlBaa3VC5sL4R7qI6Tb1NPmgVrbsrajNznE2ha9RYdDkjhxpPVid
2++QmFKJ4AUy34FBeO4FGP5a8qq+0kHs1t2Xphw5OuSGZx5qy25PnO15afJHDDJiKNAxCmH2ZmxN
fYVX6ZuXoyFKWo5/UFLrO7eF1U7s3Kkk1QKzZ9WeRNbxIO3s8MxYkqYAYMWLjyTo6mNS8/F+Y+0Y
O42H8RR6NjObjFhXUzrF14//RPmFeABS4T1WCO0O0nWXIwGt9VtX9NRgcyvoEvj2dDvBfUBVa66z
nqX0IHBzMWEtuvgO+mb/0SiuQXYHYoatC3qcuLUiqc1NksTqYCg+YhFP2RntaXnwCrf7UiU9XyBJ
eUX2kQV/+H+xdx5LjmNpln6Vsd4jDVqMzcwCBDXpWm9g9BDQ8kLep58PjKzsiOjqSut9rcIyI9yd
TgIXvzjnO6igrSTX3ope5VMvM5XXPE7tvrXK6S4DpLC5gjGgmsjzVM8zaFuV38ssmIXXFm1fM4D+
XwF0bbaUavT2fZ87bTBk4Zj5iWQqwvCSw2DxQ4QqGM3KHKxmn4UqFHJkMVI5eVVUk82jJFs1S5ko
uvLotS3AJC33OkYyYDtjv4xktemycTSR4HXqDcJ/61ilEDmEtBhehRLW7XLdKUkJiSzlEzBkl7/k
bS7vY9D/tEnTsu7vY8IxFWxMDEVos+7J7OA9yQHLI4KR93xW003lDLxtDClXqL/lWS+1Ejg+ozg8
IfLsEAx/S7KiG1QVUkXb5ArozEUq6w3LNwRz/xgh9157McoBKJDM8x0Q3RNqzTdguhKdo9nunXL5
26rj3dLsiQtWM5z5PPCNABu3nhU0o6K+wVsy0yDrMm+LaEp7iBXKa81hzkoyLg2/Rgbnd4mU5zik
XE2G5Jumk1JdGCXCkeJxPjx3OghLwlzCw4Dj5BLGKip4XNfQ12NuYaRF7CbHLjyEtVZdMrb7ew/J
tuHPYshV/Gt5qD3QHPAblgg5e+IqobKvXFx0W69M9BN9S/vaecvbW6h5diAbRZ4HYnwexgz62/WG
1UUWf0UWU18I1OZHIwMZDnk3h/uOkWsBLFwRF0lidKQykesavs5rk+zI4fvZW2JYEdNC69HVX0rV
9VbkV7hbMbThQe34dLou5Gaf2JWG/ewxsSghg7cDUKnKRlfJCPxcF0P4Dnsf4aO0pXbMI127LQ07
PFi5wSvv6HysoOQ43KqGxfCDtSjIu+UqGKHFnqzaYqQA6HZYZW5HTzh6PVeJI9XPSE3rC6tIpcKt
WHNPAyEPg4ruFC865yMpPOU2Iov6SdIQfHfCml/Y65ZrsFUh7DkWFDPszqhvXGOWO8UBtue4Dm2f
a8fDN9emT17RYExvokqmj2lw2UIJCvKWUWodrWPKCp6MBHifNDGUmCu6/ilRR/drPZjhd5Q0cCws
BIF+NPJkMpOx2cyWMxP8SkbmfuH9v6e2ZZW+aI0W7j1y4yHAkFDNP8bP/xY6/I3Qgfmzzij+vxc6
PBEh902Ib99+Rqn8+VX/EDpof2Cz4xjCIvdzzrL6B/mnLDDQNzisY1ysff8QORDBTHfF7lZXYYiw
WvhL5GCYf7A4glRHFB3jcY8dzv/7P1+m/x19g1+L/qUqxW///TOSk633bzN2ly0LuyiYggzLvf9C
SXTm1sAGbpV7BdiCVm8HJ4zSgapgHHWIPew9MAI7+njidp8hyBGGoC0yVdxgzq4pzMQPrZC0DR1o
zI1YpK3TInK1F7lrFNnCWo2tsS4ie3oryNdaUhMt4+ItYll9kc32njXSZCKlJXj3a1/WHSG3+D0s
QkEDe5HeaosIF4Fpj7NHVX3Ho3EgRIUpjBWDHsjLxeaOF/nNxM+A+U4U+36iOgDFsemF4wQqMDLS
LhNCLhdpcDknsPdiwj79QZhohw3drjiw+4biTZEHDk9UxhH2x8/wqj2erjrkoo2ic9XO3XOG1Ps0
pVJ9YC0Bsi937qGre2c1hYvvFlH0wVoBJayxrLqdfgC30DC1TdV2i9en3I2JucoWuXRVV8SKYFzc
2ApzHtkPnGygayJYeFY1ZXcQ0gBD4+jytXl013kkKr9fJNqtapTrsTHVFbZj8+QxLtn3dI27UJHa
wcxi5ZALDO+Z3shVrKSS1BK1OtMxow1vXAWd+DiCdEpqJMwoYE4RQKatibtsozecWaoU8r4edHF2
EiVEtqs/2ROS9Dnr7bUYCfwInUzcy4xkvREvwcbuK+j6NcJ2c5G492jd8YN9qEUitlptpLt+iPQt
bqrwZSCAeJOmIXHYCcKsc4/f8hwRDYcjfFHXT4vQ3i1yqMsUFTtEwO2GXo14ukWaz8aKEnaR6yPP
9z4ZPo/fo3H2NlIt8V00IapE7hvz3pxHkZ/mtH6OCTB7dnlUX2B10eWV0lLPbFaGo6vgX6sKFYE5
Y1v4ABEcNXsxGsSL5SBczAfGYkPI8SPg68OZQP/S7IBJZ/dT1WCaLo3hVsewfzSbxJ78Gs0m6c+a
UjhE2PbJDONiEbMis8cTIRd7hE0lkV4dE1DIjU282Cj0q6OiWcwVGERI9OOZxqzQ7FUQhjrACjKh
Bz2gTyN/RitA0ejAshXF2iHFzODblM25tfVLlTdOeGow5cRH4iVe7aR1HjBfbkPF1ZS9SHoz1Ld5
Z+CZYJ0zlt4XaWLUWkfhLG8lrdWd6HW3+AJgIAQGUTImdrv+2aon4651ryygPHOezFCk4NMgBSG7
8w5j5eg8Ga8ooTq264f6B2EIHWC0q6/gIf0HhQjY7sIkKm2ncg4kMLkgi0gPhl/EQcn7XixYo2VU
COIIVLD6To4y5CMVs8pNg53DeVXp84EjgVnS7ssrMwn2g8BZIT2fEw7T+sJWUhfK0pW35LI9ugah
a2TjDmijfYRL6aejhLOyY6Wjkr1VQVT1K7dnRDz0jKL8cIqxRI5RgQl3rq1LpjkUwpU6a9Feo/kf
GKej3y6x43+dTdLltiRtDvXOmRsWS4OSMHAnVoU0eeCI/EhSG1ocYYv8EaQIC4xM5Kgy1RHvIGcf
PxF+IAY/3ROsfYqIVQggFa+sbp0fBvr5h50e24+lUr9iIYycycGTGZf27TTY08Za/JKqmg9YQCze
45XNwO6Jclc/tjZ2DMKoW+wQsvDGbYrK9lx6JgV94nHfT5Q90E1N0tZ7g+GvpsfbEmTFtorb7I7R
0klGUJX9VrMqxGlWfAzrGor82JkxCHdkFiwwmdKTZ9trpB7Z+sHF9UJ4HlWk2+GWYZ2XrFv8IcqG
Eb366OTEfbIrkkzZRsTPtlKWNyw+qwd3cOwbQkqHd4A4+uyjTTvObOB9BAiQayYzokJk3QG8o88B
2gg5f2nm5pNnVHuDmsHejEioV8mQEPOjq436GEkCxKE5us9g/cS9SQoOD4cy3+eRI26rzlU2ucJI
YCjV8IvELU+VrQXCsSPCudJwh7NEfcscjR4cFM77QERP5XeswXdsI6ajIx0JSh7fBMYeEIvjnH7E
hNQdrKZin0B2NWwZ0586laFbB7+Eyf/AFCSdQ3lneymxp9SuIi/rZ+lU3X62hx7Jcim31lBYjZ9q
xFlKoQwrgO/xLfoOhEXtpLtHDHVADBHugdDBhjjy81HQmpavawmDUj2M79jLjCR8En1tMu+knfTc
DasM2ILEXcUcjdJ8M/Cx8Sy0vPoyuHp31hypfRt6vdpYjN/WmRZqO1s0xqsy8fN0+j4UKyLapEld
rxny5TeZOjYvPffhGZlve7fQxk8I/MqVjEumYPGE4t6Ihxv0CniR9Nze5XL4aFwzOc2kmryyx1Bv
wlDz+CbCphIowEL3FMurqjDUG0EgQAcG33LvrNSZtp5utxfXKRlSAhw2JtndtwLLFLsuuGuFJ7z7
DCf5UUuz6nOEGuDXTFjXGbDPfaxGr2Fb2rjkGbrmpeP4ijIb6wTLKFBsTXljNa+uTTLezlaSqEcD
0UXu8/RvAnqrOjC12Ez9SeueFR1rYdCLSOByx3fpkS7ji2GymZ5aqrOCFUAKUBnpTNELGO82+n3Q
YXw3Knw2fexwaHUQOiXWRZ9cagqMx9J31JSToIXQREzPgMXGeQTs6kY88thRRvGTsOc6+SG5+Xd9
/zf1/WKTQV3039f3t3FS/Vza//kF/yjtl/xnFEoouNDHoVOhhv9PkAZ1PQJBTDDgzpG0/lXemwtb
cRkQgiW0+WNJUfkHSMP9A62timSTqpMvR7b5Wzn/r8p77XfVEPop+NgWtTc7AkSnv+n3wlGJBhY4
1n6AEUdiaSqzh3hhb1/7YYLWBBGuqdzUoPc22jghQshh73tCnZ6tEsKFCXrvlWIT+ukEpfWnd/Kf
6H1/tyrx6nSVX58XiAQXnNCvSjzQ9G2ojZ65TwezulhMxO8aHmigYyca+ybJ561Xw68VzKTNv1E2
YkT6vfMB2uPiUEAOiMwcEfqvPz2M9Zw03aTZh1H4VjQhRuqxT7xz5rWVHQDgc07osTgpjNl2jpPp
Jc8Qb5OPSZbyq9MLPKG1nI0D+Cixzuw+33Z522fLYs2+d2IXNcbEgJHBXNGdqIFriGE1c+QWvG86
FZ4GIU4Ut7E+qzVDrIF8JBdZDGEo9Cx9j6jDp+BSGt/oKCwHHqowxuCTVbADoOu51dERplzDgukf
4lKUWELNEjpAZ5DbFTWg/VdeGONSTkz1VQF3vXap3Hr2iCx7Ic7h/rXr8gaFB7zseLHOtZUx7Fgs
EDmtSGIh6bnoSkCVNX4EWnYF9ArgHkG8b2XqFpavEDV8ssY0DGz6oleCsh3hJ2o+shLS4mmAX+ti
LDSyeTPGub2dPOLeFFOHrq3aevOw+FXvVZGQVk7chPqeo5XHmOaoLcuEyVuPvdEmG+QYLisAbqWH
KXQjtt5NQ1CjxDL+BEwzXlOFjf0eHRtwQ5qp7mFKWKQwlxvZwieU/Bv899COy7CDJ+Jbds1Q34yk
cSynFsd2FIGIg42FvxKmgMnHmirmzhp0XaG4wYM4Wtabgxp+HVt2eZeV7bThoaJjTrRw4Jhtl5Z+
hPxoo8JB3rTdSAUBfWArdTf62sT6sEEavfG6YQi4U709Is3iQerzYECW6NODTBEbAKdzLjHC6J1k
vAqRqu52c9IiAOrw0vFYYF9osw43ERYNbNa31FXakbp+OniuFr6wT8QOOcYjZC3Hir+ZozrcapU2
WX5SOsU3hKFZhQSFWI+G5ppyXYPHAr1cWoZvOwiZl/Sxx/iaxtz/iGZO0W2Mj+wuk6n2qWwr5nSw
XSISD0MSPNy6y76WKQI8ZHltutWB8H2F64CsA0ZcAeesLmts2aJhJHgZkjyvd16JmedWCCaAspck
foDkHN7sKSEpgVVldZGKAY449HpSJB2tUbovZdjDim496Hkru6vMZN31LZuAil0m6bUa0QFCdTpt
3dO+J4+zUc3zbkY42K+UsGQ4VyF+j4K2j6P6Y9nBA/NRSoZmSP5LDOljpu4kjnYeBXCr23hM6qDB
jX8RFT6yxTzGpT7RJwAQyR6gZS6HIaABn0DN8pbVuHOj91XjrRTd46e1y+8G640uPZTauG4sES4m
L1O8domdmn6bDLx6BLZy11ST3CXVWOOJtqr3EYENaBZrwDPNLJAsc4HcRPGZ8vefatr26jlNWku9
8UIk36tar6sLdArmnwAS5OZ6lMNm5H0C46cTxORyjmZKN9xMiS7JZWVgWpEnb8hMbKcl+wDpBiLl
+WKxHlPrA9YWlT+Q3Hlkaea0O9Q6FRTI4a2MpjwBnqpY5aWfO3rQuZXiWLXAG6G88YrxisB0HHvM
p76ptEDRXT2/BWYzTPBNEl34Qksn/N4AIs0rK5JhMGjVK0ESUBI0SXcBS05XxqR65U0WJAMyYrhy
KPUFSQmAw11UOgupUhpW2AflArDE2AzLkjcHriXcThiX1ZV3iUkd9mXcgMEkU7NCV7WwMd0Fkxki
uN1HOkEq2SiqT0FFZ0yjzVTVS62thoH4Hq043E2FjNRh6155nNqVzQnjHzjbAuzUejU7M0tCSUUZ
WZ7iBe2pw4uwYfD01hdrKImpHAwNkDbISfKSFbnKNWs6mXlaHZnmx6f+yhDtGpcUlsatyXfHb0Pd
ueBG8bo7ICpD5QmLBacA63BovVdKqdYsxFL7Si/tq4VkOl+ppuWVcKpdaaec4yzGI8vcEP9Mwn1h
iNfrM/zfhePfFY4Gzqifyp3g0l3+17crxe3mUnz7v//xg8UWXFBoXH4pIH984Z8FpAdTbalAsDvA
iCRBFrfCnwUkdgtccGgbmEC7Dn/8VEB6pJZTOfHXVJ70EtQufxaQpvUHZSVyab4M9zVe4/9JAWk6
v7olTHIAGVrbWMkZA2Il+j3VBqh3LezJ0U9SpXuWbLOiuWNJotN6z+KsdCawpcJB/TW4pDH7FLby
HX6UDTQ/gWM61Mop5LWv5wbFQjQ37FoqKc5VVO7i1ugPbjM6gZl79rHqS+WRJ1u9YNOUY5cwe0YK
aj8OzAWfU9frSlBqqcJAsUEFIdJmZQuUsHw/jbFlk3CiD6GxTRvuTl43MEQr2oH3P9tG0R705UiL
m/B+lM0thNBgcRnTMtbarhG14btMm7Hs2QfNDAOoXF4QR83Xno1l0Kc1gO6hTVf02fM5ZBS8Hjsg
h4P6JVZsatVcsElPU20Dh4nGHWXY0vhtl8fMKydyuhYAOQOZm+t8am+RPplr/MrdpdU7aGAO0am1
Vbc7o7D5+cWiSJsbEyoGgVUkgUCFRRMQFIQNgxHT2WxVM4ixuh52UZcCp/ZUeuFMAmpONB8KAU5i
tTbYL1kGhDPFIsW4p4Yk6u4Aj+Qca9APIDM8LLkHKHycLUMyBnXsflEIIPHx2FCZwFQCPVRxIqfa
yornF6sb5tXQLb9EnXVB1xthkM99RNSiYq9zt/8shEc/PhWHutSSI10FUkQosmi6N0qS1xtLNiUr
b4AiCRsTChF754XeoaMzX7kZu7BEhsrLbKByMaByr0VFAioSy2mjmxGg9IHIQSRUpD6ntdwLHgXI
iliKiUmzNjok1EBMqhmU+G98y8WX0Num3xi2uUam8lFPtXlsFHcPVqdYYahgYCXa0TfAesRILdD7
M8PKc2Wdpc1TJewXd5Jk3I+OHw2oapQSsIumynjr1MVFWulH2nQkBVdhC/sNNqnqpcqh0b1v6J+Q
jw48mLkmnnLBA3DkknDb6N6r0mrTR9m8gJ9y1JaUcy4h0qZgmqV11r7RU+1jNpmMIQ1AX5h9ytmc
1iQf1+s0SeedVYINk6QS+0rOtUDkbBM4JJHsYklKoRnP0wp+VxNkWvumiK5AojtRopcsY0U1N1vN
5RMEfWxu7BTsdmikz61uR+dSjYuN4X5GtH8HypNmZdXIHHNTKwQYFejaqHSSh2LIXPRnqMLSLJ63
0EDbp2X2HmiOlz1IArICIeRZdG2+cdNsXDOHsjdIEYrAoo1eE3rJuFNX1LsE7dFalaQo4/eG7wpA
PIiZTfsoLOy9BshllUTusINZuO+ox4/AOfpAAUv33FsG7yIupkAH8IMCyyMIg6huX7UqrP5Wqj7P
oYmGCqosdy4Sly6unZWHIgyua1Y+Zoox34XwRA4aQCDLxzQVQ/BTsnht1y7ZU11BNGgOztaYkf7y
UvuTo5QG/1A5lVWSb6vMvgF/9JkMtEYAVoGBNw48fIztgSN5P2tYfjsnzlM/MdTvEGzREpA/fEAW
DbTI7h5VN9lDhbAPrnSgorXWAzLbZj1SexK1BVddjrkdmFT84Mm9L32XPyRAHeHj3eUIOpELJdp2
TpRvhSnnTd5KXBHOKRn594Jko9FGOlWaZblxIiS7RSvqYMZwRsaNQeqImVyaKqL9ceGoVfq0Qz0R
ETvtKP7o9t0Kf+68oN51QrEbLqnIbs9EoW76Qr94DY2Uy5R6NZA78AjgPyIz01sAxr7KrYausPk2
4IvyHUnupdWmxlbNNe1AwZdt0lwfmMaB+gNtXQejV7g7oqJuq1z/sG1xIoE93TPQe3FH4eAcsRfu
vGHve6a2T543vOYolgMm0N/smNnoECbdaoxY6mn90TG79qZ2UfBVLUqoqsohG9oE6LR3eRyWQWjE
7ooO8ntLNR0kHhYAS/bV1iT+OwgRxIC87tgbUccxF2ckiO3K2+V0eIS7f3iz6z3N5rwju0w7SrRr
G5xnuCNc1lWTy08spXyiSUvuRGafUo2H0ERYqJ+N9PuZFuWbtrdQAhXW48KDDOyuSY5zI/ZR2+Dl
HAwG+6DdfIK11CBGmfaeZ9PbGPY9uwXna9WDT8YcHm96vRu3U0lYPOBE8EJo7G67fLhTIyf2ibxY
Xvh4rjFrrDpLr4kieEB2U61HkqgnLDk+Bxre4Fh57b0apZoyfTWSGoA/+tW9O8iWswaJ3xyG9o7z
NznQwIzbSOGUG/EtrfqWqCoXMvs2oQzfRM5obBioGKvJrLVt5KSv45BYe6m4T3MnCJ+Bz80S57uh
1M4hL/NwgS3RPNe2tgHI7a41s1BhCy8LOTDsvuRU3bRAh8CAz9IoPwm8KbtnM0ExknHNKo1X7qZR
SZDxT9TO1fjS4YhyuBVxV6S533D1Fe5taLUeLbFDvNRyk1Upgipj1+hVwsDFqVn2PWOeRU+CYWhu
hRutLVFxemeIQesxQVylh9YDpGYASO/VMJWyPLTGIBxvRaaI61g+WslEiRGS161s2x9G0X+X139X
Xqtsjf5VeX2+0Hdfyq+/lNY/vujP0tohPdV0HBVPJjTjJXL0r9La8f5gaGvBKl5qZ0Ju/hrNEmHj
6FggXI/BoLHUz39V1obzx+JvZ85Eoe5gS/wfMY754b96G6nfYQBAq0B1AZPot8lsqfZpW8SZ3DmR
Zkmsx2Z5iiayEAs4/qsoIibqp7fnnwxbl2/4i5kSjA8mSlyWvHL8Bb+NO/FrxIRu2PNumtL2XlWG
YWXbfwt/+rVdsJZROC0D2AzTsk1N/93Y3FkCv5sVTz/yNkd9au7ZO8JwcEySxpRxCWPj7IYkpzyI
0Zme//UvCbzhv/yaMHj0xVsNAov39reZMl5PZGqz03FC26App3EJIHMICRtMeM+TTszZlE6t2M74
y+kvmGct7pFEoWpAP/aIAYfy5DpaEngDkalqJuxJOWabWc/4t4A7QTcb+YL6neoUgSL6lyVe1Z3n
7003Zw9G6uLAmly5i02LiZljN1hlrOYtTJp5u9g2QcdG2kzUX2OQf8Y4kIiwZtKe6MPqmxbrwRNa
8+muA1p1GG1RX9yiSFSqN8LdkJYglCzz4YUaYCbLaypPoQYqp2UMp9EZ6EwhQrX6iJO5focSwheO
U+KdBDq7NUyB8AFqYNEFgwChveetgpsT8bDXFuipSYAhplkGtA55n45M9Ke5mlG1TawerUaWp8r0
GKChwluQ0ASdVjn5qv7gsKVPO9LMBJu3szSmZIdWdAwAarQH9CPNPTrZZebH/s5uNOLblqA1zeiG
F/jOw0uTSvuRT4dANpgY61LHaNfbU/NlrkCARMzHV8lYzs9xB/uYpBg+maYu1Z09etxDIyM3o4M0
bJOqs2saAtXGvp6f1ZYvmdVWvNoc1iegX+a+ieCM9ZiDXtNuLE9TBS23KFzeESLGGXeZxaiQHNFL
FeZ3TqRvTZk+lkTFYWXKHmo79vyeffaKYU77xQz5zygDJrOKiFWLdph+yOsz+4YUCm5nV+nmrZ30
+b5y+XBnZ8k1ZZ4ZB8IoW1oGGyBIvQTydhLjnoNpaKsgeXqIRi3DJBU3N9AuLLyI0fAtU+Hxlx2R
iEWOFGrxDn0kUzO8hF4lz14z8K2MpSYneMjXlpWiNyr1TZgtN7vSWLdKxDrF9PhdbPbBeKljyIdZ
xqXImohEvyyZKSh18zYy+SSucX1mWc9BgeylQFjY874SVHjBHWatSCRI6XLY1ZRY68PwwYbW+4Xo
Ynkux3h+1sci2eJoy4jzIbkPD1T3lSQ87YmclZHmmonlNSdPRHyOBM7zVi+XaF6iJZ9JS6JnmHXQ
x5JPwgSQvDU1rn9SDmCCR06Iwil7HxXRY+Bui9vI/Y7hAWVGohQkFIqw0PexsD5U6rMl56l/iXSu
TV9XsmSZVLsU1vmHGToDni2nhoFgcVEuUtQp5oOyHaXbhI1Z39YYM289hvq3PbqApzIRcKgtu/pg
9sHV6iB1b3VSrI3Cmo+poViP7CswXipMLFYuBLJLhCS0XCUGxbHXellw/eXcmJtAVEJ5mOa67IIp
SeWZWke8YjnLHmY41XhRlxZRQ0lymPK0WNmjmuy6Cu7fCoBdsrWmBChDTk4sV23WO4t5uHnTEghf
qTrD97Z1o0FMoUeu/upmnpbZ70NF/OmXpO3N94QdeBbtBkOW5i7ppFIu7OARnFgD5/AwRkZvPrC9
mSkop/lZc9GRV3Yflz4DzBa+i7Q3XIcWbZaue7g+p46jqS9v+gp/ZscVdjCV7K5ThXJfqfmDYvU3
zFsK4M2OdS+RqUAgw3PXWhHevfAGowp2X5IUd5Eu4z0wz2dhmcz1F/Npb86fiYsT3Bz6r8SlFnul
jL6Ahoj3Md2WX2p9fapIGlnn1jBhaYu6r1oiGkisdNFdE24o6bXDJBnsaPgtV2xJoiCqo+TGRAN1
xsvGdKNFmW6n7kHJmAQkZN5Kv/bCZo9QkwAmZcKHpEaWXyQZOTtFnn+PatkxorAWz6QwCbY1y4e5
dJK1XijeMWXlcBZ2Om7smBu2SQvtmMzhtO4hIwI6WaIltUHdq1gnd4WDmrxepv7VSNQiti9uy5Jm
KladeqUrhXocrcTb9ZH2CPHPQ8LuiJNWeka+1nnvv4h6HO2V1XgKVHWSuULiozra5zqBgKGNGOVD
fDACh1RJ8uc+oifB2eZR+lqhjTIzFF+Mauy3kRXxzKMzcTdDzGMu1qdujSSreYARhR60y8QmwrHB
gA0Av++504cLSsUHXjexU4sGGoMse/eUsKI1n2zWuMhxxhX7RjcAdBGvnME0qBCN5p7qDLsY7bxD
DkOjq6j8woYOJqvZF9TcV2czF/URP7tcM3TU9/pUi8CIY+4qsUbQ3vhlxRU4dxqdtd1OZBgYzOlS
vKOuQGyZB8agVBjwbHmpc9Xa63Mhn2qwsRGpO95ukpa3L/pwvksyQwZD2DeHjE3DytbBwlZ2Nvj5
SOaOMBEVsnFlAUsqQE9Q2Vj4au1uGqZSkHJpZkbLWIbzRvqGdohoAHUeyU+Dgtx7g7Ih9gz1ZlTc
55rCsxyZ9z5JDMyEJnvBSIm8l9yNtG2ecMWTOR3ThU2kwYyhea48eiJ6SOUByIN7ozVyPixwrhw6
gReDWLDb4psZNTeQXZ2TN3WEd5rjiNUuZ/mO7TnOzjVaq30dF4x1kthuj7kMjfeeIBqTBLRxQRCP
JBnFM27qVaql6re6KIqcZMDSngIVav1ekoO1qtnIIBDLrfcx7wnkJT41PaGiFV8KI7Wx/gsTzCU+
P/Kf3j0Eu7sxzkTig0jHEIWCKNs4sTV8VqlWrbp8XOqCurlH9JkHiL7Kau0ORXJUJhjjfkjYtsPl
V8R7eq725DWCgNyW9B5SOUi93k2kqolVmlTW7ayHyQ69Uf2p13gS8HbDpeWzQXC/lEjXVNkrHSK1
RHny6Oo4nMk2cJNwhIk76lW2UTPBA6fmFP5e5jk2j1kJH2oc7NwDYC9OTrioKCJrkfnHSYFuubZu
ZZIoD0pVI5sYEoPOnEgdN4iIXF0VFHkxkYxT/TnVvaxZIPMhXaN3556q8Efx1SQ6PHltFl/r1End
QLdifj+twGPpT/NM7HpS248TMUCE/FIwlmud8K0gRcCwZ3Zfnpj8yJ2pChggFbt3VrFoC4sau2oQ
W4KHu1cQHFsCYX5JdCO6jQoqjZI9+E0kr6/Ca94MssrQcjfNciijPfjO8tBFFetQnnhNo91xDJZf
jdquhkCBI7S6slXsaEGPFqR1BOAR5i3wx574X8wkPqtbt8Tb2M7bqLDnozrA74j7YUQWzrO8oth6
x+pXrMS8lL+eXb073ZTvscGqvhGZsGCLaf7uonXaTjKswJEkHkazkYn/TNIyc4LayPdMw5sfWqhf
RPI/i+K1f9ZDLKJ2+iXEO5xA9Bg/4W9aHdttFCndjiCM5hB6HIaUw4veLG3ae9AAlPdG4wYDH8wH
/PCFM1ryZved9XcNjfa7RsYDF7e8EpwDGIkcb+kjf3otfWVUBf6QbmcmVP7k2/TWrWODhI86jEGM
ojDnghmHqYs7yImqgsxBy9jhefuICA1+YGTZHIQxzMdyrJu3vjfN2yHRp+eRinvzr7sv7XdJzfJi
XXZE0LXAoWIs+PXFssXKnEExxE5h4om6HvfbXHOjqVpKCB3z3YBHEReYNnDFZ51wA5Xn1EIwqC5p
Td3s4DT/G9TWteX8tfFls4b2aXlRDkDD3xrfqG+4RkCo7orCwMUNfDoMhNs3Jzkq5BYjCwg4muV6
RgeJrr2ngkprsivIUAGFbQ7ZQzqazcHIbcgybOm/kvLl3Ls2ed1IEiSS+7Zq/KazlOBfv53WP7kQ
HQPck2rQVBu28zv0yeoRHObz2O6mhmcaUXKIZqGnzkh9mLfXSUn+dmw435lBDjtoV9FG0fSLm9av
YxmhabQolxRrjIK+Lqrz0Orm+1DX5ZmRXXZU1cL40PEKTOc6qsvh2Maxi/VRywLVRA6G5mPeFhwl
u8hLrFsUPag9p4J6NQfgSgGJbXQyZtJSqObbph+DajlhEK0rDwNy50cFpxKQo0hFkFqiuvUNwRlr
m2AXBYjcfd9zgOFso2anWaYviTL+kYTFWfotbB0E8EutzsituS9z+N2+5i1le0ZB7zHGY8eV2I8m
Hsw1AfL1TWaAXkh7Zv0D2KMVyrfhZYGqYcVAc/rBsjGzD10uneHUhGPEm5QA5FAm0U1rK8piWPG1
EebKzjBSlEcIVTtFmCwY+lJ/qUJTw6Rt1NnesZFzo5weGBjL5X+EFPRhoAqXXUOI4MgdfIuK+8j+
Vnx1cmOqeRpT07cqwTKwImJ+46j0SLbkEEZAzXh160Av8pWZIp92mnh6QSMiXDQjakqriZXRYqsB
dGdVeFgbp5bGzcU68DmnfbZpExJg+oHqSs1Grkico12AMrx/6ZL8w2npHwEKkZcz5kYStPPCOVne
Oy8DwHGQcoGTWrHyI2tK48Fxn2GP2WK84dBDmJSzfnGrywT152LOGrWhnuu6z22bbYzObe/oRAnT
alRUuyNNv50jGCzZD78SUmfs1YnTqFt6uzIGfY6YlzxAU+YoxJiz9xtNRsW+JQOCdHuk5NROzn1h
tP2LqqFiwQuJOHDJb4caOGNruKqBSskToKs0QZgeA6WmyesbbNIMv0OT06QLSzcw3I7OKDRNMjNQ
HnOPIKdBtzNp/CVy7ObLNa7FXdTGgu7QtxJC4wlfag4sApnK6dCx/MlbHqFxwXFpzQjcsBo3b+Ps
kPY1MmYhCtI7RVr9/9k7k+XGkSyLfhHKMDuw5QhSc2gMbWChCAXm2TF+fR8ws6pDFFu07N72osqs
ujMFYnI8f+/ec+t9NIr80g64cDUf0G3OXH9Z4DB4cpiiL2Q/Rltn7gARp1peZwn9IRGxTXb6fPqN
2zuY1pEzld8TO7vtBlG+4ftmu61a+JZyYi8ywOpLzeSP5spcOM+/ejBnhg6GGh6MIp3vgdHT1Z9f
1WFe39UkYVBCs+QVpXq7Geosthex2utopSI6I/PmNRoYq6xCJjZ3KtFl/bKIKUUO3+Iyn1OZ6PWM
RFxiaZyLXvo6Bh50GqucXSrGiymwx6uho7t2eAz1gRYMj3elekOrjFdmQMfDaMbq7tDxyQ0en6wX
Kf4EOicViUA7ZimRRzYwZi6G8Jetb1vLQ3tACRQug1mxs6XhyKWfG3lT5IybBGbisg/D38SAj1cT
r1u+HMaAYqQnfmvpBHSv1HJIvlWlOQvDkdizT6Ekawsx3FZtR3OOhJcJY6WK7GbijNBbEKYTTLyC
BfHCDzqSR9p/iQrsqQXAQHAj7Qwad/06J/VoGQyZdaMn9oyMVNWaxleHwiuu6QhOZlK9TIZJo8yS
ffUTRx1INFWOjzmM24Wv1yl+Ox4KMEosa+zocaTPnZoZTUCkmECWlk8RfynTafZUE0ucoXH4Q//m
8JEcZnB/XoQmQCnlnVyouVwWCrcvzSiWqkZNNn89mqBMNqVJa4gEHP+bqqX5ZVnoyaqyTOcSvET1
Umj00FD001Nr51q5z4zwBpke61agShZ3Bag6eVLF6xBQ7NRqRb4UkRNImkIuYWiBhlQxQi37JMES
1LB9Wjc25TkRzO7l/DxX9bwMN2RiwCskHgUfsKDmTWr+dT6iI1YGCr5w7npTl8xfATZor7PYinWC
NLC2wgAdan5wIwD/bbR6fn4Skw0AK9EitTkdf+5+Hcpbx6VDGiR58i0jQXoz46BWNv6dh8O3QZO0
gKF+4KRgyafvNAdBK5Z5w5CU1Fy3J+GvcilDqjHRH+AOdks3wzxsg3ncmWyHoeAz0y9tA61ry41E
+w37J1Xzy8lo80tLp4glrY8RLuXh96bp63JTTwXFeY9/DR1D9zT2lMllQn9OZeb5AEKRxZZ17KWY
UwXhEmOP91n2Dy3BTtK0dHRE20Ee9rjEKT8bVpNyyTYHpS925M1BR9jicyQIhfVHGgZd0CLlpRjV
rnhFjEqDuqdnbEQ+WwVJ4WzYc5gizeU1H3sensMyOwiuBp0j+HqFGTyzqx9hNunZvJ8ANbgfasLk
apo2j6WgaleIh0YR0nRcTJXlLex4jxJQQM+q3ZXs8QyeNUX1v6GrK171dMiiXU6C7r4vU5qI81Jp
zKa+OjGSm8nB55jakUXXC2yaUbl8H0JaJryTNd1pZL4zXUjDQlWJ9l3MzDjJT8eKlfDiMsqlvEyL
8q3JakqOqpnSXUwm5CIqIzKhRP7adRZXDbCosdMdqPu0PrkGMlXZDXV99UJVEpuLdsBkv0jVwqVu
aa3oGj8/i2wPzOOpKJCJo+cZ8Ylxw0cnma4SnZb64X8eXswxi/nEKLC2flpkp30r+ajs8kkOt2Ta
jJssJH4MhicvdERVGSDVZe5r8WSbpZgsMoyj6aq0J3ZkvRg3Q5P8bs2psCGcGJzf3CieEU6mzs60
n6uAccBmtAIO125pJHDGPaDMuPdax/wOryVcTTRytpKGyrq1sLnjA2udvfRl8Zei/v9HlWdGlYB8
zS8tJFdkKrz/Oaf8+9/4e05p2yj2bMtkuGPZDogCJnd/SwCF9i8mhLOjS5u9ILN5/G+HuClIcHUE
DJd/6/z+M6c0IeQjnuIDTBCras6E/H9gIeEQH8aGAGdhqvF3GKm5NsGwH7d0I25rQ44zZN5fE1Fo
jVdOfHNmn/PpEBTGFl4MTO143bWjQ0AZnvlBfIIQ76GpRtY05qjxuKT/se3c/rXh+3NX//lEPh5l
/v//sZGufWJFrXAeFuWvjfJaDO/y3Ij13CGOtr8iKkwk8hyine6EejdGq2p6+/osUHLOf+XP/azj
IHFmsM1wVZgarp6PJ9KkShkHHQkX2Cvrn4Ww1X5NM5Fp3TwKs/wkJU0zA7CRMj00qHhZRIxhTSIu
YqGh67dRWddPejgZ2hLSC15CKe50K+usFUrt/tKtkYjQKVZXhhy6jdb5/n2k6gB6RNbGD+NMW6Qt
F19Q8EBgLeDJOeWKblGzJmS38xhsLy23CtnOgDBfJYoIr9KS1KWkaosFjuQC5lQLMUZNxYXqTPZ3
zNIsmaE1hldqpdggPtJxOal8BELF6i5kMIsXk7lDOLVJe9m62fQYSf5nWIb6MhbVT1vPBDjqzFgj
DOnwbk7ZlsyQSzPR5eOQj+YdEhptq4A1RPlWx5BwVD42rWZumsSpFmIotSsHCNw6NkwkO4xfvxlC
8kdghlyKKR7RMDq4Ubux0a583+B9wE+5DIo2vPPjrv/pymy866gAwIH5g6DDHXO8aHrvc9t/CUtg
/6uMJvEj/GpEmT0Wy7qeS1ULBsFvhQELzvc4lU94ZJxwM9jSvOs6XIRivsBMQa4K7BEk48msXNqj
Za+y0peXqQ0Kjyg+Atx9ZhDlkt+XQPVjx9OmsXKNlOpdNkSo96Nsf8XT8GhO+ruLQPL7oFvBks16
9CKTId6pbN/gmoSVts17832GJmGm7mlwxJU6LGKGfwNzgkk+tSp/jzzdchkPItlnrtU8RcrIRGWo
xEWGaQloS++vDavWGIr04V2f6vEuoEJcuXVZb3p6HlsU64TLWbYdYFMafUTvowqriR743oLr6sHb
4gD6hOeliuUWLU+C3zbu7pNiau/JjeIfrl2UlYkTWXdpQBi9mvrJnoaeif0AxTFCfvPGcbmctE3Z
oGd1qa+QU4tr2WO73cWQfDdEzEXAlNHN+miaAOYQpRvAb8ajHOdtgqO/p/mhp/MYJgjUrWbW/psv
0JbwlCj+td67YEjZKIt2YWr45WNYkDcjg+zVGGDYGabA3I9lXV1WitC+aewcdrZb2rc+8UpbKnTj
VmhZcNmb1pOfVSB0RNj0gAE71YPbbOu7qsb52bZDOizRMvtvEkj1wi37Qi4MpVW2BUO/3yQSOr8h
IMplozT9RY3N6C2kXbem/UXjgq2PukYL6oIMdefr4WNFXZFI9otgRK4krtV0zaxKZRugjV5G0Pdl
GgTmA3ipae2PjoaZS7G0rcPWZGv1Zv/i6H73ivQsvFMz9nr0FGetYjtAfhIRzqbM1JyfWtLIfZW1
2XWLt+JHbRj5Vd4G7s2gTcYDnKgxWTQNFLKh0qyLQwyvQdDVJihr5xY3R/5jDK3+rh6RPQ5xKK+H
prIvtYFKsKlc6yIpAXVpldUty1Ha9yVG8ZUkP8ADwuR0S9LAOEClzYtXqvvYhCdVsD0j108sctu2
VjTNik3n9+pvE5kh23ws1vdV3cW/LPaEntaxCCVK1mx5NOBbY2bclGPZbGUBHGDVlFGz4qtirlvV
rC7S3p5iWINV+DABBQpQDaf8TQv96yp2hQ/FGC4yvzZAqlhM+5FO1gXwg3GZWmhDlohJ1HhBpLO7
o5tpbYo4tlEEBO7OalwwWuCm1qUaKFsi5iKkhjachyUgSUhorirX6ljXO+UAHgsr9sg+IdB4qVtC
bZleuugkJddhKCbiNwFp3eaM5d/6SkqWsS6hr23CRGVuvJSsAq9R5DJx64TwpB5370KFz8Uc2bo4
YLV6FLAOmVsAlJqk0N5wntCXT8E7/W5cIOpjM8D31lSYaDOFS8/ZJmch+KxxoLNHlSt6QGmE3jQM
ldedk0As4hnGiTriqTa1YIb3zocED433E1BftwQUgjvKSCXsRZrHz2KQzQo8Ev+oWRvKOopoRByI
bzrdnG+AQ6EjmWHx1EVZtpVum2+BtvnraGIPHlPUs9eEdIm3Ch5U0f6gByt3jsAGsAjaGDOSjzEs
Zk/L4ll31y5cUoBmoaWsa82NiCscOjheEl06QOXBI0tuJA27pOFV60ZHqDeTrH3caOCiRGHLdsao
Tp4kOA3g30A32Y0S+14bGvXlAPOOkIBni0Pij1U6+Vb080hmKlsOG8HRY3ZNi1yr2w46YaU8lJFN
6gfONLl2jIlEHgEpr02N8NcBGpbMQLOstq0LXytI7sErsdIruqK8/YqzpRqtd0apJE+9G7nbPK/o
B1a2srbMGt2CBD4XHBCD88cOoyfWL7z3tz3CCHoR0LUKtzEWIdjBW6MezR9aVqXrvOQBt30z2U88
0UtyPuQaxHD+HvMNZ7SjNg/oYqcnHqTgluzJ4EbGrXufz9Na22yApdVlvnVqw36RFKRy0ZLJfJnS
zcbjN8PBdF9BFyWT6W5S1O69y33lMROlv5wkdsiVo9h/36dEDv7vUeXHDqbRb1RUqdcg85SHwE/G
WwNVwx4Z8tweH6Lveds4CPO7YYPA3Ho22tF87mrFfI6tcrzmS2VvwipUViOjPig3JphJn8n0hKz6
WxFCnNHrnBlwYgzXh6tOdHAIcN9x6A8Rpp3nBR++Jr6wajDbVREWy7ydaLTxIG4Gq1AvBJjdde7G
cpeN0liXtMUgCqomL7Fwx30Lau3Gd2b4CFmByfLwLJPoSRCEYgJNYYdyMTnRcI3OxF9DumW0bcqu
WoAGS25U9tA7G/joi+tjZJM+fVR6hnwMgQdx+ycyrYhGB0pXwUhEFWBkS3UE+2ZN2kyug4qfjMM1
iwLmi9LPbwTzxhUz1zYANVeOTyrxD+hgpz5eT+3YbISGACV1xxhYkYhvDHBEm9aAj2i2GZjJnig6
TfQYZupyuKlEw6db0I3biqpQyH2aMpGsdFhNjNDpEa75NnU7t4ZkTS+3gZEsaRguc+yoD1CH8k3L
gkMNBDP4gvaovKkCmjR1y4wyYK5zNfZaua+IGdgYuqagZUly5aFRVVqmTkYf0DLp5KQdoEg1oHWw
kBZ66OkQ3+N0s1u27ADVaXn6pELjXGclEhHDjbS3Ay/fzGCgM2tX30bX0dvFEBXGQjHnWAkafuuI
AKH9BLf7rk6E2Nu9Oa4dOdY7sC7Q9IyxI0shc20skrKbXe55Y0x3qj3wzisGWsMlEKLhwVRQrQHY
CbvLVirx0ucfvY0NbbaDT5XvYaw0t5FqTAR2++Rts+Ofz+hGhIMOh8IKGTpHOi6OKLvXhwS2jgPV
eipDZSutQtY0Ikf9dcxHBx1AXt0bnUGeShIpF0CVb9tyFKiysZX2sfLuVFJsNDN/MVpoySkYk0tO
A5GXymCUwUdTbxyn7tcFfeOt74MWzqlLLsiHqEkQqXCAUCGGsIytbCnD8RZ5Cp7Uxs5+ilz5CRby
ZtAbxOQD+grqtmqHWkjHRxA99EU4LWuCHj1Wqy0XosOkYMIZA/UOKtl5YdhZL2UM/XyB8sdfOaSN
LxIDJq3qSDDsFrirVJScb17SecUphT3IYSA2lP5VmWNiSLqAVMsoJfwHM3y7naY4fA3azvKSQUPi
MbZDt2ZaVdyXJtnY9MbVita8Hl6EsV3e5nlSvmDsyhd81bPvhH3AawZocy80fPYrAFfJru3Gaa9D
CNqaadh6SphYsKODyrw1nXq6ZdxT36NKStZA4gUMAZr2K3uy7fUgMMT4TOm2qTvFm65K2JKrabQP
Ym2EwSqrN5fJw4XmKgyAk9Ry61VPzG8PRbgdkuSiyd8o77Xvg507V5rbSnVZ61Zx11VxrRDU2Pa3
/jQWOzkCIo2VsNlIBySSnkHIoq2nwO+ta+7iavCtNzM0Kzpo4TTemJqM73JL4sghNe+7XVNfMWQJ
9WvsEvJ7koZiT7M2f0bPofqLKm+NJ3X+QtpaBo4pdEKEHHl7EUaOeRVmjXzOpWHR2636fWoF3UWv
jMlP9GT05UKNm1u00r/tMGH9yhoB283WzB/wdgudVwR7gZbo5mUtIa7atNvhYXa5yV63wR01Itp7
NPDDr0HAa6BOuy68LpTxPemE86IXYjZxTQ4CbNSJ5HnEyxjPGRnC4QRtN8yAerfKQD95rFnJ4jT2
4hIZTsnwltvL13Y/sqtADmkgB9KQgTQl7LUoe1BS0MW5hKTAKs8gU0U04KKsS7TyuTZiY5XYoD8X
KNqrdmVRGaOQsLMH4qqLSzml+q6ugXxTz2cg9A2w2qXTMqls0Kp6bJds5X2UaVsu+traaa3tPEml
yhfsO50tu5ieUWrkPwLMlJd8FNNbSsX4B7O54jGumFWUbTmIbalYcIwjv4qSbVdYvrVAGqqzmZL5
nWlofY4CGYxlUtu4UNq6j/ed3r4HvQPmmfbO5eA6+YVBZfszL1V7icKa+DUluZ6KDukT5nMQGaRS
LAEHF5fIOHva7VUprwG9B9cxxdAixhXdrJnTVFd1YBNhUsf6N97/XxJz2qLlm4b2VtAnNnw57Qkw
b28TNAkrE0vME6pugw+X0NboGv07PJ3FG3aTVzNu+leCM+6nlsiPjbBDJCxQOTGKTqzspTK7mNr0
HmE7ImYiROpvlpo22dK3SXoIW3UzdV0LQjQ0PcUpzG0Y2rBBEhsOZ1K3YheSqOzFsR68QSlF/MtK
iPtGCeCSD+KBrQ7fE0JsXv1MqKsycJ/Nwewv1FLTt/wVfVUNlbw3I5NZsVPfdIUcCT70u003j2e5
bmN85bpTv+1qxpuMwJ1tFaBhp7/CRTF88Sy60HyIuqKGux3xwtYuiek5NdUY2u7GUiwmAqF+yx7k
iQU5uRnKyd5D0SDuq5f2ukxz/0fhEgWb1r3jocKMr+2BYOaFpbCL0Wuq26Eh8zfo+vwb2bEBFa5y
hz5M7pC9Z3d+pNi3AmXkygZTcq2FnfFbC/KcUWKPaADH/97Pw/YGsEt4mVqJdW+WpF8QdoPds/0e
5wpgY5AEGcvtugOVQtN6UO8Q7UKK6gmeKmRSgH800nvJikuLfgZfoS7b1mn7ELQTQimMIHtjVhbJ
vn4N3Vx4cRDyxaIQ3LOQKl5muN0lpZzY9yZcfwgeCfVvkf9uZcwoH+7Nm0E+1PfGkUhGgHmFyVsB
0UO90MrWv4BuEq/olmBeYLj40OrKMC4VV7fc6yitAx3TclUNC6MuSmtT5cPE1iysIbCPdfqQZ8hj
0Qe72xAD9aqkhfUA/ewd2Vu7UCdKlboy6r069T+Fxa7BSnWmkJbFJqkCOj9pEJazyNUQ92iegtd/
z/sPlCSzn+BNQtn3i8CjKkxXtDt+NnoE7FsdfUj4fF/HnmnAYP8QbEHAVl5atXpHDYWAXdAmUlpH
+2m6aX9hFhaK4cqgkQLj5CYA+9Wh4fwdYl2/tVRFv2sG93c1mMpTwKv3qOuiDlfYpcCIkPIwq2pg
xGF5LraqO7R4BzH72nKWg5JbdSbL7nMXlIxXYc35wjPi6Djq0R7wKXeKU3u9Sf+uU2jGRWXBM1lt
2Y9nZ8LIPnV2waSSKakhxMGt/8mtIwZroE4StTcWqH9VorQWUQbyKw3KdPV1h/fUoUgknfGuukX0
6pFcSSXknvajxomFTvAwxCafjLjTrqCYJn9NbP5HoRuGqqNOsk746cGtg+rpk7ZMSyx1TJkrexgR
2ssklYlnE6m89Hl4FxXz7W3R8XD98/PTNUMz6MNZM3z2Y/vainxNV4qo8caEq8g4lK90TcuOPek5
xtOxGcnhrvFCM8IQ4Lc+Kb8SFv+pLJXay8bQQMfgKzGLmxMjGqSjmdL+uC1HjQ5iOoVXLTKcM9d3
7sR/7NRzfJR7JC46M4vhqFM/BmYZqgnKMydTaMDnnCBD18evr+exQHA+SRR3yElnNxljgY/Xc9D4
XEhXrz0pad0KAECoL4ThX6e6OnnTqOP7b108+DVF8teHPvX8GLqNa9tleAPi7OOhXcvEyq0b9dwk
GdelYQHTjedGsFDUtELESQU2YthZf33YU6++YarU5txZKGmzCvGPSY7RoBUlVr32RBWn0BK6R5tQ
Ai+weWpdOE3/iwfWYI1RTfhps7rx4+Ew5qoaugwOR3z6Q6VXWzb/w7ryhXpmldHmC3b8wGBK1E12
4Cw06vEFhXL8171E5tn/bA7P5ui3vwbJs6k0qUakHpEItjOpP5B600zqacV/fXVPPbRgpW1hg6Az
0dt8PN1EGHIiLg4WhQjMOwvAFvJAltivj3JqleMWzuMrlcHncQCzSWxha2YsPYdVoIt9RhHuOOBK
j8sz9+/UCZkIKCGP0JUHvHd0QgMW+xHvh9f3FR6Ovni1neL169M5d4yjRS2yUNzzoa49DX7mZGMd
d7JzquRTDwfPn8bN4fEQnx4ON3bATcvaK6ldr4JW1fd6Aftq6vroJVRYYUixUG8ClPKrEg3hDjrC
uRXt86uHAQh8MvZKbPw8qB+vpWmVraEUbuUFGtomWUh7iU2tukyVGJZs6earf3pdOR7sGyyyFnHd
x+9eNWtiZ5uIl+UDBYo93olQE2dKic/PIpB3bJ0WrV39s9zbDTQ51UlaYYEK2iWwwWhJ7NyliJll
fH06J47EScwyZFuzDFMcPSYuqLtpHJ3CY2kj2EJpLoxRPJR1/PT1cU7cJk1gSdK4V6xc5rxw/7FC
2mWWGG4tCrRy6rpOfyhOuowTLGiVv//6SPrnbyyO6D8OdbRc0KOy53A/0iTRs63M3AxmdZ8kQdnt
SO3s8ulxtKjHLOYfWMZMuvtqTWwBXEyCZSYdYxHT363e0EbLaoMGODCLZG8hYt5LYyCLDAfvlZ+y
DzQr8BuHzBr2VXKd6jKWe9Glw3VftHSwsVTggqXjuAByMJ05UfPYFHD4gjPXA7yEEt86/tilKWA6
N2+5pk0on90sV6+1zvk22nb0I8PWum9nxwqZG99r4tA3Ar4FM2t7ZxMdCeymXGpVmcBXfsx8NkYS
ZkheZN/wmlxNYNgWWZFUKOd6+o2RIUggjQ04530BlbHTxV6JlRa0QmF6zLbRLElHxweTxCtaeOIy
MdEyxAnYo4H1euXC/J1EMKxMvj7u2gl0hX0jvto34ZNo8fUTcOJZg5ykoeDgm0XJf/Ss+cBVqD5G
rkusNJed5ho77vrgBXENZG3wjd77+oCfCx58+Qj5MZtjz8ds/vHhJrau63r07J7rSJOQZywPVVDL
S9so5RZApLwMab0+mATbXnx95BOvL9UcQAEdLc7nPUcdjJ0StnZOwOw4vnR2r8EwLrUH4F7x+9eH
OnGSCDxYjeh18J/j0pG5KPvNsc09qFNMRcj8q2nXtgQLxXm9s5skcpYNA3ZwoTpN+68PfuI8qasM
m1m4yUU+NvGLJGhpO+W5h2ATcnOfP0AmQOoRj/U/LgMInuB9EiiMBDSGowWRHlATkC2ceiAZnscR
oabuDC1vkWH848eUcgPBFMIodh+fIsXLpihaPIspugKcCpNN49WIb/resjc0nn790wto4tnQqG9M
DPXW8WcLxHOZmzgWPGQ1hqeUY14wQ2Sm06RG0py5hp9fQA5GaUNpAM5CP3YrIePVQrvNODPFfAgN
5ZkE01/xYDwEvX2mBpnf5Y/1KYdiW2pzaqz5h8DuP74ryIKjMVcQYmBLWRv0St3CShci7QATzoGP
qX6uGj19RJdS1J0FcOCQP3zJFESRTjEfsdK6fQKhvBjRf9a4PltksgQf6Jf//NZReBM7TtXBEY+e
SAv4AAHNIvGUtt2PaeeZZnIT2eqZw3wuGE180WwNDUdQfRzjPzpHHaKIP+11ij5nhufmrhz4In59
Mp9XEY5Cjgzovhm07BztJwhRHHIAZIlXG3S06PQQO9T+Frl9h6OMgbozATcuzqyS+ucvJUdl4RCW
hdkf/MrHewa8nZC4kGaCaxF13gMe4VtXopQdXKb0cMsAgY4uSXRkqhLtIia3ZOyliq0cqmCXMkfe
YK94mEarAhGcEEBfYvk9lAUkZFgXyOLsR1fvbY/QWOvMrz95Yxx33vxoQGCObwyShDBlspF6dKdz
GP1uvFcG+pxf35jPKyyXCF0lLSVXnwk0Hy9RhqXBzoMi9RA1pwvyHDwV6Icj5Lmq5cQLixOP2pZ1
COPR0a2wMB/lZZWzEA3gABPFD3eDrQ6br8/m1AoE7YU2nMOmnGv38WymWNWHoFUSxEN4fDvBZ4qM
WGLXmvSNSLd/XkWzZ0QmyifDxBx3vEMlHt0GL8wrOib+r/na1ZF9l9X+89dnderlcXjbBZJcNgbH
jzHK61ybCl6eNLKc22T2fGu+RdwHwQh1YDk/ezIsdnQLmzOfqlNrHlpVk7raPbHpoXWqhga+Qy8A
lCtzhZC9YFPGT2U83bNcnznaqQeebY/Ow87O8lOTLOUchU0khIcJMNnCqRF3vU5w79cXUzv1jHAR
hc7nCCfm8YbfbfWhxfyckJ3Tq09RqBYbBcUxsUhGlzKbE/1jrDkF/hzZ3VRjnlxbqTC2oYOmcyLn
lMFyXK60ChIEmSboMVqsKme+pNrJKw8rf34zDYv65+ODXPuNCkQw42szmIwJZPVDk26xRFXW7CLh
PLcD3QlRhgwxciN6Svqu2YFeeQ1RdEz2HNDbZ3g1aFkv7FEpF27IeXx9IU9cR2balKBCGDQXjz+I
qeA3RAPlNq6xX+WkyY1aIqb0U/Qr44+vj3XicmgHjTF8fhrEx2WMro0qxC1Jae9rv1QaDqvMUn80
Y5p7ws3Jb7FseabCOPHSaQSe2VQ0fLE+tfW7Oh0HYmI4vdh6CaNAWeqodphj1NPCgOTyWNV9tUKN
0Xn//Fw1jS4mHSkKxOOV0lRc5IZOU3js1a6Jga3pSqfA6SGLhEnwNDrkMX19xFN3kpKNNoCusfs1
50vxRzHFu0JOsFkVnqIG1XLUOlQJuSHv+srNvMxmI/318U58czhBaihssPRrD2/oH8fL/BqnbsGl
HbqAyYWJa1KtimploIj93xwK+BaeQApGqFEfT60UYPqynC2a5hb5LXxvAn2FtC+iVtPOLF+nnlFY
XzyeJsvKp/Z3hyQun+gMeE3WPrRh8W5ZFcBV7l8UYJIEk/mPN0csYJgudAu8GRXi0W3TBmZt5Bbl
3gTtCS5A/61ua0gRtn3mQCcWZlrqUOoMOs/YOOb7+cf9KicCXVWfLWAaWADnh60zVQ9nHgmDv3FU
0H84xvyM/nEMF85hbOJv9hD0awszisp9YzXWN721SaxLCWqIApX0zL4uV2BsgseirwViIWa1hHck
NP9a1JB5xKQXm+VaMTRtDT0j9SJD1nui6cI73Q2GZT4S4umXar4lr4mxdOKMS2Sw/i60sMFO6jDc
WlqNVjdmfP9tcjPEVrmGu63ImnoLUs532UANwU2cqlSHxZwfnkT1TTiIcKvVzbhLLSSanRFmV51S
dx6wo4eoSJolV3imZdE3XcA+KT3EiXDXelgcfhtaiIWTHqSZAfo1Aub59eU99WzyFcdayOSQOYX+
8eraVQMPzubZRCb8oxrkDycsb0wisIysmBMW/3Zg/Y/zvFNvODU3xR7tewZCR8cD0ZxXRjDmnqzC
ued03evJrpf5meL1c8vPpFfKYIte5hxfc3QYc0hCox7AbyIivyvLaI5QcH5WySND6CsEKYB89deg
zs9smYzTx6VLyxVlc31ckLllVmUlUZVeVozTSziouIRqU7nD6KKmazQz7HEqKyOyPunAOOeIBJU2
ZyGv9G5nofK34l7ZGWqrbDRp5ksfYSgPXLll3skE243fLLL+MBAjBYT5Eqxcqdn0XsS0CjT/Xk+I
encmq1oQjgsGSE4kuMb8HhyE5TueD+02dtJpWw4AqXF08X/PJozMjYzXgnj7J4IVz92KU3fcxhor
XMZw3JD5kv3x/kZqY2V50uWeKn+MTAoXY69uE012Zxb0U2vRH8c5Loy6sstSTNG551ipusQh3y6z
MFx//bqc+iDaAGuYKzBvs4/DitSKOIvKrHOPoRPhWFAg2Iw/F0mIpr4Zz5jOTh6MfiV7Fhd32/Em
wq5ZjPKUd0UJ7Yyd6LTtzHKDAhQttYzOXL5TC4FN25+vBZa9T8VvOo6GHaOi8uq4vtMbgY/fH5+L
tH6XEZqF0D5zJT/lPjmg+ueZNxtYJATieE4zNUDhHJM6LR7SEJeXrsGYrnvYV5a5IoQv9AhLJRS8
dI1vkeqH3hhgagiKKL9yAuKD4E2Nj1h6eaMwIpvTmetx6rHlPhu0kejfMr7++NiSMwXiLqTM6avy
3XCDJzJy7lMDHcnXT9TJ4wAcn7k0wNCOW8VNp4xhiR7PYyda0s2RP/JRgVPS1mc+pKfKVppTiDbU
+b/E0Xto9C4ODrSXnsQzEjZIXPv8rob1HTvaTVpUD1nqnmlUnHqA/zjkccEaT2aKRk/NPKUftkFb
vIMpQtxu7+uiO7PnME49v+xIGZJRPrIXPtoXyd4xy2kQGcuMPr5CUv8NGMNedhAnlrRvg+UcIb8k
3jJfR9XsNVC0WZlZI/pzgSKYNFWe/cppvFbHsYCrDZ9RKGuSGd1i5YDaAk/dOJtB9M6TY7FqLqDV
I5hSmgHA2NzaLPTfaq9jZwEAM5Tqa1y010hx4B5R8kVO15NGYUTrNhv1+xLRNR973TrzNJ26Cu7s
1KXFwXN7PICFBdo0Of4EbyJ7YJITSZeq+WyV1gU9U7J9xv7MAU/d4tmZhVBG0Gw9vuxlrJECQTHk
RSD90MW1kAQOAfYGWEifNB006V+/MAftxFFBiGKGgAid14Vt5tGdDpQRWrqTZp6dTe4y7FsAOyGo
jZysuIuwSNOnUs+IqjdRTh7sAk4o06esneRaIunbEhuNcv3rH3XiulNszBZoF2Pgpy2va49OJnUj
9RKXmOiwHskuDSkbx7iA4VqTiYEu8u3rY35CL7GCokqg6zOv2uC39I9LVDBYU+l3vNHN5CNlBUi2
QZBqbBofdrBLYsqCJwXlpJWu3aAOlyMzGZwXprb6+ocYJ9aw2ReOHENjmwNT+eMPIQwysDMZZfiW
Y4PRyOxriIx0ukNbnVsXXBmxgzpiXWCxIjYkpYlM+jBz1KgOu9ve6NXNOPrqS2hSeOtyUl8oi/Nt
2PNI4ZiCEjIQAYsk/31EjM2S3a0J/QvXaIVNyB+59ODhCOInWrFyggswecZ9YuTDDa8tJrSRF+E5
dFp3n6riu9qOyZmN+anzZwKGB13ME/rjxhHttjhtpMH5Q8K/D5GleQNxYc9kLIebr6/1qUMhvEZr
gBudz8ZcBf1RTTF0qqps/iy5hRGuysqZ3XxDmezdMA2evz7W4b4dv2lz99dg98pn8Hj7nyt2Cisp
YnMA/QE8EANjzF6TqW39EqBDLlLtQitU/1YOen+t60pwB4/KXZpGWm4hH9e7ww/6f3zDGXzDPORk
W/wflMCnIKcrrAM/foZt8y5l8yfG4e9/898YB/dfLE82q5RlGWxQ/sQ4GP+yUDnRRXMstKOHlNB/
cxz0A1QeXQ/ABpMKncri30lO2r/o71Gc/neA6P+F48AReIVYRsH68OuOlhGXEEuYtkrpOVH6O4TU
tkXKTjyiw/b+j6tz+9cj/CVogSPpNAbpoaLs+rTrTUkcMWfamOfoOLawjryWeTEsej9sz3RIPr+v
bK7/i73zWo4cubr1E2EC3twWyhc92SS7bxBsQyDhEyZhnv584MwvdRdHzTO6VihCYsyIhEuzc+1l
3AWtBUODnbf8+5/ma9xp0dzUWQ0NLiMysNevW1WknPfmD7bFv7kQnCeoassCpL8rpxVzkUSkuSaL
KXvN8uw10sRryv/+4zfHZZaYLQ7WwGdn3whOCNwSZ6yxFByCTeBLuWrpcoYZgZb//NUxVll16LrT
fzoHA+NaL2zUVDWeG0VzMeo97lGViYVXmX7wUC4f4dd1DjQCpIwznUVT4/xU56kCC3QiOPbJQLyU
2093Uzw+IsR7rJXyP9gt39fhXMyi1QU9A//Jcz6BRj45c7MiZlJiLukh59unviQBUhMvuo/ZqEAp
vDImdPL//NPRM4Rg+FY2nX86ckowM8R8do9zZHXfw+ZfOQHaWnhx1gfza9mF3r1Q8BeOkdSgzOpf
R/3cp/0E6aWmQ40JSIE4j1hBPbr/Lx7op6ssTd6f5tYSkKE0PNn3WjCi+W7GR1UM5bFs/rtX99OV
zkb9QAxORZ4BAyTvp7U7pi9zhS/G/8f00t/PYzpcvs/I8AIbrtIyVn96qCoqHL+o6oI916zWta40
Ul9qrJlmu5g2AakJayNojC3WAs5eb8ZqneZWgBWVXR6JtQDiHbCPw6oCnmCDj/q3NxdgL42sw2Jt
s+297HWCh3qIZ0Nd1h75sw0pUO6K0HSJXy3/F4JBiw0ujSbpBmjcvFEWt1MTmE+ZZ1YHJ0qjL6rA
X2ooRmcfeVhkVBO65yFlPJPjhVtGO/XkE+CZigGtxBqs62hU91lebigFy3vkofYRDdvwTUas8kbn
cu8I7W6n1K5Og9+qNEw8P6k2k53rX8nw0mi/cT+kl9ovRcRDZ6qrt1UQ19f4sFfrDuYXhz0ritKV
0ecB2gCrC3Yu8t2t1KFCpxJDZAI/tbDQebq5YOEqEJeEZEuY5F+wuCSxQFeJmArdLkG5HCErcs+A
TY92gQsY7Z3qZOgdp0Ei7HZ+UGhE8YH+xIlyTmNMeFvsV/mjO2AIKlur/izdwnyKeHayfRD4fq4L
u5+5J0V2euLVQRda1sRcH10bEb2GFd9jO+BegGdacatpovsS8WpQbcr62u3TV93gm/aol54KX7yO
7RDdd+5cHYZlaUzatjoR6YvdZYNbWMzcDvIEgwp3vIMlah9Y0buQZA+xU3FOlKDjisVxoi+PIoZM
u7J7bOZjqw6uUzcuX12cca4MHGR2xEYDIJra4Purt2Gft/iFYFDhXyQurywTvASQasxO7GQKC1nH
D/6MmA+Ov8i+BEiLV4UcKqKrkpSEBkTEM7ryxs13ApP3+tLoVR2s3SRSz0lUa8HGNFRLfluViXnl
Yvh4gRhjfvKR7Txgzl28ml5SHXnGaYNaMVohOpB7OzWCxwoq/oOFwVEaoiBykEOSbpLR40wUwk8C
rS8aSAbgqMTKrrpozBwcUuq4WqGH1ejgucFjK8lzqm191kLSpAIau4GPNK1e1HXovJJHut2xorVQ
pi8Bx/1tUDKPYJcSySICle9aFY13QxOo55kUtx105I52gNaYYpuiP5g3RClnctW08dCv3DEzvkIu
ab+bM3PL1vBtX+eD035SxCx/jlPbOXlTzhqKj6nDyUqzjmQJCTzcB6GFRsaXcJI4+yJjszyOEcpg
rMdNYvnSV/zjAmJXXOvIjRhb/CqmtTa12MklpE9c4ZyAx3+cLzJavlBvsfXBnMb71MdAERuq6D5V
hIXjYDQmP8o6cPZl5mKH6ibufGEb/XPdTmpHnwBBetAzEObBLxGuidcWpxDiutDutka+Qxb/gzRk
b520430pzX1Xqa+E3opjUbq4fEa1e2Ir9G6TnklJVsC4wQFSXaquCTYEUBJK7nfRyqy97Mk36vmE
cmtbzNgrxvNYd2ExkHmMEDwVxJDnDGpWxfGGCPlpXfZpcG1RVOKyzqzP+hxXPFVHK6vFLmluWN2K
oVM7Y9l3a5vnNov0RbSaf+3T3X3JR0wXLNUZADkDZpB2ZB3HnhEFgzf60gckX+j5VK0V7SVCuWam
UeFLUs7KRRuhNXmzQl2rhQkeTbeG20j8gPMXx2GhbBrWD+wlvNtZ4L5hNs20jjyJl6lj9f4t6vkG
81ZUMaiOGIZ90Mhdrhf9Op1SFjHSnNfuwKUbfFX3AkFgiJJh+JaA39dlTtg3CYmMYHJqGpFfwzut
tsmA9UyCl/11K5e6ujKrU27UDKZBJr1YFYZNU4G3I6IAK0gXn8y3VXdIxOcu840f+sBqpZYx4uiz
cZVFnbhKnTHeqgkAHLsEwlU1rXOwdHK2LVYiIXpPM3SsmRWxq8ZQzW71iTSY4Hr2CLobdY8MT8yA
oHl1rNy53jQQptzyQdVxFPpuWR6juS9u2561R4tZPYaASU98N+88qPqtldLriEslrqzI1L8GRt+d
cMqkHq36az9r833r6mqXJiB+RRBrl10jri1hqWctTdvraUy6yyidn/AlGJ78jBQhf4JPSrKls58D
MeMGLItr9FnRTZ599iQ6d/zzX6t4EYN04hPz+bFRerw3oQDiTlTIsNMtOmgTERZsi/GOxf2r5lT9
yvTY9BZ46KCJJH9EYU5KW8mKoxc+eTO6US8EDTwz/1xksRoBSeMbbDl7Ef3uYtjFvl2GCEXGfg90
aDc7vIpXJk66w6prA/L/pjxnMUs55EmGSBoUIeFK2aEcpB5gIuAtLUk0VutJyblZEYUHOmLFstMx
ABrkYuxifmoLszgO0iqOZFzrBN36/eIs3vbr3gC6zHExJf3aPU2DORYzm0/esP4V3hDdScyI6dhn
KZ4NtlBFchzSwMI3Aqch5R9JRanKVeT2lmeF1OLgRKsZDcBrO6UJTj0qK37UDmwGQ8TeYfS9mqyo
CVcSqhtHxy92ZF2f/AWFwP+n625KlzDLJrVx18CIOk7B95LGxvi+NxSm/Ub7xc/0jECYMb8fUmtE
BG+4+IRSXJNVUXuTOpZ5mq1FrX+1/X5fpyn5D5OFGa8DcmO6zC8WDnXrOKl2aVjlkpjqFeicbHPa
MU9Ni7Q+TIX63O/2poRPNsroJUucDKc7M8PTCCwYIxzjGQxsvOrZo7F2jvGtK22z18Igt+Yrpmv8
Lc49yFuZ0Wo4CI8E9+WadhCjo/skYxasb7bL8m3HVCecluxhNaCHJVOdB95ngDRYbU+O2v2+wH4P
AC1ZaT4lfABB2IIp/Gsx2s44g/Wtnu8xFmW9MQd1if5E92hqUidgAyauJjo1JBbN1BVZgG8eE945
gYXFAgeBjw5q72DW5X5ACGgcQSZ+R0n1YjNmDnA/TWHg8YYFbMaaOnjipcz7u2him/v9G3h3MqQt
A8eHKxnU4wBvZy/AVk4R4wS7V5IirMSoig2K7bgsk+qk2RhR/P5677tiywU9Z4HUYTO94/iUDQWO
7WYL2xx/sMWHolqLtlS4FzbFS4ewaZO1tOhdxx9u3radAYsed5eYg7ElrkkLMVd0XnBcUbsRg6sP
DnbvoV7uD1YJzDMPlcG7Q3mNlgERbJ/tk6Kwj71qi9fKQuq/Grqh1YtVbFNs53nOREpSo7tSxNOv
jIw7rg0KbVKwXihlyqNvEk4xmZw8W1GT7kZGs3OysRy5KGlAYsjcBptOSVGvOgIN9vHC8rewwKs2
tldE92i/7BfLBS9eBfzXztcM75boKzbgaBphZgiRfnnbFcsSZWg4zJn5Eeb/Xgq5vAsqSvidrkMm
0NngiHvk9uxe2b6DdoIPQVutupFO02DZz1Ig5ycaAWE5IShbpyGMDAXIP+XOBhie+uj3cSCmE3Au
xIa5Mbi0ksQ+4Ly9c7S4OtX28NEy8A6x4CoAFcgtUFFBbDg7kvaiV5FLnjCSMIpnFxotXGkCbyUh
JBikZLgJTSmHBwzM1fPv54O5IAW/IAkBJYq14D/Q3t7L0SYjsyHcDTSD2yGO9rlNxI0WRcGXoqc0
bqvBma4DzQkeS3t6zIJJvmq1Q174pHCO7KoyEct623TEn/e+RSJJTTlpZ82e+hsvfxJ/vsvIiLqD
FsGj+xNx+R9e/QFebeErxCD5z3j1p+4l+Rmm/usX/oKpgX6xB2bj8RdZwBLU+S+3YcOw/4BVA9MM
hukiMmWH+DdMrf/LgvgvfJo8VLRwKCWQ7yxjyHT+ic/wGw7402CkycmarLO2wDOh/3je56lkJRKS
JqfLoJy1OQv9oZ6wyybf8ZHV0DpkI1aUoYrj+tQ65GoYE7Ny5AR+M8mSIcch+ASBZLxJ+z7YFMIY
75Jpcm6K2iDYc1Xlo4jwp6Iftpj/FxAso+FO86axlGEfKPCuT0k0BuBqBFwDIseDIg4GS1HtevF/
p2Jj7URqxUmg8l8tChzR7/Fy1Ud1iL3eENEh8kYtPQaeL9V9rXjJ91pZeeYGwzjT3sTpQEI379K2
qJ4jErW5LJEKWOWslrQTam1ivLu7prCLsB9ycRUVRbKTnjlb5E+6ES4iJs6SXWXteahqnc+99nVI
CvHgp3YjieZK0lus2K66sZEHjMTjbVJF/Utg6IIjccEhQGSNCF2d3G7c7mj1hsE4exxuMRSGLxav
YMOR0oGbmZInUkkLKFQkm49XnIKVdiC9fJjWWabF070GH37W13qcQU6P7NoxvZ0p6BLuFDBaJ/eG
joGIIOsBMlY23rm5LprLemyrkq9Q0O0u1P86WD/KTnTTBysCI25x0fjPK8Kl+AZV+qX8eVX465f+
WhV88w86y1RhzGKa11Df/7UqBPofqOcNzByA0+mVuXBb/m9V8P+ASsyC4UKLQBi2bF7/bl7hhYrA
aWlmsI2iuv8HzatzYj5YN34hNtwweqU2lOKzXVKOGmZgeWucytpWnWQZKMS4bxygQ9J0ShhcVTLh
lJVmhjZwCEZORXpRUpPKEdTOC4a0pWkQLYjYABPj1J1RMqLQs9NTbEoNO92oZLeVZUtz/6c3/Tfd
sOXOflrWTCpmOlMLXYRSgvX27M79lpkMM6g5ocgf74yk1EKHg9vFpDydZIEJrOz3F6RUf3dJRJVL
FU+nz+VrnrWxNZFj69lX8cl1g4uq8/ALzBXV5g6qbyxJtZUa07PRCayDay7HsLeVZ+8Dl1Jk68Q4
rLGSEYi8mhVS0BUrD8iq2bHS+qUgVLQqeyCgJbAjN5HO7+yorE4YEyFRBeWlajSyqHFXspHFHDrY
LxBSMZS8a81V410+U5yaxuy84IRatatU+lwqAKCMN40XLTCEg0UMGm4NnNLli3Dc7tq+30Iamy4n
V5gPjWExCAaLYryxOBxN0PfRx3Z4fDY+yGboxWKKN5CUhngDzDve6ImdIz9PYvPBIJ9mXgmv5dnw
F5OftQR34dgduI0R8+0R42qz/myqgf3GrUyZXI9JwR0Fk2MdOAYl46eGjGs4o1IzjQczTYwWXgQ9
yivWT0/but7k1s8maSDJsWtaxl/c5jMAO95Od3NTmg/I5s3xqfaNUftimR1vTrSoxkmxrMbq0NQ+
Z06FJ8GMBxmRXqAJin9b93ivb3DjpaYfZ0mKlIY/VbKkL9FjqPAgTYAuLZ4fsb/zklLUPfYTKIjq
G36dUBsgFolYCv4mf1pvJS9JTDZfwbVpfj8nxBzXe3vWi2LDe7T60BEWr0VoOcjm6BB3dj/NFZ9V
LX4NJ/hbeXKcl0/iLS8nwDmO74fx2imQ7BAkqHaaF2KfNlwmMSaYmq8neImPTF4YNfjjSYy3EYo1
E5MwJ58WyAFdhLeulJlvCOeN17kjjSWccpweiL3rrqhHQWuKFCtQbIR70nXTzrmcpth91JRnXA2q
zm/wd41fTODSPa0k2w+FWXovJZvYU23p6UjiFEM2GYjMU4Pq/DBJl1N+gX/4dDRH1yEQrPKCRw0K
d3drillz147yGDaq8Xi9gyjc5lrvRgdCkBNrJQS2XloG/pC2j7E+OKKtmd/o4fDthMWx4XVKp77+
zI9F+gpDeLwThQ7o6UKiCauYMdISwNKHYGnGA0HjfJ4806S70qKBb0uqV05jBS/4z7wZJpeHOfm8
y+pqiLatrtXtcxs54x3neyaCNnu8YGFCfdxlmNGdHOJ061U0tiCAKqWLkUbmeEM7U+57DBzHCwur
8xiX4p6rAJunM1K3lmYBWfG8FxIiCFbqca89lUlmNg/ZPGvaI276s7zozEZrbqaRoNJtDmAxfJoL
gKVPwtaL7C5SKel1hUZ5EinLOsxqOVbOU8G7BGXiXY76wEE0CGJeBF3pZh/lPsHtNqsKJqFUP1b4
NpAzaqtxi8ky89hVy6ToGpJrVuNAZhuLeWU+iF4jhts3/MR9HnO/N6/TiHQh0qCMrPrmWYNxlbg+
x0kIblxTy+J0xMk3btIvjdGQCLfC0rb7bkV+lz01rBAGnvzR7DTXVVGWrs9pR4uCjZfj+7sxM4iP
K8rj9NhKj2/e5Y1xlXazNT75fSSzH45Xmiao9CRjTHl1ZZrXBfvPLFdmj8vnISpNHy/sqnJ1/ZCY
FqghpTYdPw3RBbneM+oLEftXJdyoZ0f10WIYfO+h3hlCo6j6TySzaxucsJM1A6MNrT5ODlYeRGta
dYIiS0CLNCxjItjBK5w9WLC7iB1SqQkaa4BPW+o2t0zpTE5RySJTHera1x9bpzZDq9C/aIC/q67E
1yKbSix2k2H097hrxl/zNvJ+jDGuWqXRlNe4yV30QyOnTZY34y3+TPEXx1LlpmCTWnMQtO5ow5df
DDsptmZJaYjst8BJrfOamyDG0tirM/AKIgHyS1HH+Sczbb1VoLfddtY6QEE1oiLBAxhX1KG+Vvlc
XDhgnpueKLFblvX6Sxr0yb2y85vB08d010i8HuWEJZ/OSXSnRCXu49bNPyHRa+Nt05WkwLKBrfNM
zsdcC7ItrjdipfA7WJLGwHOxsa8e2HTq59Ip6mSdzm259YVePSWuu7xaLPkIKnH6MnS9fryq3dFa
xWCzONJ67atovGad97a9NxcFJyEI5hX2uJ69TnSnxFR0ohxYt42paNEU1c7P5bT0va3qsPj2bmPH
uE2jqt7plNVrLAbrZxKzwKMJKXcPJYiM2kyF11/Jzo7ugzpxd1o7Z/g9ws3FMGT2Yf657pWWdPLE
gj3tobxPh0EzAuir2bCZ2ga7XNPuQ9lPKYForfughJq/63qengI/mE9N2QQfOdydAY2URGgX+c8b
6ofm9AzakVVh+cRJ4Gfe1QCs5dLoGSw2IVujSUTScHWKmOX739dFZ7SJt6suvD4Uynjeoaz9FW20
oznxksEJjpKMqM9E0LMw1J1JjfH765xxDN6ug8wVHTTV3sKD+vU6Kqncvg3i6GjTOWNN1RvW7HKs
PztjxILxzy+2kEB4nWgWofP8ejGDOazFFIFHP6ePVS1xcG+MIU1wBv79pd4XsqCmHNKpxXUYsefU
GhkHXo3XPCab7mRclUvMmAPtnd5AV53ahZf9j69ncA4xGCZ49zn+Gc0FLTDTNi+c4zwm0eOfW1CJ
nZ4InXLps7YC67APXufyun4t1nm4hcIPLsLHOy/WpyK2u6Dp7CMhflRX2NhR/LCgsgOXI30WGgX8
VqgVip91ulzjPx6kUAMc3rOOWMF0zinmVWmTtZJn7rHvxWJYRlLZaABs/P7Vvp8KXAU2bYAlAOfy
c+A9j8yhjETrHmOy8PaTIH3O8z9kr//dVThQ+ri6AHC+Q3DdzjKlo/Esb1wsV9BTxoXgvxgmJGYB
HPmcdjhung2TTMIXwUDcOZoR+YhwnhkUahpg6UDyMq66elTzB0e69+sXazprGI+F5pTL/jrpSqGi
achd+6hVkfts9CTWzLqiFOnRSG1KIhxNAitmhsjvP9v7lQVqMiQ67GuQfr+bETheCH0GaDlmC8IV
VayTnQuFbk4Jzfz9pf7mERkckB2pwZEBnC+WHnZ5XKowCfxbIuYKozrNLZyJ3F5aYssJblxGze8v
+nfPhyrJR5Hq/I1rjiKG1ErIIDvmLsS2cgH9ct0HAdOXw8/vr/WGq/861QPQCbQctgcg936mLUQM
nfUE/kZLRmBqFA46V0/P72o1N1dVCpuPdgdl8jhQ18EGmNorJdUYbWlL2BwuKigMhMZ+R+9jUXXO
JYwgP3Prjwwa3i+86NMsZFKsSC4AzdmGUgpnEOTQM8ILmlqhiEiVTEeN/RJvDYZaGlDWf/B23s/d
xVyDupLmBJTUc6JcnIOXROxxR83XqHVH3+L8gAll991vDLbMpI6W8Z4K40r2ufxMsuJsrC0RjHey
NWWOQXU/yy1Vkth1BAYn69/f4N+9k4VLDXPV4tu9dTZ+IvLpsiWI02fWF7NP0a076Rcjhr6Dv1Ip
VoPUP4Jx3o1NaMbLbADKYYjiffTrnJeiXYp+jPuVHeE1rxOLvXrDndnZOY3//un+7mLgRrhU4dnz
3gYUfleAJQC5HyOy75u0JE1Db31OOY5ec0r6/cXefWqejG6AbeiIXFjOzF+frMg0o24jfSK2xeFg
GYuOkcVE5JT4+wud+wJBjme5XIoHGM5s6eeVEcE0YnRrb6CCaJL2RucM14ea33YohxFgtqc6VSAh
dmxDfgPXxqK3JtKG7tKyDVYSQF9k4ATawGEJBgJZybMHqUXXXKAsUC9rq+OvxfFcZhyO39KkurIK
quKDxeP991ncZ+jUsq9BBz8vhQQxGbVXtO3RnCG1DLSRT4Qzi12sk5D4+5f2bqBjdMMYsGkOAum9
a1l3sW52aiSxtqFvQgpsyvNj2hBssHaqTkvE0Uf44VkNZLOtQZ5e5Da+gSTh/CuVc0HmRuPYRxcT
lB8YkahjY0fB4xsg4notqI6cc+dTNY7mBxuAeT5E7IW2DX3b4spLG9yxfh2Mdg7rCfJdejQMkKR5
rae+i9fAhB+uZYboRv2v5NNn9lpVMFCughh+Fpkfsdib3QS9C2f06U7vC1DEOVvwGokLJgeLvuHn
t+DXpnDbdNfz9288ci1L/hIBb/sAkiLclYw4sFsnbSEeLcOLqEWqh6lrSJBRDblfK9NtsSoYRqCx
NoJRcsoAjiB1SRUv8ih4KZc4pWfNWjey4nYAbbhq3E7bjcSL3eBdps07MiZgnKiunHGPkKZOIEOq
E63gOT2Be3ZTX3SZ7RnwX7GAWFcoADlAz+JIFoARkuPsEP/WG4nEUb6XOM+CfetqqF6sOV10FiTV
AR71tZEb34eGYK2LVEuZL8FYL2DoRND9jZpGfvY0CcHVJf4FRVtDuMweXyVORaWc+bez9P4qPlUW
gbwE+VLXyJq5lpS5M72CloshzIx4IbtPzRhkh9jXxruaAJ/kBupiTshDLFV328IILNZwDJndlVHU
2V01w3FbN31nyC0ckfEuw7zvInbdKruDmdR+JxSLpxigoM0/LLfs7ctGGgsUNZBVsCKxnF/k0Z0X
Z+B272ukDpA3zNS+ULxNBaLRg82JjGjDrVtPXB4cBOSqmxOAcL+YXGsDo5m/2MONhSY6WOVBjmmv
3Y9Em82hzGZ2rUCHSyRJhbNa87oclNPdGYJglHXGcEluOK+SImRM3lCHcIrtg1JNS3gRScxaONcl
yeeuuXhbzDEjqCwVBwnTG4R3YavIGA4JAZAR+6oBx65qcjAtH4/HeTeiIzRXEDZAGaEEjc2DUTpN
viPpkAGG+JGQBU007A1vdQCYPaOPHHaghsSlL380XM+aTjhUjzg3E+kyvgbdHN34s4Lr/gbBOXnP
zVjJaDzYqem8iChJok1LXCPiibdp5S48XgK0rMPgWan/UmLEQ6CMgwGfMRoJvAh2RYmkELZV2LgO
o0j67sKAzR3eq9kumLmVtv1X5AqD2r71av9szWBZ+xI51lJIxDa1nV95UM+NdEFiG+D5VY0Zz34k
Pm6m/8j257k9IGMCduVdOETazatMF2O6JXFIb0+QD5mmRa3RacgnmxdrR8q2tmlgxuK2LSU3Yuhg
J9s6N1sCLAw5fulHz9IUQI+TZXd+hevWpTPmxoObpqUdEgUpph++Ridjg4LEtG8nowYFTiZqY1xo
jcEr2I9pAyQVIWjA4OvAppsDV9zuLO+JwjzDDd1pugpaRy5UraWrKILJFbKEO+kxb1rQ+ikHlNyC
oM0+kAQU2GOh68TEECM1dj4A2dyrdPhzx/8fc+KDPikeLMtW/Z/7pPuX4UWIn7ukf/3K/3EnHPsP
TuacGxD6IKT7qUuKY9Ufpr1odBm7HBMs2Hx/dUlNEx2fQf1OIrMNecOngfpXl9Tw/0DmxUmO/RaX
GLya/0mX1Pl164aysRyC6dKiWqage6eHww4in1MnNu/btq77VT0X0CeVwX2Sqwo/v7bj5jZhFn+D
7m0+JEmm3ZmBnHYlQ7cOc+E7Yd6SDrXS8f5Za64RdoFWb5xREYvylpjmktQcg8ZW4iaF7g9WXdP3
qRIy6HsUN5vaoLdpajRWiGAZ1iLNJpJep+xuTokRDGKvJcFJ638sHA8ceezBvtZG4tnHMocrgFfK
8ILuZHrxLDjs6zjhtbFGKJYE2IjkXOa6JB5Wq7/2ZpK+dPEw3WhY82Ebm06fJ/qsYVDHmYet5dz9
UE1sQG3P7UOMV/ZtnLi3RqfhHVTlrfmJRNI5++Bc8iYL//ex8u0TuHS7+arwOuk0nJE6CyyP0oXt
dD83FrGdVo9G3Bypq4NqRGwEJNJ5K2EWwU3l1eZFiciB1Q5DeicUGWTqOYE7j4dtdQiY+lhDE91m
9nb1nXpIeyql08JqwerdEWl62TudkazeFPh5Hvm7OEGR07dWde37zacuh4Hv1MOFR1nyYCbmzkuC
76l05defJsnftLgJFP8ZNuOhbezy+BJwimh2vwNEaiwj4kivy3u7KqLPxvL1sXAznjnLjjcaCOih
T4mmLNKh29hJSc+j0Lp525Jcejn2o/61pm1PD5i66jouCY8cKsu5jyZ+kpZp/oDWQ69RM4dr3JeN
C0jVbKl+9BjblKCBEPljxt4cwuzU96LE4TrRGm2XKctdT1XTbehnMqatTlcnfba+l25/gZO+sX9j
P05+03YrxAdrbPWyzeiQpK3XQbJ1xOe8xv7TtqvhG9wklvHOGr7VDWqvN9lI0xmK3KKE8FnVbztB
U49JmV15SmMyYdG8z6zveiFSLIhoiFM0pDMCJLKaOcRjc7wW7J+rykMGpM9Q+UntQbNYluMdnCRX
0ngR6WWRWPJi8nPzaaJf/oMeAYqQcmjYvHFflXv4O8a2RKC0p8ATp7zr9MtoaWj7i3TGyWhgruhE
09eTyZzupyZJA7REsXmHBor41c7ghZpQhcSMpcLgLHNTy+bbQg3tk520ZMrFWXxh24SC6hxHP7AW
OVuzOLvDjXCXs+fiuohM9KziN2PixWPlaXdJpxN+vIS0akZLgOw4oOPwegTvwTJ2GlLFBhPD2rZr
awKPhin5nkL3ouliRkdY9vLJk3a9zpNcpw6pn8fAztayd4tPheSvZKrBqjhVVrnL+fYXVUSYnN7R
UKKBC1hYVObdqDckMHrI8UI0dtOlnZBhynI1bRVRNsuCWmXHxqk7Y+N0mknqei/5m6MiHJNU6tu3
YVunMgjfomghCRgXKA+i1yr39WefGOGnIDXap1Kb5ZVoRZOuaCtRBhCLLL6WeraTVaNRko60slZW
37s7e+Ics8n8BNEMbn3TB8fLcwoor99i3wEC5iC3mB4sU/snIGWQkOLjuYnuzKZ2tXUHHE8tL7X7
dA6my8ZAWRrSBNce0klAVkOcHNSXY1Mm2NHpgu3FYg6iv8hJFvAzVb9kysWUPJBDHYc1GZ6fG3vi
YXQStA+SBu1HoMIZh3V5AKB6bgu3TkCy8xNjOWdtY1D+3uUuHiRjaoxXaOTirXQjBEJtyToTyYH1
grwBFBoJ6b2uX9YveqQ7J2Nwo1fmHmYe5sQJCg+vC3cYs2NiEvm1lbkfPeSe5ICXlDF5x79fN9/0
6f/eLJaxD+mWoxxGglibwLo/e/lFI5rZHpy7qieodTW0bfTKaI58CLToFYnsnC9TiObXubdEkCKk
FqRzlu7Br4U6VggVwyEwG7zvhubwFgncuUWwCwbUM2Ej+/Iad0Rx4UGeuBkIn6dl3g7tq2Kb4BMJ
+2sbDf1Bn2eismmCjje9PWTkDiuUQzUnLxqNKAC6vo+ezMQgO8nX/GMrpLmJgAy3eWvhS5sn42fa
JfOuGVR0ECSfY/HslT6NRXP8YbxFqpqFTVZnW5vGZrbqYGtV2VeDVn+bWCU5QVldH3JORJ9L4J4D
NQHchGXqRZzKvzeRlqiNm/EPYRJFtIMa844yfurXBXSuMICg812v23mb6kn0mZGnftg5BoITd3/I
Uy86op+bLxfVoViR/GbeYVmnryazyB70ejFxtKUrnr0i/WZVRXWQcTIeEOi2YUNrNtTs3LxIxqFd
46Y8XqXGzF7y+4FAkfjLDspIwL6SmmFplryVg2dlA2t10bcQJe+S3CCTbQKZHldva3M+jHI3RWSv
esR5i1UyJ/GWUqx+cTFzuZ2x780IhWwPiSZRAeYkIkmB/+VqKnSRhUpLkSHFcbntZLZMV/TkXzGJ
yz+x/HdfzcFWP3rh2doaF+nCW7eJjxigpBy7VGXnbEgsnBgHdmnBz7HyKN/mRlTppEkU/d6PtXE9
zTV6Irv4BDsU9gXp9TSxNVPsljDpWzDHiV5dr/ffpcO2wvhKkNXhekosYksCKjHYXi6WknP5rvUg
uieYUHsaR4igoWPNG6wrnoy6LtdW5Vv0U6ekWLVwoHbIvRisKZmOIflb3jcY9sW6USo74kmlIzHL
J23lWrPczdJMqkuT0KEghESVPLIPiMdWS/N8Ndco91aVKNKnlvYnka6ZdOM94kF9DAuL1QAThjr5
ruFPc6epYSlwUIYfdX9kq2oLd93MS3/CSlAodTDFdB43Y8nLq5YX1Q4NP5O8zrY9Jea8KO9a24a8
axCrgIH5gThmdp3ZSK2vpJSJKYwNt85OGuwYyp9guo0xicM3HereV1z4WFc7iQXTxMquhxqH2YvY
GbIjvKzMXxJD3rQzGBKTYmI9E8ZJUsSk9/NtWgYRFtZeOt411Jb7TisDGHDokF5NN/MPfj9rm7wv
iOH03QjF7f9j70x25FbSLP0qhd7zgvPQQG1I+jzEHCHFhghJIZJG0kjjTD59f65UZmVedHZWLnpX
wN0Ikq483Olm/3DOd/R2nTaEbZAG3uFnjtw28cKpZdDBvIsq8yb+j/vAKbTQaRId895a/vQAova1
YkztULYm4VR4Miox+V89j7GQiZct4jIIeGcI7Xr49UX6n872X3S2N/cYF+M/72yfSMTN/iP6aOsy
lx9/3+H+/qu/O1zP/wM+N+AWyF+3/pbJ9/TZ9f/5v2Bx/3EbyN7U+b/0wfzO7/7Wcv6AhGOgrLAw
BZlYAf7W31rmH0BtoKawA/5tNvg3VMDOr7Xj312Yt0gBvAvcmZgXKBj/vB4nDJ5gSpFzeKD0mzZB
VlhTJCXx9ZlUzdaVNy2LTIX/EPAwjkzQZH6dXJAGY5n51JOYF59FkltvbkfydO2a8omZXPIe2MZ8
36wWwy9vWp19g6w0QX5kOKecZjf2CkarzJ8Lsn17bRZ0seQpWme/1LJrYdS0diX3+5GlV6k2KshT
5G0LyeNRwXwRiN0o5E8IxajOyHO3twUrxDuu1Pm+yBI70up51Da6YoPVJousQj4CKWKN0NbsMM5d
E4411DMTq2zDvUoDMrALPE54og/BnIPdm0s1ftUrXlRMudJ/8q/QnLS2DAzAOOivmCwq7NueWwK6
WOjZ50S6bVS4PfdHrk3OPtdRD24smqWfOR/4nvzf+d6Vzm1qvObJj9V1sJAXBn1Bs2r05Qmv7A0F
GQXtpBePQUHfl9ya+WlI5HPT+fVd37XjcprVnDqxPZjE1SaZR/4D97NBOqmhOCGRJvoPc8HrUm7D
GymMJKkQ1uXJHEIOvHm414b1nu/fJ2UNNHdeW92IE5DaMia3tMbEW3Whs3INNfivC0MF906X5dlZ
MC3Zd7x/25Gdybl0c+6CLJvO2RCY2zkbmVPmjqyfDEP5D5rN0wIPo4oCcN/7ClN/BDXbeL6lrVPZ
8OmQ4oyyfPDqu6JVo/a03rghrieMIxaqKVJlMdgxQ1qnI42l6vmZDWtLca++TVAxvrZDbb41+mIz
jl8VUA0ndVgga5W/Ia665+BFOfkwN2kWLosdPJltnj7M1jqnm2BugX85o/VuouPskDBqjhn3mTZ9
+GvhE6BuMOBpCO3bDoueHu1ZyByAiOrXwzAs5rLLk0E7mwlXWDSZBGBbDIdlFnYWgdRwmAv237gx
h0cEOU5xzqw5uG+w/uEwbF33RRoL2dydpk9pZJW2puO9EzV8W9doV2uXzoseJCGSGGw7ocYbgbDE
yWv/qxrJsNIgACm2xq6V8Plo0xjS1Q1q2vggLrcpyxZz2Cc0P/2xd5tBP5RKLfmb2XRBf0TV5dDz
8vh8QaypPS10v5FZJBevqsZTPvbdG0byaxJY6Zn7Kw++C0cTIwN0lhC2dkwr3ZOxZ5b6C+u8nE53
oSGBW7dJQE5vdZdf9pZeHtSaTq95b+axFlAvdCIjkqvpHwXrFqTMyGnR3RIbEhY8Q6+uC5lvz9db
e5YIIXd1y/gJlaxVNRGGiobhl6lit8DCr6EzS384ktewXxhcD0RymkO8sFE/IYkWh3rQnXgJJIsR
/9yLLjkQ+dpFgV/PxxuYeuPNOXroHjewqucdqY/aD2flpMFbEKmEjYFviN2Sm3RvTe9dO9Ku+5Wk
YWY/O78XzqvR0pZhjRpYBwz13eTrj9QHJoJmwpO1Lsji1FZIZ8qk4ahw8fTILuqEI0+6bLpPsXhX
fTWTr6otpj2E4/JJoj25EyziwHlDiLXLbrw3BhCJCs11OOXZsrPd9Zorf9mVtn5L1u7KLaZDXNqo
F+BrIPvM27Zu4sJfv9aJ50RYku7Wpr0A9EqixmS0Ulh1u0M6SrS1q+kXUtCnO7ejF8u7+lvAabuT
ueFv8mRJtsx6RCQTpwNKaiqgoST5leOoHQV2MPgtC6nlCFPr3OwgOmc5QIYF+Eow1Ix26vZtEmra
61Xav4ihJVgBS8Aubeefww2nAoVh2fQtpIrRMJN3q3Cg8MwJijtXIOoONbCph8GtJ9KRKuyTEl3S
NghaqiUgKPmOutM++gl8h1kDTDE0Gble6w0xVHWIJBy74qlwV+8KRUQSDlisudj4Ku8fg04lrwFk
a4wJ0K2ZLWfXFTrYNyAudRGuc158abyy2hoDGQJJbvrbqgPQU6+MbZsp0d+ghBC2N6JTrYmNuEof
OMWiiMSsrOrG4BjkpXNn7Q6f/6uXqkqPjEAN27Rb3WtrJkTkDnNfGEcHB+45KCryLVLpqKjs88GL
CtOq8UKQuYf7oFpCp7drDAKGBTeCIQvbwFtWeXNTmdVMKT2Gz0etTcu4bdIhVNqgvfaN3r3xxEkV
58PUnHSrfXQTUT/Ma69fLewMsU/YG7YFHgN72uoz7RlLKKS1ZpuEY2drB6pT8Wl1dvVJrV2BvLFu
PoU+mUC72O5ylB43diQW5cSukxsvdTaMj1lQ+D9mf0g3TaD8s0rMdy0Yfua5TL8wZ0d4vEhIK7bz
IsEWXPhOkeFnFSNjdc65dVHJS9rau9kS77AXvuO8dnZrbffhmoDbtPLlyzIuAdrw2ow9r/1QFWLq
0dIPBSPzTWuYzSda4TEshFYzxLbEfoQaVEfmutiblTL8vuzcFlv6VDxIw73KtJfnam2HDdADfQmZ
n+V9NGUtOeudUa3XdCFvt6m6H4PInkEs3AxVEYYXywgnklb2niHW2El0tprB7XAtHHUrZhT9ut12
aJI1a5OhDvwwi+JZM906tpDTvGemh5ci973P1mgfh9H4mVQKUkGuokDzvsrS0GPl9DgyC907Bkuy
nht9YJhmqa91ukLbCIbjRP/O2dk0m1GqgnX5aAGoXqqDNTYH57ZeFq7xkk9LcS555kOZu7flWBfs
TNFnuANQdY+AnOt+frLXrMPGgUirHJ0IQNL6o8fsGvXWUD8xXQWS2q2810llLTGc73HjsOkOF9lV
W0ISq7DV/O9Jan4xUOd/1ZVj3cF2w8fhOw/KADhhOt+BdRiHfB26TZPlzamRKO4GZX561RRRF/zo
YA1l8cBLigzZTXu/wWLZ2Y0NBRlmy+i72Y6KxXtkhJjSm09iq1M93mFGSe7bpD62fOhQwHfE4Vyz
hT7W8RoeUYg58YICPGb+ZlytRrzMReM+Jjd3JR2yM4R4NuvHIRvqSAC18EaXnw44ic2VftZU58ad
u772giacYlMZ8g7cCFCVKbhZZH/iDN0rk/1lpul3+Evu1hKZa9Yz8UB0L5rqvS1RF6zd/Dx1w31j
9Hc0ixeqtTzif7zwvce+uixDQQ04pNEi+Jo7fpmNsWPlDvt5zGlnKXz/7FZKRpnbhubigafVEHXc
m60s/qJo/Z/G7180flAJbn7Mf974XT+/tR9d8Q8t3++/9LvlC5w/6AFva5v/8nf+7vlwKOMVR19O
XhNpZbfk5N89n23h/UYuRs7EL/nk3zs/9X9nhwl//0+jMNandJM2XzZsnjd95j8ORUtr0PQlycYz
xzf+6MtatBCrWZ3ZSizyjAvLXprqgAg3+8wGDX1DkRfTs+O37qFb++SprPxkDSUv/za/du9MdiXn
GS2AHfYIehAm8KBSG7baFlnN8MXuqgrbIGHi8UgtsA16P7+aSB6jwmnTPkQCdNtrZl3k0Ddd+7Ry
YNrpaquPfnVfFLq876dpeAwAbuGwRmDz2i7TdLy5GYaQ3Z/8oqsJJ56eaQhokBo80oxWj2Q5v7p+
sR46bIA7z/DSe1c566NulO3jzVqzpTJ379aknzfaZHFUN8EaYXdiqucaM5s0m21qXqjyecjF/MF8
hQjjrk4YaK5YHoGqdPdofLM3VRXDEuk1AVpWOprbIPPwETkqe3RmV2xG3R7Z6epyPresCs++6l6q
kjDkkMm116JVQnsFeGl9lj1fed2Yv2HG57KwxqJDfTfmZ5VLUYSSXvCdWetElcpn+FIWorr605hR
AGfrEWM7QowMlnZcjr53U3ZAnhJMNe/NoGO8XKZ3UyHElhFVEa+ZIzhtgmCvYzs/z5kczlIzIGEY
FVasHpPZ09JTpRQoj8jTLcw7HzzbfjGVvHhKn852J5c9WHvrQ9hWfRSB0T8B/CgZ6xVasZFm0xPY
m5n+oWrs4YIqROes9LQYR4p8gLBmPfWL3X9FjF3+XMxOfzbHIb9V9PKu6hztauUeJh29/8J7xU5K
zTK4B7ZWfbHafNwaPjNLyS294d5DjqizetAITvmhGPTfGX2DMmvu5wiIE0Q3wYODRVMLgu+WRfkZ
qdaAP6CtFuZCQhyKje3K7EF2ow5FNVA9+vaK2GC9Hrc+atgQd8jHaI7+6Zc1A29fc7VbI40GqVfM
Y1e8hV06b2cDoOdmJO7q3LCsJlyo8fc6JJlPweDkns2n5JlK17vCEU0D7irRvvu15VdhktJihmpy
yznEHzKcuJ49zq8sO4IVKEMmJiK+iVu+5Ealv7WzmM8uQ4FNZnfDJfcaZ0aWpcaHlo3TV0U75YRa
2cynhvvomW2dc+crO2z9Jt2Noyfvc9xfj+aYmZvCsXpAUCNZADyT0gudWqEByjBgxm7Xe4xoJ6lN
0Izd5GAJkRxI5GkpKURXhr4yaE8ShhAgAdukeuUYae4XWa57yUx1Mw6VwwSk0S9ki8tpBzCRkDeV
05Nni7qr0iq9azPbjF3lWu/IFALke4yA3zpmGWlI8bg8uW5hse+SJXNaYWR7h1BshkEjhXylQe9i
Dq+ccSubRceTiMQ/0hxgi1etuFXcBsMrJjM1wx1bqYSTJG/WeK3qH5RVuh+yxJwv1upRW+eFkxfY
S0ftNR07OD4Cm0cSlRppz1ZuCDBnAgzgdp7VCnLMb+YH+l7jre0SOURpw5pPbUuX4Ij5wkjPp60E
UlYN2M1auHBVQJbPwjp/AxK405+SjsmB+5J6FW1wz4h73Nc3x4U8ro3ZaWvU+6Kam9gezWJ6asWc
+t/ttEgyLn20GpPzUqFfAh/vN0z0t2Sq9uLH4jWNUQD5pCfl4uJy+5864F/VAQyAuUj/eR1wyaX8
7Or+HwuBv/yt34WAH/yBg4ZbnkrgRmrW0Ur9LgQC7xeKnDrgF+aBwfB/VQLBHwS8ARFiA35zpfzd
9JciwSaXzYHiShjVr/rh35j+3raifyoNAsNDKuVhz+IFknT8JxG+BQOpIrhJP0ldqzM1RIbNzno2
ZLLPe2NuNoVt9XW40E6025kwMmtDKKP1Oc8lN2W15hIL/dJdZhB1QR0q9Cdv81ra9qsRIByPp874
lvpm+lIx4ovy1HXeRtvuL0pP+/uVwIRkm9cIrIBNaN4lnfhNruI5aHaayAjZ7YU8cXdBl5mdh7Lt
rW/aZCfLCaP97OMdM/vzKAJbvlhFMnjnblWrHg2lOw1A8Spr+CF+cSnMbsb2f1uyCfqmpSOumtVd
bLW6xbfKGr5Cz5zYDw5jpV0KCu6bzJlss23BZ/tENEjlRhYNQrFpyiR/MTjFwhRr/xq1ucA5arsM
HQlnUU8uM9lD5/XZzpzFjxLLwSb3cop8XeX0LziWd8LMn5fCKu5dNqlizx+xLguATubgs5XvexIL
W/prx9r0hvYxs6YNGWhV04FWAg2sDCzG4WYAntKnPcCDqZzNioPm0dBL5zIGWO2NfvCMwxAECkPT
GiSva+V7T43nJM9tv3A9w5y2tFh0jVOeys5GdOq1ifgyTm3GjWoygaBM5T1oxlANszy6QV2e+obS
RQ7VxM7cxeCAhXmZTv3Qp36kpU228XJ3fVQytXN9l6RsowuDMrOndgvNfiJdZFqZGvrLmEV2osTW
X5Jkj8LJ/MKiYKloj7T1OSi9kroynWiPGYr65SspkoN8SZFaePpmQD48a5upL4Ou22H7XnQ2tanD
iL8SJVOID2YsbconVxroeUrARXSBpmrs6wo1klM4AZsMBZd6d330s8Rl6WFD4CzqSTC6bqn1OJDp
sIIegG3f+WG5alYedo45bco1GaN29olX1rzngssS7s4hHdqLs/giXKc19PL6aqsVBJJT7IjwS46s
OrYS0f2LpmXMng0vbPlntuk692E1Ll8NfUKH5+XJNhmXJ4zC3UG1ZIGtrhJnVWn6oXHsYtsnyjwG
xIeETKa7TafREFf2nB9tXHLbiS3zSSuX9aArvpqmW5ovwWK+y963I2WkdKFZr0EBFeO2ll7PEJiq
6IDg/FuLUPrY5nZ6Upiu43Wt9A16hh1kAOY0zbC114b3R2OSVGkySpUWaKApRRalWfbJ0PQLAGoR
BhirSQrQVxh3LfNz9lhTDOktPUtnJnksX5qdInC3z7UuNOrcCEfTSSK7FcY9r16cBDJEpm14mA8M
UofP5sbE9TOLN4cv2141I7xutL8yXXsuTXWQk/OkrPKx8PPzaiRI7gc9Eub6nLv9rta74Miw9rEL
8gMeDDP29QVkFO9+6maRP9ovnVI7f5kvwtRmtHLDvG2bst+MyUrsS2K/sunG+iSrLjaq8pOJK023
nFwQ5tnwlNO/UwgZUdC7XaggZsxL7l/shrU0Nzgmea7jkG7NftAHeOIVGp/IC8aJZ6shaIjPw90h
6e4iLQvY/Lfl9xUCVoh/ITi6HJfHoQUGMCeWuGZBL/YA4bKYb8VNdqkeRtFtGJDG/lrL6+zb4qO8
nWbFkHiMm5lhnJrGtB9zU7nHurnNegyBWhu1EVzY7IuudSi1zfln1lfGHhEp7osc6RWJ1+RIwmQ4
guizNh3H+gMavSZMVzc4FMJ7TNz2AcKHvuWY8E+10CYv6lh6vXGuDLE5eskYNlYvrsIcxkj1Rb/T
+aC2OgUmZn0ne7TmObi0s/64sp2IbVF97VLTjKANQLittlJRpRML7IWr7B47F+HLjdlJGIXYCquw
eHm1/ZHZ+bWwMm4HlURgqRn9iv65hPm8Nas1eZqK6dJoqmWm2YsXiD0vThowk9HGj24NvripeTAH
x+U5HhrSLKnAM3Paoi041K7YBaZIeBeVfTWNVO0mv/0u6VU3TrvSn/Xmc0OgPQ9wgUm7ysrx5KiJ
gZNhPQ5Bw6gte6V7WhFxrRud4LeQk3YDovzdDiaoErYTFbeztNH8e7+zdh3N5uPMR0d9OZJcyzHq
vxdJanwpHR81hOXxVdNszDjeeAEDu4H/dcT402+dUZmn1hV+qMaGySHRyVlULKW/g7q7HrK63xMi
dRzzpNj18MKiFPUxFAYa9booo5WVHxsyO8DxYg/2d1vj8wp7mJnXZdXthwyVESafVl3KAX73Mo31
BhlT9q2ZXZud13Cec3UTT5Yvhj3uZVJfgnHlYhUBWPS2fxqxeMKWrL6Ps9wH/vJFeEW5Gfl5YKLU
RYTwOz+Ni3WAo2NskSj5ZpQ6znqdHcLYwPyqJh4wmJyc3Em3TFKXsBtS62tSD82jhSNIhhrciWbj
F5xMY2XJ+1Qb4c/WbeZGPfdak5OxuNSOiInybbZyaIazmcoEgI2JL2MA5JZY2gtbv9v1PKVx7QZs
HpzrRGrJKxwaeaenzTjH9lLaUGKXVQyPUmj+IeiK9TiP1os96803IlK1dJ9UYF+2jjdZ9PKlQWYu
Wtdl3HPPmpuxD75XGiudzIMIbE/9Y+fIe9osDW+M9lAt2XBHMMlb11rtdpjd+qhW983vSKFjIXE0
Nbg+eDLH2JSleud4tfcTbOAPsRrtBsRTe7BmNJSiHrOdy2Y29P2moDO3+WG78WuQEsUodV+7pICY
XgH6TyFZcv5PlxjxeIBQEjqZVX7Uvrc8eZMGI2fwv7KVaRjhVt6r562s8RJXjwDaCzZ0UgcVgy+U
IS9cZovFywyWb9rygYnQmq1iq0B78L3m5aWYMzaV+NG0xbdF17zHIJDjm9WNGx1l5pUIALZ1pN+x
DmwM6MA50cr4fVo7bPS2PCGpqffs2lD1dDK9GGz9+iIp6Pm8ZoN3u36E+8KyzfSz4UFTlr9fPVe9
aWuwr/tlfh7JANgaQR7krImL/Cz7/ocqfLYLdkk2hRvE2FOGl1wYJ1dawa4J4Js78Ks24N65IPAN
xQSmjVHmmDjLtFqYQGTIuK1NR51RoCJy6rvlXDEQ3qPammMvU9/LtDKQnpa5cd9AL3zigOxgYQ0W
yza3n7JyZ8sUZExlF1xenSa/KhYqp9RdnG1JLfiqT621gLQu/RvEebGe0C4b3/CKud/snE2zWvuU
wPcMjjmO4A2WvmJrEh8Axok5EDkQRw8JUpgPEJwt8y6hUbH43sp2SI4ZFJKKygOAfj6mGXt5A8vl
qQX/si2qMX0KNApR40KhFVVyfG2D9QBS+QcOfXenGiJcK1AAm4GVLdyd2mRr5gRoNvQdn9rREWxs
Akw6cVnXArnb8D72NtT3FRuFbNCGOyVapjZR3H9Fvc9s2YRL0jAc9I1yb8FQCbNWQLzWJ5bK1lVk
woKA5La7snH9U55VENJ6lAWFF0DQyrblqNpHAtrsnW58GxjvbHtQLxtRJS8Y6qqwVGacaLbFGqsh
epn9tz+KBC7FIjeeIhARxWBUMe9i7mMaUa3JhmybMQadpDhOcieEDTeGnYKRuxbZ+xT0Z5cCf6v7
vMVV0LwACq43REYBPcqr0+RCqmfxAB9spjQE22WXREw03Illfahr+zGAm7NzU+t7KYcXgEHOneYi
2K7oU8zeWbYziLeobfq4sdmnW43TXhiSjNt21cxXeAId09cKlWDf4Q0zBVfdotmIPVottGqwNyhz
IfWLGtNgtaLZboA9gaCK8jrJfxStERuzh94RLh1iFzdcdHKc3dlPXjyjPIPYt6+tTerHoBDaOGbH
nqnbsOuqo0wrTD7SEYpbl5GfOFQvrS3yuCSUY0uyS7BB3C4pun0nXJAEXgrGJOGCZG0b6I66un7y
Te9a4oCLGRb0VMwPaoHyFnT4Y1hYU/UYALv1RlzlvAxXU6+jqlZTtHbtzQ6mL1dTBEfN8HUY9DUS
yXGELRJ40xmgxY+afqM0tK9o2z/SxmUQ3A1n2lx2e6IAGrQewJaOG4BbuzL7ybwbDZ/b6WejE81e
Fe29yq2TnDOOx4wtHlwWfds0tLdwwqyd1Y87s3YMjHji5MORoU7QiffwXxwvQ/acrx+zN3xPhvRb
XRc8P7X1MPQXFrUv9bj27H1l+q5p6GAHuzz0+bpGqeWdWT9/8RsCEoKg3hVcjiwi/eaaJEzANakb
+AWaB0ESeKR1Qo/6Ye3ykFmXTq5Bjc5k1e4HV40oKap55UoQCT8uN4GCqtJk28X3u0PLE/yOX+HT
KoB1W8m0sKc0uzacbGJOwsypvpa1IEk7Z9545cpiyjfXFlDTriYQw8xa+TD1Zr8ftVnd8keKnci1
FGmz2epZVBN+8dWcDAhk+Dppchr1Mg1+iYczGw9U1QWZPpnc2YG0t82ypifIse62lcMzPiNgkXVw
F/iDuJe5ZrBS64bTmuXusbH8dm+WS3Ec6mTZOpPdPtuSTazfmh/08OJSSJsGP9XvIMCP0djV6Rnl
uRUNwDkvuGHtDVrseWfVJPyIkW5pRJ+77TFsx+iBKAAkOCtp2XEKEo30F1AEedenMbMNDee+fpfa
A+TERlgbMyuTOxcCIiLb5Ztf4TCuTA8eYck7RlF7kQMhwa1YDsSnI1mbxitkMcqKLoOxVwTv2Jzy
WPkeSLuKrQluL0kZ1K4xg3oK7oB0Cb47qTtT7tH1b0lrJPd6NiPs4QL8LKoa6saDV0kglGXFrJoZ
0obTfOGjd+SmJM9HADCnmfIfB6HZO1phJi7WLL6ORRBQSdt6ceGq5haa6BaQRwQnhAJ+2BBdH5uo
RsKhYMKNmze8yT5O3tLp4HvLfN8VthG1bSNI7O70U1+o/tjV1k+1DpclwB5w6y3MNb8anO6beU0r
TG18jDUSWBEU5sYoyynSAGaFbp33cQGq8jTZ4h4DlxkWdXVJXe+19oNuR32tornh8e/meSsNfZdO
zDvK3qGXIZh9OxSYpTWYdDDd+s+1boCk9ZcFazJCwQTzrgXuUNFnmZaMKq3CDtBn/Hgl4xqri8Am
cio7erInhBWFfdE4FC3LceKbGg23NFh96DkjHaONKQC/jZ74lnvOwbfV/QxU8oBXw4xpIU8c0a8k
m8qtPcwbWi2eZAzMUT+iGefboF9XYzB3/jwxRlm5dLGzAqQ0HklGOfgokdbRLSLFTjmg0Vnlm7I1
xibTNPlbPB7PnJ2P5pIu/ERjvyncic7Ln8Cz0w72qMbWtQkHJgKxkeTTMfPZCDm2/Cb7OngQKeYX
qtmdmtirA1NbX4DF3Htr0BP6a5ix1enbvnO80G5bQSpr7WixW3pLSIMjnis2gr6hrt1qngrf/cD5
gj3hozeq3dD7P1EiNrS5ORknxspqqUIqKWRkiEbEEP1/Nn1bMEgv3jOlZRt1czXf4mUKs0YehDkq
9FYRpDFyUwMP40rZQkyNqMV9m3FARx0qoRmNgu3dVcNoonDJ3AaJNK6LaaQpH9XS8oe4yWF5VmhL
G7WR3SzbOMMSOCn31FTGiWClyBXzzQNUlMOWKQ5woXJwwmI1PMUNvaiBxKa13dmEoARsDez2kOO+
ufc51fqw7ozWqSiNFaEf7ADc/lkj3aLbVj4gu22rFVMbWdAD6pNLj7BwfJgD4Ul2YCgzlLxHDgKw
Fgz9op8H6L7fumL2ip6sI+Qi7RD+f5nX7z7r60f12f1aBHynuOCcy/q/7AX+9svub3uCW4TnP/yC
qCowyg/DZ7s8fnZDyV/9Pv/v9LO+/cn/7m/+x38TxuzdDL7/j0l8LYkZ/9Mc/tff+avL+LZ1h8TC
SXhDuwU3W9BfF/KGi6CaMxfcMipt+zYh/+tGHqw7NhJdh09DYYzh4W8qbNv+A2E2XGdwdA5kJdwn
f/35f7s7eev+8n78X9ye9s3K/PeUNB0MNNnt/Geh+YbX9KcN/c0Fh0lpye7Y4yAvLrWKawgmixM5
yi2WvQc5VnLgpRmpUbnVXFKT6IySj/RHlzABCgldMZsIFKyaD9mqOOvqznO/r63J/FPmvk0z0Czn
muqmfMtXW53rbtV/CCudg9AYChZ5SAi8JaY/Ha1drrn1CzNCj1m2CsbxSDPSThcMbXKTAYAguof7
mPmvW1xuoIgIlWIfcuOc9WFpcBY3fsoxIFcz5jv6jjQTuic358EeZ31B3UI6E8p4voS/YqADP2El
mUySo912s/xCDvt0GMrB22vt0B7GuhJ8hXI5P4xKQ7o0mHFtBm+TnC2cqWVP4Z7Wt1dFd/42O10T
0WQxOYDDmgUG4INbi2wYXLFkJ8RDXeIBQ0jVOj35KLivTW6ALlq1hDMh5JPnXdbXweBWyp0jwVDd
fddMwj1NsOa/844sp4IAo6R9Xl2Cy6Gmdpp98toUAZpojbCxUcg3O/auWbkxZ3O61MJG54xWrFwM
Q5dbBjzVSFyQnWU9ii0o78B4GKNhe/VOKyUi3VZkdGx05s2UFSjPSA5BOGmOB6Ni2DWeoBMSlgfW
wIB49IsT4nlNzAbY/oq4wHjsEKze055o849Aeo34efNJ/iS22pysqyk7p0KwQM+3dfv8BnQBJeJ9
aSbgmqGqgvE8pUVxBBMCocVrWT9Slw/ikFO7WZu2LB5g9rcbPWfYmWTFdNctjGtuMSY8lhSv8dIU
ZNibhnH0RVFv0lRft2ueF7uizu6MvJkfe3ewczqy0ozzoGW9Wao+Pfp+79mRbfFuR6bwk70ONrDf
lNbiHKpZb1G9rd1HjQX9u9krpOBB0bnUmorbo/cTnxaL6G5mxF1gHDuLEYdtpeVNriqMvS2H90zY
Yx8hKHTu2djT1dV2k76jONRPKarTLYsmbTdaCOE9/rlL6VrNzliN+UHWvXHrVXxxZxvYdirlT0Qg
mXpxus0IuerNjmq/cOVhRJlwzYkIo0vqS/sMs2Y9ymTlrhY6uP8h++A1sv/QGXoNZXp1MwxO8WC7
ZyiGQKPnInnP2izYAoYed/+HvXPrjRvJtvRfOTjvLDDIIIN8mHlgMi9KSSmlLMuyXwiVXOL9fuev
n49yVbclV9vTB5iHAbob6C64ZGUmk4zYsfda36LslNu0TotjL1T1EZbOCeGzdV7v7JuALAYf4Q9D
jVpcLwlbN8q6buNwXtw5MZU5V6DSX0rBoLy00vAxrGIopLUEXDuQ3NNmbKpzbIf7JBnSPRTDwKPt
RsQfQXX7ym7cD6HULGxfDkKWVD0shn5TmAkjI5pBV+kyWFe0HrUDCWXjJ6su0aok6YS+JDaNz7k1
0wrvsVKF3pjp5p2NoWSLts980YjMzDcdV2OXLgjm+y57hhTmMlMLSJzT+rl2Pcyv8kOFZyyi6zSU
z9KZw3uaC6HuETln/c5pGXMdoyB+R6VdADqGswus3asREZL2RRMtnRjnIK1PtqCTJ7wDoXOYkBN4
I/LDVQpAWd1ZoeBG77v4UrhRf99Fa+XC9blvp/rMbU2DyZiv3JFoTysN3IOm8Fh4jlmro4Mg2WXm
kSF7RVBy62ZOTAhwWXxVse76mQ582qugkNjbuZTYJHVxEdjJXZc3zgWT1clPubs/CI0YVU+Ms0FX
0gw2Y0etpicw9ieL6Y1CP3FKoMh5KNvNL2UWElOJWsufRiETsuls6zMhSy5Unmq5Kyc6XVI14ycO
7QUZfQlmvaxKIdyp6VmbEG8Ohtm9hBwEEWXVy7bMohamkmE+GgxLbhYRuzfD5CzIOqxyJzLmtQaF
/yXxfvoHhUMh3ZA9mda7smxDFNS1/gRpp/ElUtC7RGqEkc5jxHg16TVPii584TSgH4qhUJ9NfJaa
v3BrbfEKEuFI/g1OjTAa/aJk5XewxHnKGfDnYCDY8ESaOxkK4yMIt+rSGa3oWLpNdVsLDgQdMEOu
rBvNf8QzLWeLDnqyqY0g8lt9zkANCfojiFVsT4jBuFhwEfUbGER/5DkTDjGVrmdaRnnNyCHZaGbd
XIEyH8+Z0rb9nLrXNWOqGA97HKGEIfL7OsJl43MuSr4g0DfuUcRU16pyGN2NoqVRZ0funXQnjslO
N12UUxBLrwzkuBmiWL9BFJJ+ykmv/RQ6RXPLcTF4qNIgvuzR03jR6CwfBQ7vbYS6bD9TPm4DRFme
bhdQqSWfttxMSKC6C+Q2A3MZ1X8k3wHhcow6y9cw32xsS5bbWo90tFOKY5ByUMYWWBxIn0zH+dJK
5nw1CggDJr00uY7d+Cgnzn3WwFCKIQwTWuYqy1HEwn42+P3apgyK+DbsopFqWnc/zQuOHF0ubPRO
oQPQasM23tlxal+puKrukWAzStUA4KXM0pxY+s44XfV12exatGHFfwg8/3fFsambiEj/dXF8+mN4
+vq2Nv72V/6qjdeIImTcJmlxsDC/16iIlW3wVzGM71BXJohWXPVw88Q/kTu4FXUqWEglDuWzs2aW
vCt+f1YMkwT2rhi2BYN8ewVXAIgkwGEF+H0HUIg6OQ1FU5nXKmjVwzxKi1VSMBm2lkxHxU0WMmfX
8mjjqBA0KGpmCAujjdF2sn1vtPUVYvzeeCRPIj2VKmuiy5oxDSKAqmZg3/NwPZiDHB67lGzJLsSN
HVVgSTfu4KDarLqEs7EdFaTmjrO46822/FwMwXCzQHSbNuT6rvv+0ihEIkEz7mLa9wfVJJwwm5Tc
XVXN3d6GHVJ6VYTuchOGULbIsjUx4c8zNv9ocsbwgENy6X2iAYiM7jOc5HS40q+10uqbOLSGnA5A
Pt0EAeurh6Kez55X+Yybj2GQuijnRlJSiZ5Ck0YE/9ZsGeEcYefOt3Vk1fMFKQqMvfJ8nrSjwxuE
bhjgofOQN+Tm2aDbeHZlEgISSoebOhthhNEp8uFE8lAHbUkQ6dioA5gDAp0SWS7hAYbWdIscA/cI
AdBM6q/N1PhISlmnlsrHGLPmFAXCivt9Hhj0NfcOqrxwpxpAu7pP9kGD+SNdA5BMcPWEIbH0axey
FSWh0FVYM7VLbOkUBRZKDHkZmkBoQ615N6Qw/hrOUEy3rRij5CmtB+kSA5DFjetVJT3+Heo8JyQW
WJqEo5GJmQTUR7O2YzcWxLZaLQRlLmY/qO6KjIcBi1atE4Z80NtRBJdGQ3PPr2U7rDeOWg7LBLNh
hzuVsOGU4KxsOHbAGyr9JOY86Ux0Om07YET0oBugdXoMOcgYy2c0gHPRfO3GustpHRDukAXn/yfn
fIKKGlzxL937gz6n03+c8//3/0/dgJWj+fMFb/yvw1NeYUdt/vjel/1K4OQPnl7d10r/zRYCrTIr
3nembGX8ZlmKZUx3VvY1oPR/LoHI+jmmW0Tdr/J+az3F/0kdk8ZvZDPx44j9Vtu2bv47S+A7fqxE
yMQvotRdl1R82SuU7LsFkO7fFNIgXgD5cyA28Swh5wkfvrsof9N0YJP4vuXw7UXgoMIR53P+wKMm
1FqrIBUvhz7FuDSpdiHSYlCbKpXd9ucvxdbww0tJLgtsaFBv1ivh67vPA8FqqpMQWNmEs8qLs5gT
k0FvWawFbwYe95Azs9pPiyU9NALlL17+h8tJxxOCFjAJIfjS3u8naDAca7RxLybFeA8t4ZMTt/7P
P+G6JX3vonfWl8BcD6WM7w1Y3NtvrGm0udcDUR8sMd4TYfPA6bPc9KD46SPU3KX/2L//5psznbd0
MD4LPVoDAaiEYsuBSF/bSd9dUGhdEo0kgCo5mvUxTHNB7rGr5VjPEElnKJtI4iMfmWyqjqxkk5kO
yF8XL22ernnKOBooaI0Q8XmU0Dxg5Ev2Mq5il477ayYzOmjymY1akI2Rk9rcYPa4YBxh/m4k4x6d
dPdSyBWe03S68cAAAVrn7Pa5jwzDPEV1zzkElIDf6/P0gJmpueKAOYL0MFRDFVu7+b1tZeGneFal
5+aNeQ7C0rqxuiK9s7Eae4NkZEt0THjqh0KQ5kcGyxrtDLDZqndDvywXDL+umW8MOzPPX6TK7spY
PtNYOXdNmdNacfJjpU9fwoH4YTdP7C3FKCJBJKp+WoEwSWsLpk8hfKtNxj84bdcXKoluqhkFbOzS
3ZBG3m9xStinCTEDrjw7OLKnPShNBMckwiVIeb2qaQaAqpp7P4Fv9WeRJHhJ6/C+s5EV9g72DnfA
NkwIN3KJYDgscRZsExJIrunC4LNj0BCQFXBphbqdbjn6dABLxjl0L5CCo0mLyU26rxVY+ojia2M4
wE4x7iWIditBA6eYmsb+KAulfYpgct0UJarLrQNM+L4UKZ2ihlhFqkicLU0D2xZDZXSJ17C5LjPd
2hoYB3f5iAQIGXpyW5flvEnGQmyHuTd2Q5zpDxIOCuoMOlRaFBv95z7WURRu9FlcEYwU3scRB8gi
Jiw6sHOyWGobBc4Yr6Eo8BWusKw252rhsJM37VWA3vVzvTjdvUSucGAyIK7FZNqHvOBeoL8e7/qu
mPZFbn6OOOLTZowZKyfKnA6yjd2zTib2nqza5noJtfK2z2bfaPv5OpzwQmzcKtN3Db7jz6Vt4f+I
7QrXzWTF+8aV/WUcsJUTXGLfxqrdBQF8IlAyILpcEX5JANkg/7I+TUN4lHmw1pnjuZrTj/TOVkZj
QlA4WojLruVUE0cDx+k+HM8kSom9Ycb6QYATP8zMmi+sqq0v5xLso6eHVnmTz+wb3NE0m0mgCvWz
GdTzU6uV+hpLhQsrTLTLLrSNPZgARjXACAomhPBX0wAMUa3XvFqYmoxOXE0zEZ7AzQ+qaD5OmhN8
dtKu2ARO6O7DIBgvJ9odG1X2HNZcLdpjcQl49nPNM6SOwDXocexYKQdfOxuPCyiqq8k1nV2Q2O5D
iWCDc2Jc+LaKnszA/OSKBeUkHLw7gH76wQCZgFz4SnOy8ENa6hIEDleayfcRn3K/GYK08VAkd34w
DhDjHEKf7CW51tqaEXYdZD6A4a/kMKGtJX5k9hx4dReBFtIY0vQzE/9dN5XhIdF6gpTcatwvKb82
DOz6YyM0BayoHTW/qpty1xul+dQO2FJLWAjbdtrBKjPvLatyN4VIm+KiUEN722uV+bRCPi/ifDRR
iERYgFYfTBQx6mNeVi2nIEs78LpBNX8shZNdsSAtF4IULo+u6uemHFHVuo7mjZymN4TtMPzToysO
8fuIDQAlL41KuFBQTrJcFKc2dy6ywfiY5hF6jkAw03Wao2wcOh90mv0g1ZzrMEj/ICI12Sx1u1W9
IZ96XVacB8zhpsJG53pWxrPHkmDfxDP2H8h/2YWdG83BdLCtlOMyPpY42Gj6Nbyy7iYzZlKbBwjV
wLR2fbXskxhrnQP5Is8QrW2fQCuxEVkOc6W0MnOvMKpubVDKPCf29JUDg3aT1gVH+rbYpI1KHqzI
QkTnxqhK6iZbXQKT5ETA6pE5RBP0i5JXmRmPNSqVZcDK5WgHxBk2U031rISJ529w+d7rwEoYeTrq
Hiiq2MM/zreNIWcEHDPA8VQyILbd6NDHMJfKqQeZ0lnWjR0LEry1MPziwM8iiHCfAX7y2yGaPgpW
Lt+AqIkjbs7uTZLJNpYuKqD2XWp8AES2tQGKf+pAKnyZBjs62Y29fGoL0yfWECl7UjXNqRdVh+op
4c5Din+QZG55uAg03LflS5G2Bi3RJt3ZYdBeZCEtqiHB/u3WU6nsS8ahHMB8I2v7b3XFf8w3vzLf
SOhG31VF61Dxz2HhOrX8X/990/wRlm/TV7/9lX90NezfJE5GgbFFEZGwRo3/NfEz5G8WzWpnJfti
1V/dvn81OezfDHvNXsUpS8ucmu6fFb74jVBxImow6EJLsnX336nwiRl5WzHqCO0sW4GtYS5pYcF5
VzGmbU+wZe/C/E1d1LIMkHVkZk2Y2jduUEl5liS2tHt2aDgdBIgz1GToHdubNGA2BpHx9SSsmAoA
tQPKbt5F347LljNoKYRJCj3G4kV6CBckdLddVutfc70a9dFTLRPBDYxHh4WpFyVsnDIyUmfYl64M
t3lUJ8c8KcSLGRawuIFlOL9rxhosiI3tqFJZk7AXYpztKLroOQf7cCkX33Qz/SZN43LYFKbdw6Ew
mhyYRlY1ULdNqX1Uuva7Q2sF0wQlHjpLxeRjiAECLMkVRpf4Qg1W/2VkvreVeuXaXlPY0V2jnJRm
bjnNtxR+gcuUa8ybrVnxiT0Ya52zbTE/gpaPaPUEZKMOMUi3cLR/j1Gqf2x56pOThW3Eb+NK3cAq
pCScGboBM0FruelUtArM3clF36d3MfJXq+tAIbEXPAZziciYGq735ikIPxDyErheW0Im38y8/YvY
DqLLZZymR4luytrb6IEvwsIcti6mjwJ3b8KYR3U2whDF8PbT3EwNTaE6aTeOIgZbawu9pFVK/xwV
5gKXlMzTHv2w5JZIlhgJjEJpt/iJ1bZENSLP+NwxHaGGabizAPcM+QS3CSpWrPdoiPTGxiSZRC+q
yeQ2CuP00May340h/F4LZigj0Eid60VOhNGS7+QbxKSeQXE1R0YUbCN5Lc7Ego7bYsjtYyAVOqim
seyvI/Npn8jp/qRInK28aC7ziA7vDLp5VxdadcVoJpmv9aLXVXVkSR+dauNaRes4iAdziZh4iHCL
SkAP5cWC9EN6kKnmsPAQooI16PHrXI1BWgjQjAWEZPpCAtmqn5PBaZ77FtMJbL9BfcgBoIy+0rCL
PWTNoDgclAzDZhKPUJbqEacArAaq9W0jbHErl0HjXlEORl/zWkHnTjKVKi9z5ly7GnDMthRQU3lq
NewkoBqjSzsoxicjX1Un4EL67UwwzXwxhXNkoYgzChgsma1HGJsyozyQOYR+uRNzx2CX0rQ76E2u
dkUYx7fUTQKlbT2gjC5xzPJkA/wM2C5nVFC05qjUqqAahqsFA33tGwhVN2XEt+lXwzop1gutWbxk
BQze2gWc2E2T97m6JhliPGWtpe+bFO9OFJohvnSxwkETZhJ+pqn4pJVlNtAECzKgEsjhGj/PnPHR
wNq+79ypptjV2zvsSMlydnvtGdl0wTOFCIB2J8MC60RCOjjQro7ybhf2c/k4gayUngOI9h7YqVES
WVw1BaYbGooUqOirD6xEM/uvS/yuYdkdtoYsM+x9pqMR56QFcs0sq+aFscRHq7edK2x37fJhSA0C
c8d0zUyG3Db5TqWJS7NtddDdiXGWxcjziC0lybdJyGpm9XqBEqFO9stkOkeU+TMglFGbpqtpDXpT
ZluQ94HwfO84QbvNRBhoKHszUe7Cakl8Y5HmWcNHzEmyjzLfdhPjsrRRsRKqSGKrFhMD78uIXAf8
3bGvkzTM95zKMPm9qVXylIAg+Wg22QDRfRqabVNKybNGG9vXksXc5sLWuosmDOUGFgO+Hca9YXPJ
D0iUp1oF2wmWbjWHnu2A9jmiJrAMMsKksirdS/AdDP4EFWtjtDbVu2U3IQPuoRoO+FvMchvg3KfC
Kq28l9dlUfUMJjHc35NMYj7QnfwkuYVpvLzmIbuFbhxsZ1RnG7OcH3bBjLI94uyLTEDfFktnbDl7
BCF6Q/DbRdDKU5Zj5fHyRuXiemzK8hrSFyYZpy7Nx7qbHoFYD67XgStCLxeTNrsZBr1rsVMmU39N
11qcllm0dznarmbDhG8Kz2IimQg8jcSyNkNNUp2CTiA5GsGeblk1ToC/xe61SPhPPfWregr8JG2x
f3SZfqin7qLy6x//ddFmT8XXNz3Tb3/xr56p+I2ZkAHfwWYy8605+mdVpcRv4BAkwN0/s+n/UVMx
ODIEKV/2P3utf3VN+XWgSVY91lpq/RtDo2+cyrcdOPq1ujR5D7wvsNVvW2I1+romRzrNYJ55dzJH
5Qfkpl28DR0338aG9Tjmw3ANrYSKv68es9DSLvRRnQwSmjHJLFHqV63Mz+6QF7dZrz8wRMLuU2X4
VEtuR3/pyW1pBEAjOWtql4BT95xWnapsQGU/CZJjxuaJXOdr5gTXpDbvg64K/K6x3E0/EjySDTyY
QxO/9Hofn3Ku46ZWFZFDRVkj0kYOOSFO9BiUXJaufmsLEJNuMz6tzyEzhGY7S6Y/TRe/tFmS+jkr
/ZaQ0BONkT0BONWmCosXNy2uRzFANrIiT8Z4N430GvnFrUxwTWM/2DSJ5lH5PM1VByqpXp4tqLik
2T9zlHms53ZXwiRmd4nMT0EtD5hvbQ+XD1mo7QqBwRomOvMxHbInReLQTg/HOyDvoIDFbZeD2+fs
9JJUhbZpUeLszAydtpnTdOlDFXlkg9+H5njnFJO9oZEaXsBFema3d/creiwMUVZxpL9Y1hBvbQTm
j0QPeXR8NKLewOc33dvRfDdW8jEy02M4ZU9NnTxBTTwhvqfssWW7lXygUcYvOH9uJRvgbjY7TD4V
LhnyDxbZ04jDOeKh/CIGveRCoWxH9GI1WFYgam7jdLU9QCnF8oy4NdTWaxnlT73AWaDDj/e6kS7Z
+lqV5AdIfbodW/22M2BdRMsltKlVPq1fVqrUNkMavZgZP2aJ+DpNp0uDL+cAtAZJdMwnLOX8AJKG
tkFnZ3QeMWZjTh+9IXYSP3LlctWQblPOy0MjQXhF1nSfwzac5gJSa9TQZSnjp2IgrRY/J2SR5XIg
pAf7R4NDslaPMXEQTm3euHTkNjbhODMKfnLemwNj0XugmYcYwRA3qnkIc76j1XO9STuaGX2/XNrl
HG1HTGpQVYR5dBV3Agi5juo+N72q1R+KUDy75oiXGYcrxu3sKNRwXzf9vZyyl5xqcIMMB9ldPt2b
AfEaadxVOyom1B+2Fm0IDsOVtV53UdgnDmGPZV0kO/SXJ3zPatetf4/P6UWT4lY07cdYNfMBgfzi
acDpK0MjqjrA2EL7dvYbLRjOJOqWfjYRij3XuC1ntxsO1HzDsS6t4QLEtHMxDRptjmjO8AZU+Q2l
67zTsXIeOf8Aw9Qy87kT7Zd5aOwr4aTV2r4t41r6Dby1xHfz2gRiu4xPgYKy6aHSzux9IuuC6Izg
IZ80Gyu1xHyMP4CjUxScZJF+wc8FgXHKtlNkz5vFjP2qmxu00VNEehcQYZwHU4MOruwSz1b1CRzu
bVGi56BOeig12q4oni0QK9bTVMzYUsm456lMoi0Zn1BkUL9Xi2vv8jjHjTuXwa3okDmGBbf/khjP
JVMXTEw5pfvAMXEyxM5UVFS8CwLpoT0x1IY8NxnSuWGc0+8ng5tuTtWj0uxTb9TjRTA0L9rYXEo7
PX636fzNaOPdqZjBxjpD4YTNo68s9Rox+t1gI2b02zNrLQ+SQyxxDXW3luSn2Kop/oT9TSr9L3W3
nObfTW3AJLChmcylCBl6P7Vx5dgX9qyKA57K0qdbeDRIVEToxoL+88+1Tuze7k4M9BiA8WI6DQn9
3Wl/VAqcYVCVB6NLn9y1Bb0uxwlirw1G0ba84J/0b7XOv/x0P0zd1mmkYyhaHeQd8v+8p++uZWgW
buTAqDnMOCa2Vjvc436BI2/iGtWsbO2OHrMMJWDL6vbzj2u+k3Cs3+Mq3rBQK+KPUO/zfNF+jksy
O8WhZbTjJ+Qq3M6BHa3LxSU1YHrQ3el5bPGypSPq4mQAxtGgLIUdNT9HnN7CYrnswzWJl8Qd1821
DQCnLbYHbHUs36S1QSTgoFqXyTXQ5V1uDXdTHj7oVgSncpInbEfaZipLd29ZhJOHqLg30mF5+Pkn
/ZtbiAhT3UD0InTLeN/GMbLYJeZEFofIwMdZ6re6u9wCk6x/cUVXhfoPd5BEIs4QdWXDvE94d0dB
48RZ71WX8CUcMbeziOVWz1iEC04sPuTE6y4U+Tkb5lvV6fk5wrCzkUv4Ug+sy2upQnRU6iEpJvkH
kac79vfk2p/MZthHDsu9VcU5fQkUYPVkUNVbxrwn3KHaTvGMPE1vCHpLp4epYdvvjVgeu9jJkd2Q
Vg7n+SWIsdMXaca3ODnlHifVS1AuD07Y75auZfOuzEM0W4coKvCh49Hn9Dtdpgp+q9Evt2quTQ/x
hNjRZP/SWCldYUGN9fMv7G9WGHDr6zBYB3pD5+3tU0FgZYm9xiwOCyTxtZyYWNnQzdhkoJqHn78W
FfYP35mFuYxvi4m+Zaz//rsnsDFmErrlXBysdLhjdHXMCbv5xUv8zcqibFKfQMgLw8U78PY1mLyl
XabrxaF0h2rXxvjEEPk8rys9hNJ53zXBMTUkaZzGaQxcGC1FdtSm4FObJL/jZ2XImw9YYbPEPMCV
YpN1WZ2qOb8WInxZ7BH1YED/KDNt2g+WOXq9vrRX5EtsB6f66HT8sQ3k9kLO5CwQYjl6QphMRl3o
8UZj4Ft1a2OPSqnzdCN+sQpuwTpOr4cpZVxNs8Kxid2axUj1yxi7KGjKcXi8Kwsj2kpz+VVQ+988
sXwXLtoK1mFUHMbbC1YYFbOlOS8OIuOgMETEB8Yw+DwDkOa1iLgCMeUWfFPnlFt2hQ6KZJNF5Dc0
Rx4c2lJbDVX8bgyWkROvKP0+0h/HpDLBi6AIQ698gkRk4yCzwHYYiW81rEQVlHVfJfMD8vvnBTcd
UKAPk0l16NZ84Eab9mmkP8wUYjivompvZuOeydddaNm9lzTcn5L8HK+1B4bZGnKyPMiAuFrLg1s1
w/XP76q/eUjYM9b/CGSBxsrB+v7GHcMaHdg4FIfRKXxKnMlTI29H6r0XVOEvvhFUGPy6d7vjKplh
WcPP4PzwTNbSnE1U4bgmjbZgANTi7AySY8BO5Qq+nwUCNGBgDkjQ+DovSagAw+zaTikAcYTaXlmg
P4jzoabjihaLsJbOI1EYoxUDapDamQtlJXKp9qeiNH2zap/zZLmbsvkyV+tmzG0WmulTMK5V6giK
ZNGvCfvxk6k0NpSroBsSBwCPdXo9XtI3JduMWLON22CSgEW+SSryOKug7zC2ddHF5JAkuh6CggIs
wtil6G/78T7uOEg6adgz7+OoZy0jPCak7JDpPdcc7o1U3NZafETBXjNUJc+sSGd//Qct50+CYb0h
qx4SImTh7foYtZOFVG28t2nk4GZMNZ4nLHZZTbWkB8n1BOXAVxU/3WjWY50AcygACV1BiXpuOsR+
0N1phMbXMcw6Em0pxWUmH5NouBtNCfWqtA5DQY96SI7w9tcRBQ9w12VHDsVo/NhZYgLHiI9ZHuyx
u86E9SUCHXhMhXUaMESYRjNv1oMRGQPxfmRmS16bdco6+QiL/1f7sf03jze1DlocFKncUfq6Xn63
5mYzxgQUrPmhVfMzaMe7VmffGzhmAT+g10f99XrULjtXYACm0nt95ouo280jfk2IqM9FnZs+8/Rk
66au7wzwV7CdwmVBNlYQG9DPh0wACR4IVIYDJuMtw9LwudYy97pqGN4vIftit0TuVcFzsFkUjhuN
NSbp5ofBpNzSG7Pa2Hrcb6YQ4ErmUFmHHAzZDyPI35sEPwktUnwIAysoWNO7xuFI6vZkCPX9nbT6
mNGQPW3jBpFNPS6XeTQSw0GITS60hT74/Gy3MKKxpt4pTgeHNLZPA5sIh8z+3oRlulbznfprf/1P
h+0XHTZKMkyAP+mwfXpCkAhL/O3U8s+/9t3UkiUXQ6FFAW1xuH0ztfw2yHydSv41sFwtimz+dLws
+50k0SJ3xmL9prempIRL+O802N4+VuSeurTvXtXhjAcMunlvHyvGe3Wvtb1NiGEGA74gcOHcsMza
SJrq9st3F+b228r/X3Dibsu46Nr/9d9va5rXF2PnWY9JrqSqeb9Fh9YkM4UM/ByRofq5kKVxP3eD
+8BCvHZ4DJ16HivnkzskzeF/8NJ0F9FdwvHlor79nLGWCrzdQp4X9NufC7IGXHRQo5oQZ9gCdcGE
u5r5GunfdMPQv/385d9uvOsnVwax9JDBHDCPP0oVzTgs3CQzz1muMW91tIGxiQ7roTrG5fpyU+44
Vz9/zXcJ8X++KLeKRNWP9v69PLOoClgVlWucLaMw7gvTMS+M3F7qHbN196HqLOdKxiYv3ouekXQE
8O+rXZGwkGk216HGyL+vVJhMh5YMgmC7LIt8QiUJfCmwBl1cDlVAnmy8rCEWLXSfyJ8y4DnfHCD/
8rz7VhT57WPYK2sTOS/pl/JdZe+MjkkAdWScRa9xr/Qck6YMZyssXyY39N/KyykF0/jzq/f2lP3n
q1JP2nA0eWH33Q1jazp4SqsR50QM4p4YynhfqyJ60RN8Y8z8pju0ReJkKRegMICneP/z1//xwUSM
7CARRZHAffP+WRnAKKEBmMTZRjV8F68PDDpM0mKHWvwiWPRdnfb6WU3h8mQ5Oi/4wxk0mFVX6Hov
zjJ2pzuoIojThlignwpMk4D5VMJL1u316dTzfFOpkYdFSxSlUIpv7t//4DT8WS3x3Jo/3LUGDjO3
JnIStkrNQyIVSUZXRpfrg0fR5P4PHhLFssdzyX/Rbbw7Z4kq0WPNHIxz03aOX8wRgfYSxeFlr/Ty
Mm8SeWHCHbms65i7nNRoccoHd1pJ/oTzeCs251Kzh+kurC2yh1LdcK66dHBBdbIZR9FAynsBECL2
LHrj49Fl9pvtfn7JXttn/yy0X79AZfD9Mf+1EFe8P/wmWRj0zuyKcxAk0NYX1TSH1/tm6vLqc9PQ
ZmEuzLqH7e0qx0y4DWOCDDbtTCwuZ0Iy+WLUH9keziXB9SLQ269Oo093P3+ff7MKKhxJDl053ixR
jm8XYY3408EOpDgTQMUFeb3MomqqzwKN9X2dNb+6s433T5ENk/+1aaULS3cgQL99xbwLjQQhYnse
K7O8tLrcekINsv6PyTgbvyWmF9MmIDiIgwDb85CQkjGOs/shhkJSeWYxd1/NcuBO11kBdI2HIDYl
C+d6T7xeIgbYbF4ipihsB0VYjDAJltAIv0ISvc5H+/IXB6tvbbbvv296UjrfM54EaVDbvW8OLE7q
4hqdwzPz/xll7Lw0fgIK8QZo5tzhxYxIrkrUgOHJsJAybOIB4sfORTECGoXfrW9mgJEYsQ08Vnmn
dsOrriGy217QQAxnEy2rFSzMxBeSD/Vo1D5WGnE/vq7KEq7Qq1SCELqo9VGq8GTgEUbl+U1SkWTk
a4B0P/er2MJp8+TKyJ3yBJYLMIdTNpw36aprj9BU0htRztmznrbCB6TfMLOZAZ/w/obo60y9ax+7
OSr8uGP/PpIQT18MGjEe0VcdyPSqCZGrPARKk1N7g1Ja9dAXWTL6ZqDUB1i56DTxKUCqIaQUyldu
hUguXNuFMmJ3hvM7BX7jbMCBdinOIAblXg2Rrrkw6jnWYEoJCVmwjyp0V8FRR2VGrtYg+o0iDKA5
019C6pIgcbfQjRspxLUorKpb0A0Z6C4X+KHvJKP7EEY9227KPaLIA0EUUM7utqbAD7eUBu5WiY4g
vry0rKcWxnu8KRxWG0pAFuIBWt0dpFX+2qxIZfBBG3EkbAOQujBaM7U6uNOenVlEAmHO8k2mY75q
dmyzrK9Q06DkCb/Jeqp4ci6gHkYnyEHdswNds/RCI9L3OhncPsPOkDQj2ewaxhxEkFafR11fHkXr
MLAbHMQb1AG/oy0iO5OAy71yjWBnLGb5JXdb67E08ZUTURd95UaZ/gj7ICHmJwoLX+/5ejZR0BX7
Jqyg7DJS2nBj5boJrqmYgD/PmoZyuOy+yhqhKQLvsLpHQ4W5ZCgcOEXHouDcf6/wfuku8xcGkcrP
FZG/nF/RVjhIuEF8BGsShjBGg5MxCjSN+RS5dDOphMgP3OqRqFwY9bmbJnBl5nrOEZrqa/GzWNNd
maZc6WKdFOpgrk1We00+AQZQqLCysQIGg3Hv46S1fGNz0LEpzLOJQlq5q0yGJNF9PHNXIn0SbKYS
zjw5dpj8P7sNaecbWyx8qbjPtY2uN44/YkAHPRy2fPVEQ39eob1nmDILRIPZlk+BNYICi3Xq1Q5m
4C38KMZEweI+jIbRfm2XaE18QmujSdYhJXPoIA3jLq/mCXU22AL59cQ58eY4cZTML0NSNmz68Clx
3pdY8Iz7mh47P1Rm7lXXDazPLGcBvQcgoqEvRMefhIRwIY2PKXwYiPAHiwL2uXMsLk5jsFMDrjP5
iSYSyakH1e+iEONdhZAnrlxVTnd/CoY0VtTXNZIazrkKLDZReK8NuXb/h70z240bSdbwqxhzXwL3
5WIGONply7JGVrvhuSHKUjX3IotLkaynP1+SlFxFydukgSEGQzQa7ZaczExGRsbyxx9O+SiIs2si
MIZ6X5Y1/9nPNq1r4jw6CbVbyMIwQGozpCCyt0XixDKoj6AIhkzzVr0h3aXiFWMZdtCW0YVsB2up
FnV3dYi7oScRxd2exvVcUQdw2gnrsdPYe/C+LIojyZtiqgAewwxhIGZSPm6LLgenH2F9KvHWXDrw
dNBvF/MoT7htN66/+RzFtJo8acOyu+sNhR1ga2D8UWIttRb7XhSUf4bRgkSr5kSPBgRsgKdsXb/K
NgvlRgk40rQ2UG5KiDiya8SIb6eJ2YIk4OKBrO2ypNXknRIpGOFZtnHJPcf5Z68WafUu1hbFmafR
3YIYAaDxbUa29GpTFsx8y9/ZAu9soE7ZLIo1Ra3CwKmFqSJYGh4H5wfeGDYtAoR1SsyXOhdjEW+A
KeaQerxv4MK+DlITkl44VujztiuYYA4hOj01qJ6N6Kalel/IbPLydX+EVIDh7fm2LYQZxM0DJq75
p2M05SM033yj3HMw7vij66tcwHQOQ7fRQ0On61caXqiwqiCYln5l8aVvYJewr1hO9k7fLqy7sKs7
OijSyTk9pd1Icdk03LiVEE+TNls3CqUXyXEMLqA4i+BHuDWcqKvf542/CC5TekRjpVkAqo7J7Tv6
GchiJuOBNTyujJg9q1TH/URtm30fxcDhz6qNEl7omouMJEFiLoO0YU/bnJjjoATIkbR3XQgmktqP
EExiR/dQaqI4cJZ4fdpUzgm9IDHHKjX/HKmg4V2fr4q5v7nceDpfNdTgyEi4yNmHhi9Ehwvv0yKA
9KXtfGtZOGRlYtJD6RkdnxfWKcTL7nVRlMykl0S6WarluyZEBZgqNvqZWiQoH0rG/PLWbT0wek4m
PlC0IW99rmXe5jItVJdujjs4gyrc0ZL8PZUwx9CaYgNpjZ9+7JTIXEKMqN5rCwcfwI1wQ4zWUe8b
ugPRGEMTTVTR824CANfNP1t+jvW+UZv2tl8hNxE2cmmhgQpINy96h3fXLPLPO1XniPq4qCGqWzlu
cGnv6w3/k/ooPkslrLQdaORksBj7a7PbKUhUngDd0Z2Ate8oDLlea5RxADKmt3Vd48mIXSvybeue
Ro2a7E4LMZ3AYhVx6BnLvK44r+vAp99pvOZY7TrdO7X1nX5elwnNK024Dx6JxnK4SJujHYOyMCnJ
QOTJzcdeexeEnqWfNWBUL7vQTNIzk1ieedcWcLGerBsj3p0sCsVcGlB4AnsNPffTulVwW+HjuYpp
/5idUazZJG9T+sqk9JQOtM1H8pKwdyRezEYDIFFvaGspdF+rUaeU+SpKHlPEFy65UeGvAN7M3vUb
MOgi4bhvIw29IBRr4dvcOL3sehAZ0YalyovL1g67LzQT9f7ZyycUbt5FRCAAusSNEb+3awcRcRTA
JAZZrreB3xXOKBBpkzp/5fYWJre02BaXC9plnyVdbi59i1hKLxUW5e8kTSiPubHIIV6om7V6Q5qJ
TYjLRZidWOs1VOmVuUYTAbxZnNigyssLUjTh7jgUC1o0KdJH0gbQktHwsw5DqDjF91RvVIMlIHLq
vRnQR/JU0Jg4J7a34Yaxab58nuUITR1laHt6vXygMhgEbLBDqJWFCl1d1aC0ew1oxNAFnNJSk82u
vIW4vquIXdLthmMjLiDop3y9A8e7rVAK1KNvvfPNwnFRV7WYbVQTbz3TNx3v9fOuvUs7o4CAHFft
k9t2GH6mz7rrbgsuv9GMigYN1NirxwW2EMBY1Qnby4pySAiUoADNrtYCWFkoolW66UAkys2fIe2K
6u2K+8qsMUL8RezCIpzDkZO3Yr2229watWZ/rJ02/UBtwkOw8KCAcaPy0qRG4NimE/u7Jvajv3yI
D45tgf7QLVxq6kPpWA+LZHcXgaLfnHQh5MEVIU8XC6WzPsVRxz6HOR80M5tde0H5ln6urOn3cOxv
6BQYbFu6jOV59F6n4F+Fh9ZMr/Ds28u1mq/JHub5+r2XUXHjtgn2gqWR5jYwMkFzlxoo/7YtK+Ut
gJ4keBvRYGJ3AtcxNlVtAC/SknVytcg0ojBE2WpYdr1m8dGPKDUGzZbz7w2ESTu4XnbtLRFA0Hs6
/Tp18HDJ8WaLjZMKkw6Wv/YupkE8DOqbxUm9AULcO8pxgpZtdJej6gabNSD5gul5O5tgk5ZhH1Bz
y0zb/jLxAvT2jm698SrDxuR2cXM6C4k7XF1E3iePBJdPs0eh7BSwOSAxIuoUiwqdllmt7UFG1RaX
dpC516HrG1cCd3/jw7D8SV1UcDPtOufU0mmijA/GdxWN0uheEHG51amPtqKMUrsXNVcnvd50YWS6
3VHip591m7VgUxX2Zu65zjUsRGF6CvYcHd0a+ec4ISmQVei9YsMRqhKEJ/QWNBjNTAqghGaGjJsb
CN8uuNTMIFwZW0sp35l5zYmDkRL+yXjjXi8GCwNexHrBzZzC+mBcwaqg2Fc4bNDjkKKpqd+oi4us
KuvzRLCL4KtU5lKBh+2eKmhCdqaLViLOw5bYoLGJNXkankRqcbFY2866D4hYwzZp61e0w+I87Hyh
DnqT2aTxNkT/9HZw16lyTqG07ZxZXaWd8+bgPijq9g9wWLvrgOz1H3ntx1SZUAp9RmlktTvnQqwh
XrJSRQOMnS9uix4RjzkNOl4vqEfVQJE+1LluPkZuvVslWJV/ZUlbYm43CU1trE57pwJ6uVYF1D4R
oHvQJODv6x6LvwHnRsfhrN3QjKMNbwBxOqd+ZIV/0hzK/0gV7bY9qVMKXGOB8KeFdnfj6rkHW70d
P2SbjpHMvhiAZhQUBuz6IoEESKZ6AgSkgAjV3Vqf++jM/zI8P8rwwJFAzPnbGOo/8YnJ8OzDp8FJ
i7/zlN5RoNqB/oBYLUkKSHTIqz8Vpamq6AuJnaK74Hv2+0LCrsNF/lx2ppMtecJPK6ImDSSLAvRZ
sR3y9L+AoRYRzK/BIsJeClBsQ3dNlYQSWlXEyPYyp14NVS39FpqbOn30y4Tmql/2duOVtA4L/+4L
JqHyotWTNG95gRNZOLyU97vLcHsTuhgmP4jK92Hvg8VQFyRQ5bpuuKTBpgG9DurExEwM9X1kJtik
OeVQGuQeHfwSWrwx/1X2fdUCinAqYhm5JhqvZXgytGEj6rXx00eiGY7tf/BrIwBJcuEVvjiA63oV
Qh0SptfQCAnSR8Ldu6sEtgTIIOEB7+CAXWTefbepzunzZL4tqwhkODA1OkdEsBHDgC8IJx1dcE9q
WwuMM3V9OnS8WIWbIP5Iayd/S8DJWBMlPGUSKYgU9EhJ5yXtbaHm4R8deY13ibeho9Zu2yXNeUqV
vp6+sysy3GZLh3BHpff8v6gtp4fDwk/pBFFpxYkCQYf+wVjY+Q7qfDdYfGxwzo31mb71PfqCwMUX
Va1HPXARlhf/XVpjVH+vstc+01eJn/ZJy/vsbMp/+1O/9HQ8Xx/o5+hw4QcVKboDPdRPqifj/d4Y
EDMDZXqkfFZzjkyIXzjuGDriIXWdZFSiDT+mbxCN64jBa0KxiAc4Ii/c26RvbcP3V3j3gir45Tjf
W8Gq3/Wrx7//jaKRabr9VzdBNyhZoQKYPGuPdXLRrPub4LIJuquaJoik/kEjzmsTdKqHZUUBKmPO
PUl2ATndXz5MSJalUejj6MP2/KeW/5AR/xc007gvk5Jv7rCfOQeTEb6eA909MglkUrIL2EA8kz1w
wVeQXbUoKxr2YHjhnM4BWHmyVT+zC8tHzJNT+hYU4UPFt37WBrp9ZOLuOpZJQl88k4PgmEcaCFYS
zaM2+E9JwmQFX7UB8FrmLLUJhnpk2iYEURyq/pmoRI4Dtf8aRtbsVi+yfJKr11kdJYKaJszVfS3g
WEfkYXV4zkfZAAAxLyVIVl6g/OQ+vkJhIyUgujWec1Z5sAvuEa8BDwRCZ3hmtwuuMcjlgJd5NjB+
wSjgPoRzEx9bHTdhIgoAd7kRSIlZ0NWLZ7iAZ6QMdavPccuJgnGEuqckFUDN06eeiAIhKYwnd66m
EYWw0qaRwBWCKSL+9+om2CbsKpRpAT0afj47najRb1l2F2B1dGnAbAjt1z8T64BdwI8HaPx0YPBo
56UbkdJBX0toBRpVQzQINTCdMMQzuRdV1YVI09bAmAwlA7O7IICpC/odKa2AoahrPfvxaB1gdu9r
hV430nFT06zZCQE4VunlO0SaaIKiQDv5qhAoAm1sC0t5bkcARaBykUl9fQPzgEIYLgVMLfFMvr7N
nWGDvYTKYHhm5yaAKpf2EpABWi3R0Y7V7cu+beMkCdosfbwMZrd6UXY7TEpCD+IOU5YM3eooAxM9
6OhHhE11wJVjtGB2J4EqYAGKljsJcCBzGQAfHQ2DiY1ouUfQg8Aib8/WYTZsVdZbEu2fYBkBqz8e
+InDDN3JkYWBCMJ2hoYRtNeSUgDjP0lpshRwcffPRAps3CXC7w50BYO+nN2diDfnyEbOsAkwiqgk
fYoPTsxDXGd8KZtCjvHSnKEsqNKhZLxGKlYExHj81pNdIJ15RGGCaC8xiN2M/EXsdsGtLacR4TeC
D5IYIk1WxDNZv6sTYqS3jwqYvX/mdxYoG5fViDqpSIGbB7gzmkCHNoIr6KFU7GPKrvtnfjYClWbS
etEhbWIIytExnDyxEVyHe4OAMiHnYRcG4ZvRidCof5DWi8QSYafHIB5F4WUwjQiShi8x6sXZnQjm
Jq0XdMxloup86cOTYFtHtgJVw3NKYTh685IBUfEvpRVZvQ6DD/S6r3tMIrdGQsHmzA1CMr+7UVD0
Su4CASQiI/gE9hgrnOgDSPOoPCK6PkrbnITAQEQlly/MRIdCLniAhmeyfJe80wBdwUjqn/6Fc9oF
oluysROcBQcJoNzudWeB7Bri4bIF48/npw4J7ckqBMPCcaSAHHjT67JgHOGf0plsTGjPSAh0HX4n
+aNAczQXI3hcPvu5H0PBV4CtQhOB1OftQQHPaBc0FdYkyV0wiBSRX6W0/3VbWVWIJQPb16DumJ0q
QDalpYAo8sDTMFrBL+IGFnEDHGd7FJPBIJ2TFIASkJYCMu2kC0Q0fZD1yVkAdIErIcgF5oq7ASr4
ogfZr6KPDP2ItuK4S094A27bfY2AbWCyQxph5+ddmplGMJi+rEbQSbFRBCoYhZ9MgP1dIHJLPzbE
oedCmdn6dUvQAEjZyWhE7CNoisgvvLp+RRF9LLgVv/rVM9sFWgJLR5VZJDg7QfkybMJELwJH5CeQ
PBhfYVrz2gVEQRqEgs8EAocugniH/TOJqjoKiVY2gX5vg0aYn+eIWy/rNJBrc1zSzaPuf5FvJtsE
3QkEjnuyMjNZoI5f2lJQOfa6Yzigfftn6jphSQBLYBdGWRkQUHOyFASeTFY74h9rDmCbMbE4BSaK
OxKgv6DYHE7M7E4EoqAOn+bfzzziQBo6OTXMgVf1AhJyhA7Guxo3fEZSINYvezvo2AjQmJBl+Kr3
9m0E9CKtB7hCcdb7Z3YO9FgGJGcpAEZy6brQN6AVy5zckVjMWEqiLy20af0zNw9KB1MnqxEEVBmO
UJfg4rDIyS7Y3KFcHdA/jj+fn0Z4hSjwl30HrEZYdDEVvqEReqtZIMPH8Osv+JE/oTyeS11OgjB5
7CthwlXZI02HAo8f/sJTlcjLAcbqD1HiQRnacz1b/4uiQG8YekB+iz//4wAT3gdM9n74FEDZ/+vj
Al+++tVJPf3Py3BVLIuHoOuX243THJrR/V+y/LJMl/uFf2gqJO/rTP7+t4N57t2LPxi4jCfjCgiH
9LgFZHvrw4F7/LD8wPFyXS7Lpyl+rdSRHflkmdCwo1iHB7Me8I3SY2dJViwfs/1ZD6A5+ZHX69VD
FT7U1cHgfbmC7OCnq2TZLA97nA/YX+mRxyKRN9lfbyh7rNMvh9s+oMlk33LOroePB99zrG2THZl2
9oV/OOURAiY78iU7Hob73xJOfsESKjvw1eMyOBBAdcApSY8Lo886Cw9P5FAxIT30+pG+Moffb4DV
SI+cNZNhe5yG7LDvXuqmIekvPTAD1A9x9yQGvdobCrNkh77O6rB8sc0DYkN27PfLcL06mPOAEJQf
t+heNBIbUuryQ5fl8iGoy1VVHci0NqRrpccPH4LQXx6WGQ5JQPmhuQvKrDqQbKiURWpNfuyyDPkn
zw9004jm+B2jZ3UxHfq3TDxbVxMdMiaaZCd9s/pSQIJ3uNtD9kJ+6O3y8N7C/RbJIfmBmzeXyzQv
adZ9cDDHhMPvGP/tqihXB5pqRMj/jsHfr9rw4eAaY3ABMfwdg3/OivhppN4/GEp8pIfOiip4c7Is
Mm7KQ3Eh6qI+vfFVdpBnj/57VvxN/4LTZTw9+0P+QHb+H4LwcMeHgLz0sHGCRXLo1cBNLkAh0kN/
s3l3X97/7+/07Wq9Lrtku5y4CbBFiri07Lx/1CRTcvYfs/obgjhG0WTnP7zgpSCOQUrZ4e/Z/VVZ
rg401wiekB+7PfQqdSb9GzTuH9UyeBIMoVPGWjHZ6X5aFSk328HIA1eD9Mghns1EvMfAmuzQ3+9Q
ISncf67K6s2n1yY/ZM6kJx+WD9m6DA8st7EeWHrsbxM7fXdXXos0PWN6XsafnshRXvtrh8E18RsP
yWpZ/OP/AQAA//8=</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2.xml"/><Relationship Id="rId12" Type="http://schemas.microsoft.com/office/2007/relationships/hdphoto" Target="../media/hdphoto1.wdp"/><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30</xdr:col>
      <xdr:colOff>273050</xdr:colOff>
      <xdr:row>5</xdr:row>
      <xdr:rowOff>63501</xdr:rowOff>
    </xdr:from>
    <xdr:to>
      <xdr:col>33</xdr:col>
      <xdr:colOff>273050</xdr:colOff>
      <xdr:row>15</xdr:row>
      <xdr:rowOff>133351</xdr:rowOff>
    </xdr:to>
    <mc:AlternateContent xmlns:mc="http://schemas.openxmlformats.org/markup-compatibility/2006" xmlns:a14="http://schemas.microsoft.com/office/drawing/2010/main">
      <mc:Choice Requires="a14">
        <xdr:graphicFrame macro="">
          <xdr:nvGraphicFramePr>
            <xdr:cNvPr id="6" name="Months (Order Date) 1">
              <a:extLst>
                <a:ext uri="{FF2B5EF4-FFF2-40B4-BE49-F238E27FC236}">
                  <a16:creationId xmlns:a16="http://schemas.microsoft.com/office/drawing/2014/main" id="{8EBAF2B0-9060-7177-DC71-B5F273325612}"/>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24428450" y="984251"/>
              <a:ext cx="1828800" cy="191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6350</xdr:rowOff>
    </xdr:from>
    <xdr:to>
      <xdr:col>19</xdr:col>
      <xdr:colOff>9769</xdr:colOff>
      <xdr:row>32</xdr:row>
      <xdr:rowOff>9770</xdr:rowOff>
    </xdr:to>
    <xdr:sp macro="" textlink="Dashboard!$A$11">
      <xdr:nvSpPr>
        <xdr:cNvPr id="2" name="Rectangle: Rounded Corners 1">
          <a:extLst>
            <a:ext uri="{FF2B5EF4-FFF2-40B4-BE49-F238E27FC236}">
              <a16:creationId xmlns:a16="http://schemas.microsoft.com/office/drawing/2014/main" id="{F423CCF0-67B9-2F6A-274A-6B2A08B9C7E8}"/>
            </a:ext>
          </a:extLst>
        </xdr:cNvPr>
        <xdr:cNvSpPr/>
      </xdr:nvSpPr>
      <xdr:spPr>
        <a:xfrm>
          <a:off x="0" y="6350"/>
          <a:ext cx="11517923" cy="5943112"/>
        </a:xfrm>
        <a:prstGeom prst="roundRect">
          <a:avLst>
            <a:gd name="adj" fmla="val 266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2984CE3-B693-46A5-838B-EA596C8429DA}"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0</xdr:col>
      <xdr:colOff>111369</xdr:colOff>
      <xdr:row>0</xdr:row>
      <xdr:rowOff>50800</xdr:rowOff>
    </xdr:from>
    <xdr:to>
      <xdr:col>1</xdr:col>
      <xdr:colOff>555869</xdr:colOff>
      <xdr:row>3</xdr:row>
      <xdr:rowOff>120650</xdr:rowOff>
    </xdr:to>
    <xdr:sp macro="" textlink="">
      <xdr:nvSpPr>
        <xdr:cNvPr id="4" name="Rectangle: Rounded Corners 3">
          <a:extLst>
            <a:ext uri="{FF2B5EF4-FFF2-40B4-BE49-F238E27FC236}">
              <a16:creationId xmlns:a16="http://schemas.microsoft.com/office/drawing/2014/main" id="{8FB6B6CD-79CB-88D1-4155-E28783852923}"/>
            </a:ext>
          </a:extLst>
        </xdr:cNvPr>
        <xdr:cNvSpPr/>
      </xdr:nvSpPr>
      <xdr:spPr>
        <a:xfrm>
          <a:off x="111369" y="50800"/>
          <a:ext cx="1050192" cy="626696"/>
        </a:xfrm>
        <a:prstGeom prst="roundRect">
          <a:avLst/>
        </a:prstGeom>
        <a:solidFill>
          <a:srgbClr val="1A5B7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88901</xdr:colOff>
      <xdr:row>0</xdr:row>
      <xdr:rowOff>50800</xdr:rowOff>
    </xdr:from>
    <xdr:to>
      <xdr:col>18</xdr:col>
      <xdr:colOff>566616</xdr:colOff>
      <xdr:row>3</xdr:row>
      <xdr:rowOff>101600</xdr:rowOff>
    </xdr:to>
    <xdr:sp macro="" textlink="">
      <xdr:nvSpPr>
        <xdr:cNvPr id="5" name="Rectangle: Rounded Corners 4">
          <a:extLst>
            <a:ext uri="{FF2B5EF4-FFF2-40B4-BE49-F238E27FC236}">
              <a16:creationId xmlns:a16="http://schemas.microsoft.com/office/drawing/2014/main" id="{D28561AF-73B4-4336-990F-BFC1614241B7}"/>
            </a:ext>
          </a:extLst>
        </xdr:cNvPr>
        <xdr:cNvSpPr/>
      </xdr:nvSpPr>
      <xdr:spPr>
        <a:xfrm>
          <a:off x="1300286" y="50800"/>
          <a:ext cx="10168792" cy="607646"/>
        </a:xfrm>
        <a:prstGeom prst="roundRect">
          <a:avLst/>
        </a:prstGeom>
        <a:solidFill>
          <a:srgbClr val="1A5B7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64965</xdr:colOff>
      <xdr:row>4</xdr:row>
      <xdr:rowOff>28819</xdr:rowOff>
    </xdr:from>
    <xdr:to>
      <xdr:col>1</xdr:col>
      <xdr:colOff>595923</xdr:colOff>
      <xdr:row>31</xdr:row>
      <xdr:rowOff>149469</xdr:rowOff>
    </xdr:to>
    <xdr:sp macro="" textlink="">
      <xdr:nvSpPr>
        <xdr:cNvPr id="6" name="Rectangle: Rounded Corners 5">
          <a:extLst>
            <a:ext uri="{FF2B5EF4-FFF2-40B4-BE49-F238E27FC236}">
              <a16:creationId xmlns:a16="http://schemas.microsoft.com/office/drawing/2014/main" id="{5391932C-554E-4BE2-A4AF-8805D4D269EC}"/>
            </a:ext>
          </a:extLst>
        </xdr:cNvPr>
        <xdr:cNvSpPr/>
      </xdr:nvSpPr>
      <xdr:spPr>
        <a:xfrm>
          <a:off x="64965" y="771281"/>
          <a:ext cx="1136650" cy="5132265"/>
        </a:xfrm>
        <a:prstGeom prst="roundRect">
          <a:avLst/>
        </a:prstGeom>
        <a:solidFill>
          <a:srgbClr val="1A5B7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69850</xdr:colOff>
      <xdr:row>4</xdr:row>
      <xdr:rowOff>12700</xdr:rowOff>
    </xdr:from>
    <xdr:to>
      <xdr:col>5</xdr:col>
      <xdr:colOff>63500</xdr:colOff>
      <xdr:row>8</xdr:row>
      <xdr:rowOff>31750</xdr:rowOff>
    </xdr:to>
    <xdr:sp macro="" textlink="">
      <xdr:nvSpPr>
        <xdr:cNvPr id="9" name="Rectangle: Rounded Corners 8">
          <a:extLst>
            <a:ext uri="{FF2B5EF4-FFF2-40B4-BE49-F238E27FC236}">
              <a16:creationId xmlns:a16="http://schemas.microsoft.com/office/drawing/2014/main" id="{49278314-4EAB-A6C0-0144-7D3F34A37926}"/>
            </a:ext>
          </a:extLst>
        </xdr:cNvPr>
        <xdr:cNvSpPr/>
      </xdr:nvSpPr>
      <xdr:spPr>
        <a:xfrm>
          <a:off x="1289050" y="749300"/>
          <a:ext cx="1822450" cy="755650"/>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1400" b="1">
              <a:solidFill>
                <a:schemeClr val="tx1"/>
              </a:solidFill>
            </a:rPr>
            <a:t>Total</a:t>
          </a:r>
          <a:r>
            <a:rPr lang="en-IN" sz="1400" b="1" baseline="0">
              <a:solidFill>
                <a:schemeClr val="tx1"/>
              </a:solidFill>
            </a:rPr>
            <a:t> Sales</a:t>
          </a:r>
          <a:endParaRPr lang="en-IN" sz="1400" b="1">
            <a:solidFill>
              <a:schemeClr val="tx1"/>
            </a:solidFill>
          </a:endParaRPr>
        </a:p>
      </xdr:txBody>
    </xdr:sp>
    <xdr:clientData/>
  </xdr:twoCellAnchor>
  <xdr:twoCellAnchor>
    <xdr:from>
      <xdr:col>5</xdr:col>
      <xdr:colOff>139700</xdr:colOff>
      <xdr:row>4</xdr:row>
      <xdr:rowOff>25400</xdr:rowOff>
    </xdr:from>
    <xdr:to>
      <xdr:col>8</xdr:col>
      <xdr:colOff>132500</xdr:colOff>
      <xdr:row>8</xdr:row>
      <xdr:rowOff>12400</xdr:rowOff>
    </xdr:to>
    <xdr:sp macro="" textlink="">
      <xdr:nvSpPr>
        <xdr:cNvPr id="10" name="Rectangle: Rounded Corners 9">
          <a:extLst>
            <a:ext uri="{FF2B5EF4-FFF2-40B4-BE49-F238E27FC236}">
              <a16:creationId xmlns:a16="http://schemas.microsoft.com/office/drawing/2014/main" id="{759362FF-B444-41D7-A786-A61738CCC076}"/>
            </a:ext>
          </a:extLst>
        </xdr:cNvPr>
        <xdr:cNvSpPr/>
      </xdr:nvSpPr>
      <xdr:spPr>
        <a:xfrm>
          <a:off x="3187700" y="762000"/>
          <a:ext cx="1821600" cy="723600"/>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39076</xdr:colOff>
      <xdr:row>0</xdr:row>
      <xdr:rowOff>88900</xdr:rowOff>
    </xdr:from>
    <xdr:to>
      <xdr:col>13</xdr:col>
      <xdr:colOff>498231</xdr:colOff>
      <xdr:row>3</xdr:row>
      <xdr:rowOff>25400</xdr:rowOff>
    </xdr:to>
    <xdr:sp macro="" textlink="">
      <xdr:nvSpPr>
        <xdr:cNvPr id="11" name="TextBox 10">
          <a:extLst>
            <a:ext uri="{FF2B5EF4-FFF2-40B4-BE49-F238E27FC236}">
              <a16:creationId xmlns:a16="http://schemas.microsoft.com/office/drawing/2014/main" id="{05E2455F-8C66-22E9-9301-FC88CAABF796}"/>
            </a:ext>
          </a:extLst>
        </xdr:cNvPr>
        <xdr:cNvSpPr txBox="1"/>
      </xdr:nvSpPr>
      <xdr:spPr>
        <a:xfrm>
          <a:off x="2461845" y="88900"/>
          <a:ext cx="5910386" cy="493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2400" b="1">
              <a:solidFill>
                <a:schemeClr val="bg1"/>
              </a:solidFill>
            </a:rPr>
            <a:t>Sales Performance Analysis</a:t>
          </a:r>
        </a:p>
        <a:p>
          <a:pPr algn="l"/>
          <a:endParaRPr lang="en-IN" sz="2400" b="1">
            <a:solidFill>
              <a:schemeClr val="bg1"/>
            </a:solidFill>
          </a:endParaRPr>
        </a:p>
      </xdr:txBody>
    </xdr:sp>
    <xdr:clientData/>
  </xdr:twoCellAnchor>
  <xdr:twoCellAnchor editAs="oneCell">
    <xdr:from>
      <xdr:col>2</xdr:col>
      <xdr:colOff>158750</xdr:colOff>
      <xdr:row>0</xdr:row>
      <xdr:rowOff>0</xdr:rowOff>
    </xdr:from>
    <xdr:to>
      <xdr:col>3</xdr:col>
      <xdr:colOff>463550</xdr:colOff>
      <xdr:row>3</xdr:row>
      <xdr:rowOff>107950</xdr:rowOff>
    </xdr:to>
    <xdr:pic>
      <xdr:nvPicPr>
        <xdr:cNvPr id="13" name="Graphic 12" descr="Bar graph with upward trend with solid fill">
          <a:extLst>
            <a:ext uri="{FF2B5EF4-FFF2-40B4-BE49-F238E27FC236}">
              <a16:creationId xmlns:a16="http://schemas.microsoft.com/office/drawing/2014/main" id="{715740C0-A461-1965-163B-7519DE9C91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7950" y="0"/>
          <a:ext cx="914400" cy="660400"/>
        </a:xfrm>
        <a:prstGeom prst="rect">
          <a:avLst/>
        </a:prstGeom>
      </xdr:spPr>
    </xdr:pic>
    <xdr:clientData/>
  </xdr:twoCellAnchor>
  <xdr:twoCellAnchor editAs="oneCell">
    <xdr:from>
      <xdr:col>5</xdr:col>
      <xdr:colOff>279400</xdr:colOff>
      <xdr:row>4</xdr:row>
      <xdr:rowOff>107950</xdr:rowOff>
    </xdr:from>
    <xdr:to>
      <xdr:col>6</xdr:col>
      <xdr:colOff>285750</xdr:colOff>
      <xdr:row>7</xdr:row>
      <xdr:rowOff>95250</xdr:rowOff>
    </xdr:to>
    <xdr:pic>
      <xdr:nvPicPr>
        <xdr:cNvPr id="16" name="Picture 15">
          <a:extLst>
            <a:ext uri="{FF2B5EF4-FFF2-40B4-BE49-F238E27FC236}">
              <a16:creationId xmlns:a16="http://schemas.microsoft.com/office/drawing/2014/main" id="{561909F1-9CB6-4906-A983-27201C11D7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27400" y="844550"/>
          <a:ext cx="615950" cy="539750"/>
        </a:xfrm>
        <a:prstGeom prst="rect">
          <a:avLst/>
        </a:prstGeom>
      </xdr:spPr>
    </xdr:pic>
    <xdr:clientData/>
  </xdr:twoCellAnchor>
  <xdr:twoCellAnchor editAs="oneCell">
    <xdr:from>
      <xdr:col>2</xdr:col>
      <xdr:colOff>190500</xdr:colOff>
      <xdr:row>4</xdr:row>
      <xdr:rowOff>50800</xdr:rowOff>
    </xdr:from>
    <xdr:to>
      <xdr:col>3</xdr:col>
      <xdr:colOff>209550</xdr:colOff>
      <xdr:row>7</xdr:row>
      <xdr:rowOff>177800</xdr:rowOff>
    </xdr:to>
    <xdr:pic>
      <xdr:nvPicPr>
        <xdr:cNvPr id="18" name="Picture 17">
          <a:extLst>
            <a:ext uri="{FF2B5EF4-FFF2-40B4-BE49-F238E27FC236}">
              <a16:creationId xmlns:a16="http://schemas.microsoft.com/office/drawing/2014/main" id="{3CF9C08D-5649-C03C-B012-482CB96C0F6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09700" y="787400"/>
          <a:ext cx="628650" cy="679450"/>
        </a:xfrm>
        <a:prstGeom prst="rect">
          <a:avLst/>
        </a:prstGeom>
      </xdr:spPr>
    </xdr:pic>
    <xdr:clientData/>
  </xdr:twoCellAnchor>
  <xdr:twoCellAnchor>
    <xdr:from>
      <xdr:col>6</xdr:col>
      <xdr:colOff>304800</xdr:colOff>
      <xdr:row>4</xdr:row>
      <xdr:rowOff>63500</xdr:rowOff>
    </xdr:from>
    <xdr:to>
      <xdr:col>8</xdr:col>
      <xdr:colOff>215900</xdr:colOff>
      <xdr:row>5</xdr:row>
      <xdr:rowOff>139700</xdr:rowOff>
    </xdr:to>
    <xdr:sp macro="" textlink="">
      <xdr:nvSpPr>
        <xdr:cNvPr id="19" name="TextBox 18">
          <a:extLst>
            <a:ext uri="{FF2B5EF4-FFF2-40B4-BE49-F238E27FC236}">
              <a16:creationId xmlns:a16="http://schemas.microsoft.com/office/drawing/2014/main" id="{98C833C3-99E6-01E1-9A1C-3443764BF829}"/>
            </a:ext>
          </a:extLst>
        </xdr:cNvPr>
        <xdr:cNvSpPr txBox="1"/>
      </xdr:nvSpPr>
      <xdr:spPr>
        <a:xfrm>
          <a:off x="3962400" y="800100"/>
          <a:ext cx="11303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Profit</a:t>
          </a:r>
          <a:endParaRPr lang="en-IN" sz="1400" b="1"/>
        </a:p>
      </xdr:txBody>
    </xdr:sp>
    <xdr:clientData/>
  </xdr:twoCellAnchor>
  <xdr:oneCellAnchor>
    <xdr:from>
      <xdr:col>5</xdr:col>
      <xdr:colOff>596900</xdr:colOff>
      <xdr:row>6</xdr:row>
      <xdr:rowOff>19050</xdr:rowOff>
    </xdr:from>
    <xdr:ext cx="1402831" cy="264560"/>
    <xdr:sp macro="" textlink="">
      <xdr:nvSpPr>
        <xdr:cNvPr id="20" name="TextBox 19">
          <a:extLst>
            <a:ext uri="{FF2B5EF4-FFF2-40B4-BE49-F238E27FC236}">
              <a16:creationId xmlns:a16="http://schemas.microsoft.com/office/drawing/2014/main" id="{B13085E2-03A0-29F3-B501-4E988FC2F844}"/>
            </a:ext>
          </a:extLst>
        </xdr:cNvPr>
        <xdr:cNvSpPr txBox="1"/>
      </xdr:nvSpPr>
      <xdr:spPr>
        <a:xfrm>
          <a:off x="3644900" y="1123950"/>
          <a:ext cx="14028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i="0" u="none" strike="noStrike">
              <a:solidFill>
                <a:schemeClr val="tx1"/>
              </a:solidFill>
              <a:effectLst/>
              <a:latin typeface="+mn-lt"/>
              <a:ea typeface="+mn-ea"/>
              <a:cs typeface="+mn-cs"/>
            </a:rPr>
            <a:t>          ₹  </a:t>
          </a:r>
          <a:r>
            <a:rPr lang="en-IN" sz="1100" b="1" i="0" u="none" strike="noStrike">
              <a:solidFill>
                <a:schemeClr val="tx1"/>
              </a:solidFill>
              <a:effectLst/>
              <a:latin typeface="Arial" panose="020B0604020202020204" pitchFamily="34" charset="0"/>
              <a:ea typeface="+mn-ea"/>
              <a:cs typeface="Arial" panose="020B0604020202020204" pitchFamily="34" charset="0"/>
            </a:rPr>
            <a:t>19,24,338</a:t>
          </a:r>
          <a:r>
            <a:rPr lang="en-IN" sz="1100" b="1" i="0" u="none" strike="noStrike">
              <a:solidFill>
                <a:schemeClr val="tx1"/>
              </a:solidFill>
              <a:effectLst/>
              <a:latin typeface="+mn-lt"/>
              <a:ea typeface="+mn-ea"/>
              <a:cs typeface="+mn-cs"/>
            </a:rPr>
            <a:t> </a:t>
          </a:r>
          <a:endParaRPr lang="en-IN" sz="1100"/>
        </a:p>
      </xdr:txBody>
    </xdr:sp>
    <xdr:clientData/>
  </xdr:oneCellAnchor>
  <xdr:twoCellAnchor>
    <xdr:from>
      <xdr:col>3</xdr:col>
      <xdr:colOff>209550</xdr:colOff>
      <xdr:row>6</xdr:row>
      <xdr:rowOff>19050</xdr:rowOff>
    </xdr:from>
    <xdr:to>
      <xdr:col>5</xdr:col>
      <xdr:colOff>31750</xdr:colOff>
      <xdr:row>7</xdr:row>
      <xdr:rowOff>133350</xdr:rowOff>
    </xdr:to>
    <xdr:sp macro="" textlink="">
      <xdr:nvSpPr>
        <xdr:cNvPr id="22" name="TextBox 21">
          <a:extLst>
            <a:ext uri="{FF2B5EF4-FFF2-40B4-BE49-F238E27FC236}">
              <a16:creationId xmlns:a16="http://schemas.microsoft.com/office/drawing/2014/main" id="{3CA433E5-6C10-04EE-1428-A8F798800BD0}"/>
            </a:ext>
          </a:extLst>
        </xdr:cNvPr>
        <xdr:cNvSpPr txBox="1"/>
      </xdr:nvSpPr>
      <xdr:spPr>
        <a:xfrm>
          <a:off x="2038350" y="1123950"/>
          <a:ext cx="10414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Arial" panose="020B0604020202020204" pitchFamily="34" charset="0"/>
              <a:ea typeface="+mn-ea"/>
              <a:cs typeface="Arial" panose="020B0604020202020204" pitchFamily="34" charset="0"/>
            </a:rPr>
            <a:t> ₹ </a:t>
          </a:r>
          <a:r>
            <a:rPr lang="en-IN" sz="1100" b="1" i="0" u="none" strike="noStrike" baseline="0">
              <a:solidFill>
                <a:schemeClr val="dk1"/>
              </a:solidFill>
              <a:effectLst/>
              <a:latin typeface="Arial" panose="020B0604020202020204" pitchFamily="34" charset="0"/>
              <a:ea typeface="+mn-ea"/>
              <a:cs typeface="Arial" panose="020B0604020202020204" pitchFamily="34" charset="0"/>
            </a:rPr>
            <a:t> </a:t>
          </a:r>
          <a:r>
            <a:rPr lang="en-IN" sz="1100" b="1" i="0" u="none" strike="noStrike">
              <a:solidFill>
                <a:schemeClr val="dk1"/>
              </a:solidFill>
              <a:effectLst/>
              <a:latin typeface="Arial" panose="020B0604020202020204" pitchFamily="34" charset="0"/>
              <a:ea typeface="+mn-ea"/>
              <a:cs typeface="Arial" panose="020B0604020202020204" pitchFamily="34" charset="0"/>
            </a:rPr>
            <a:t>2,24,078 </a:t>
          </a:r>
          <a:endParaRPr lang="en-IN" sz="1100">
            <a:latin typeface="Arial" panose="020B0604020202020204" pitchFamily="34" charset="0"/>
            <a:cs typeface="Arial" panose="020B0604020202020204" pitchFamily="34" charset="0"/>
          </a:endParaRPr>
        </a:p>
      </xdr:txBody>
    </xdr:sp>
    <xdr:clientData/>
  </xdr:twoCellAnchor>
  <xdr:twoCellAnchor>
    <xdr:from>
      <xdr:col>2</xdr:col>
      <xdr:colOff>51288</xdr:colOff>
      <xdr:row>8</xdr:row>
      <xdr:rowOff>126511</xdr:rowOff>
    </xdr:from>
    <xdr:to>
      <xdr:col>8</xdr:col>
      <xdr:colOff>178288</xdr:colOff>
      <xdr:row>19</xdr:row>
      <xdr:rowOff>113811</xdr:rowOff>
    </xdr:to>
    <xdr:sp macro="" textlink="">
      <xdr:nvSpPr>
        <xdr:cNvPr id="8" name="Rectangle: Rounded Corners 7">
          <a:extLst>
            <a:ext uri="{FF2B5EF4-FFF2-40B4-BE49-F238E27FC236}">
              <a16:creationId xmlns:a16="http://schemas.microsoft.com/office/drawing/2014/main" id="{66814976-E745-4501-816E-D107B6DF6047}"/>
            </a:ext>
          </a:extLst>
        </xdr:cNvPr>
        <xdr:cNvSpPr/>
      </xdr:nvSpPr>
      <xdr:spPr>
        <a:xfrm>
          <a:off x="1262673" y="1611434"/>
          <a:ext cx="3761153" cy="2029069"/>
        </a:xfrm>
        <a:prstGeom prst="roundRect">
          <a:avLst>
            <a:gd name="adj" fmla="val 1351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88900</xdr:colOff>
      <xdr:row>9</xdr:row>
      <xdr:rowOff>12700</xdr:rowOff>
    </xdr:from>
    <xdr:to>
      <xdr:col>8</xdr:col>
      <xdr:colOff>107950</xdr:colOff>
      <xdr:row>19</xdr:row>
      <xdr:rowOff>63500</xdr:rowOff>
    </xdr:to>
    <xdr:graphicFrame macro="">
      <xdr:nvGraphicFramePr>
        <xdr:cNvPr id="3" name="Chart 2">
          <a:extLst>
            <a:ext uri="{FF2B5EF4-FFF2-40B4-BE49-F238E27FC236}">
              <a16:creationId xmlns:a16="http://schemas.microsoft.com/office/drawing/2014/main" id="{86B5E440-79C6-492E-BA28-F7CB2E76A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260350</xdr:colOff>
      <xdr:row>4</xdr:row>
      <xdr:rowOff>19050</xdr:rowOff>
    </xdr:from>
    <xdr:to>
      <xdr:col>13</xdr:col>
      <xdr:colOff>546100</xdr:colOff>
      <xdr:row>31</xdr:row>
      <xdr:rowOff>31750</xdr:rowOff>
    </xdr:to>
    <xdr:sp macro="" textlink="">
      <xdr:nvSpPr>
        <xdr:cNvPr id="12" name="Rectangle: Rounded Corners 11">
          <a:extLst>
            <a:ext uri="{FF2B5EF4-FFF2-40B4-BE49-F238E27FC236}">
              <a16:creationId xmlns:a16="http://schemas.microsoft.com/office/drawing/2014/main" id="{AEA77545-6364-46E7-8C33-AB7F63D045AF}"/>
            </a:ext>
          </a:extLst>
        </xdr:cNvPr>
        <xdr:cNvSpPr/>
      </xdr:nvSpPr>
      <xdr:spPr>
        <a:xfrm>
          <a:off x="5137150" y="755650"/>
          <a:ext cx="3333750" cy="4984750"/>
        </a:xfrm>
        <a:prstGeom prst="roundRect">
          <a:avLst>
            <a:gd name="adj" fmla="val 6193"/>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304800</xdr:colOff>
      <xdr:row>4</xdr:row>
      <xdr:rowOff>82549</xdr:rowOff>
    </xdr:from>
    <xdr:to>
      <xdr:col>13</xdr:col>
      <xdr:colOff>565150</xdr:colOff>
      <xdr:row>31</xdr:row>
      <xdr:rowOff>127000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410CC074-4295-42F6-8BE3-990176B0F5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81600" y="819149"/>
              <a:ext cx="3308350" cy="50165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12700</xdr:colOff>
      <xdr:row>4</xdr:row>
      <xdr:rowOff>19050</xdr:rowOff>
    </xdr:from>
    <xdr:to>
      <xdr:col>18</xdr:col>
      <xdr:colOff>514350</xdr:colOff>
      <xdr:row>13</xdr:row>
      <xdr:rowOff>44112</xdr:rowOff>
    </xdr:to>
    <xdr:sp macro="" textlink="">
      <xdr:nvSpPr>
        <xdr:cNvPr id="7" name="Rectangle: Rounded Corners 6">
          <a:extLst>
            <a:ext uri="{FF2B5EF4-FFF2-40B4-BE49-F238E27FC236}">
              <a16:creationId xmlns:a16="http://schemas.microsoft.com/office/drawing/2014/main" id="{FDDEDA25-880F-423F-B272-5FD235CEF52B}"/>
            </a:ext>
          </a:extLst>
        </xdr:cNvPr>
        <xdr:cNvSpPr/>
      </xdr:nvSpPr>
      <xdr:spPr>
        <a:xfrm>
          <a:off x="8492392" y="761512"/>
          <a:ext cx="2924420" cy="1695600"/>
        </a:xfrm>
        <a:prstGeom prst="roundRect">
          <a:avLst>
            <a:gd name="adj" fmla="val 1351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24423</xdr:colOff>
      <xdr:row>13</xdr:row>
      <xdr:rowOff>100623</xdr:rowOff>
    </xdr:from>
    <xdr:to>
      <xdr:col>18</xdr:col>
      <xdr:colOff>526073</xdr:colOff>
      <xdr:row>22</xdr:row>
      <xdr:rowOff>127001</xdr:rowOff>
    </xdr:to>
    <xdr:sp macro="" textlink="">
      <xdr:nvSpPr>
        <xdr:cNvPr id="23" name="Rectangle: Rounded Corners 22">
          <a:extLst>
            <a:ext uri="{FF2B5EF4-FFF2-40B4-BE49-F238E27FC236}">
              <a16:creationId xmlns:a16="http://schemas.microsoft.com/office/drawing/2014/main" id="{4966CB3D-0066-474A-91BC-59C9C1815144}"/>
            </a:ext>
          </a:extLst>
        </xdr:cNvPr>
        <xdr:cNvSpPr/>
      </xdr:nvSpPr>
      <xdr:spPr>
        <a:xfrm>
          <a:off x="8504115" y="2513623"/>
          <a:ext cx="2924420" cy="1696916"/>
        </a:xfrm>
        <a:prstGeom prst="roundRect">
          <a:avLst>
            <a:gd name="adj" fmla="val 1351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156307</xdr:colOff>
      <xdr:row>14</xdr:row>
      <xdr:rowOff>78154</xdr:rowOff>
    </xdr:from>
    <xdr:to>
      <xdr:col>18</xdr:col>
      <xdr:colOff>439615</xdr:colOff>
      <xdr:row>22</xdr:row>
      <xdr:rowOff>127001</xdr:rowOff>
    </xdr:to>
    <xdr:graphicFrame macro="">
      <xdr:nvGraphicFramePr>
        <xdr:cNvPr id="24" name="Chart 23">
          <a:extLst>
            <a:ext uri="{FF2B5EF4-FFF2-40B4-BE49-F238E27FC236}">
              <a16:creationId xmlns:a16="http://schemas.microsoft.com/office/drawing/2014/main" id="{D7162BE5-4B44-4037-8170-55BA0E9D9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234950</xdr:colOff>
      <xdr:row>4</xdr:row>
      <xdr:rowOff>69850</xdr:rowOff>
    </xdr:from>
    <xdr:to>
      <xdr:col>18</xdr:col>
      <xdr:colOff>317500</xdr:colOff>
      <xdr:row>13</xdr:row>
      <xdr:rowOff>39077</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A3DE3006-F8B6-4258-A60C-D416F8CC58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769350" y="806450"/>
              <a:ext cx="2520950" cy="16265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53974</xdr:colOff>
      <xdr:row>20</xdr:row>
      <xdr:rowOff>10746</xdr:rowOff>
    </xdr:from>
    <xdr:to>
      <xdr:col>8</xdr:col>
      <xdr:colOff>177800</xdr:colOff>
      <xdr:row>31</xdr:row>
      <xdr:rowOff>68385</xdr:rowOff>
    </xdr:to>
    <xdr:sp macro="" textlink="">
      <xdr:nvSpPr>
        <xdr:cNvPr id="15" name="Rectangle: Rounded Corners 14">
          <a:extLst>
            <a:ext uri="{FF2B5EF4-FFF2-40B4-BE49-F238E27FC236}">
              <a16:creationId xmlns:a16="http://schemas.microsoft.com/office/drawing/2014/main" id="{3B301488-F394-415B-8E01-EB837EEEB0BD}"/>
            </a:ext>
          </a:extLst>
        </xdr:cNvPr>
        <xdr:cNvSpPr/>
      </xdr:nvSpPr>
      <xdr:spPr>
        <a:xfrm>
          <a:off x="1265359" y="3723054"/>
          <a:ext cx="3757979" cy="2099408"/>
        </a:xfrm>
        <a:prstGeom prst="roundRect">
          <a:avLst>
            <a:gd name="adj" fmla="val 1351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152400</xdr:colOff>
      <xdr:row>20</xdr:row>
      <xdr:rowOff>63499</xdr:rowOff>
    </xdr:from>
    <xdr:to>
      <xdr:col>8</xdr:col>
      <xdr:colOff>38100</xdr:colOff>
      <xdr:row>31</xdr:row>
      <xdr:rowOff>19537</xdr:rowOff>
    </xdr:to>
    <xdr:graphicFrame macro="">
      <xdr:nvGraphicFramePr>
        <xdr:cNvPr id="17" name="Chart 16">
          <a:extLst>
            <a:ext uri="{FF2B5EF4-FFF2-40B4-BE49-F238E27FC236}">
              <a16:creationId xmlns:a16="http://schemas.microsoft.com/office/drawing/2014/main" id="{7834A360-3C39-4CF4-8B2F-911380AC3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68385</xdr:colOff>
      <xdr:row>23</xdr:row>
      <xdr:rowOff>29308</xdr:rowOff>
    </xdr:from>
    <xdr:to>
      <xdr:col>18</xdr:col>
      <xdr:colOff>568815</xdr:colOff>
      <xdr:row>31</xdr:row>
      <xdr:rowOff>127000</xdr:rowOff>
    </xdr:to>
    <xdr:sp macro="" textlink="">
      <xdr:nvSpPr>
        <xdr:cNvPr id="21" name="Rectangle: Rounded Corners 20">
          <a:extLst>
            <a:ext uri="{FF2B5EF4-FFF2-40B4-BE49-F238E27FC236}">
              <a16:creationId xmlns:a16="http://schemas.microsoft.com/office/drawing/2014/main" id="{76F10580-3673-4C9A-A84F-D3A07A317641}"/>
            </a:ext>
          </a:extLst>
        </xdr:cNvPr>
        <xdr:cNvSpPr/>
      </xdr:nvSpPr>
      <xdr:spPr>
        <a:xfrm>
          <a:off x="8548077" y="4298462"/>
          <a:ext cx="2923200" cy="1582615"/>
        </a:xfrm>
        <a:prstGeom prst="roundRect">
          <a:avLst>
            <a:gd name="adj" fmla="val 1351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195386</xdr:colOff>
      <xdr:row>23</xdr:row>
      <xdr:rowOff>68384</xdr:rowOff>
    </xdr:from>
    <xdr:to>
      <xdr:col>18</xdr:col>
      <xdr:colOff>507999</xdr:colOff>
      <xdr:row>31</xdr:row>
      <xdr:rowOff>68385</xdr:rowOff>
    </xdr:to>
    <xdr:graphicFrame macro="">
      <xdr:nvGraphicFramePr>
        <xdr:cNvPr id="28" name="Chart 27">
          <a:extLst>
            <a:ext uri="{FF2B5EF4-FFF2-40B4-BE49-F238E27FC236}">
              <a16:creationId xmlns:a16="http://schemas.microsoft.com/office/drawing/2014/main" id="{DEAC471E-0DFC-45C4-BC3F-3046D1CEF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175845</xdr:colOff>
      <xdr:row>0</xdr:row>
      <xdr:rowOff>29309</xdr:rowOff>
    </xdr:from>
    <xdr:to>
      <xdr:col>1</xdr:col>
      <xdr:colOff>478692</xdr:colOff>
      <xdr:row>4</xdr:row>
      <xdr:rowOff>1</xdr:rowOff>
    </xdr:to>
    <xdr:pic>
      <xdr:nvPicPr>
        <xdr:cNvPr id="30" name="Picture 29">
          <a:extLst>
            <a:ext uri="{FF2B5EF4-FFF2-40B4-BE49-F238E27FC236}">
              <a16:creationId xmlns:a16="http://schemas.microsoft.com/office/drawing/2014/main" id="{96920777-7626-2204-160E-9437107092B9}"/>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sharpenSoften amount="3000"/>
                  </a14:imgEffect>
                </a14:imgLayer>
              </a14:imgProps>
            </a:ext>
            <a:ext uri="{28A0092B-C50C-407E-A947-70E740481C1C}">
              <a14:useLocalDpi xmlns:a14="http://schemas.microsoft.com/office/drawing/2010/main" val="0"/>
            </a:ext>
          </a:extLst>
        </a:blip>
        <a:stretch>
          <a:fillRect/>
        </a:stretch>
      </xdr:blipFill>
      <xdr:spPr>
        <a:xfrm>
          <a:off x="175845" y="29309"/>
          <a:ext cx="908539" cy="713154"/>
        </a:xfrm>
        <a:prstGeom prst="rect">
          <a:avLst/>
        </a:prstGeom>
        <a:solidFill>
          <a:srgbClr val="084F6A"/>
        </a:solidFill>
        <a:ln>
          <a:noFill/>
        </a:ln>
      </xdr:spPr>
    </xdr:pic>
    <xdr:clientData/>
  </xdr:twoCellAnchor>
  <xdr:twoCellAnchor editAs="oneCell">
    <xdr:from>
      <xdr:col>0</xdr:col>
      <xdr:colOff>74734</xdr:colOff>
      <xdr:row>5</xdr:row>
      <xdr:rowOff>97204</xdr:rowOff>
    </xdr:from>
    <xdr:to>
      <xdr:col>1</xdr:col>
      <xdr:colOff>595923</xdr:colOff>
      <xdr:row>13</xdr:row>
      <xdr:rowOff>110880</xdr:rowOff>
    </xdr:to>
    <mc:AlternateContent xmlns:mc="http://schemas.openxmlformats.org/markup-compatibility/2006" xmlns:a14="http://schemas.microsoft.com/office/drawing/2010/main">
      <mc:Choice Requires="a14">
        <xdr:graphicFrame macro="">
          <xdr:nvGraphicFramePr>
            <xdr:cNvPr id="31" name="Region 5">
              <a:extLst>
                <a:ext uri="{FF2B5EF4-FFF2-40B4-BE49-F238E27FC236}">
                  <a16:creationId xmlns:a16="http://schemas.microsoft.com/office/drawing/2014/main" id="{33A5DAC5-551A-41F7-9854-0126608B5EA3}"/>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74734" y="1025281"/>
              <a:ext cx="1126881" cy="1498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84504</xdr:colOff>
      <xdr:row>14</xdr:row>
      <xdr:rowOff>38588</xdr:rowOff>
    </xdr:from>
    <xdr:to>
      <xdr:col>1</xdr:col>
      <xdr:colOff>586154</xdr:colOff>
      <xdr:row>20</xdr:row>
      <xdr:rowOff>136768</xdr:rowOff>
    </xdr:to>
    <mc:AlternateContent xmlns:mc="http://schemas.openxmlformats.org/markup-compatibility/2006" xmlns:a14="http://schemas.microsoft.com/office/drawing/2010/main">
      <mc:Choice Requires="a14">
        <xdr:graphicFrame macro="">
          <xdr:nvGraphicFramePr>
            <xdr:cNvPr id="32" name="Ship Mode 2">
              <a:extLst>
                <a:ext uri="{FF2B5EF4-FFF2-40B4-BE49-F238E27FC236}">
                  <a16:creationId xmlns:a16="http://schemas.microsoft.com/office/drawing/2014/main" id="{6FF24A8A-7A47-41E5-946B-6751CF78BDD3}"/>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84504" y="2637203"/>
              <a:ext cx="1107342" cy="1211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104042</xdr:colOff>
      <xdr:row>21</xdr:row>
      <xdr:rowOff>38588</xdr:rowOff>
    </xdr:from>
    <xdr:to>
      <xdr:col>1</xdr:col>
      <xdr:colOff>586154</xdr:colOff>
      <xdr:row>31</xdr:row>
      <xdr:rowOff>97692</xdr:rowOff>
    </xdr:to>
    <mc:AlternateContent xmlns:mc="http://schemas.openxmlformats.org/markup-compatibility/2006" xmlns:a14="http://schemas.microsoft.com/office/drawing/2010/main">
      <mc:Choice Requires="a14">
        <xdr:graphicFrame macro="">
          <xdr:nvGraphicFramePr>
            <xdr:cNvPr id="33" name="Months (Order Date) 2">
              <a:extLst>
                <a:ext uri="{FF2B5EF4-FFF2-40B4-BE49-F238E27FC236}">
                  <a16:creationId xmlns:a16="http://schemas.microsoft.com/office/drawing/2014/main" id="{BEA5D662-4A26-4A5C-84B4-CA9FCE535C4A}"/>
                </a:ext>
              </a:extLst>
            </xdr:cNvPr>
            <xdr:cNvGraphicFramePr/>
          </xdr:nvGraphicFramePr>
          <xdr:xfrm>
            <a:off x="0" y="0"/>
            <a:ext cx="0" cy="0"/>
          </xdr:xfrm>
          <a:graphic>
            <a:graphicData uri="http://schemas.microsoft.com/office/drawing/2010/slicer">
              <sle:slicer xmlns:sle="http://schemas.microsoft.com/office/drawing/2010/slicer" name="Months (Order Date) 2"/>
            </a:graphicData>
          </a:graphic>
        </xdr:graphicFrame>
      </mc:Choice>
      <mc:Fallback xmlns="">
        <xdr:sp macro="" textlink="">
          <xdr:nvSpPr>
            <xdr:cNvPr id="0" name=""/>
            <xdr:cNvSpPr>
              <a:spLocks noTextEdit="1"/>
            </xdr:cNvSpPr>
          </xdr:nvSpPr>
          <xdr:spPr>
            <a:xfrm>
              <a:off x="104042" y="3936511"/>
              <a:ext cx="1087804" cy="1915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97692</xdr:colOff>
      <xdr:row>0</xdr:row>
      <xdr:rowOff>58615</xdr:rowOff>
    </xdr:from>
    <xdr:to>
      <xdr:col>18</xdr:col>
      <xdr:colOff>195383</xdr:colOff>
      <xdr:row>3</xdr:row>
      <xdr:rowOff>117230</xdr:rowOff>
    </xdr:to>
    <xdr:pic>
      <xdr:nvPicPr>
        <xdr:cNvPr id="35" name="Picture 34">
          <a:extLst>
            <a:ext uri="{FF2B5EF4-FFF2-40B4-BE49-F238E27FC236}">
              <a16:creationId xmlns:a16="http://schemas.microsoft.com/office/drawing/2014/main" id="{E2CD65DA-7E97-37C9-ADD2-4C624F7B507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394461" y="58615"/>
          <a:ext cx="703384" cy="6154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45.598748379627" createdVersion="8" refreshedVersion="8" minRefreshableVersion="3" recordCount="1952" xr:uid="{B0D3F17C-2BE5-40C2-AE74-B0A0E6FDE8E2}">
  <cacheSource type="worksheet">
    <worksheetSource name="Orders"/>
  </cacheSource>
  <cacheFields count="27">
    <cacheField name="Row ID" numFmtId="0">
      <sharedItems containsSemiMixedTypes="0" containsString="0" containsNumber="1" containsInteger="1" minValue="64" maxValue="26389"/>
    </cacheField>
    <cacheField name="Order Priority" numFmtId="0">
      <sharedItems count="6">
        <s v="High"/>
        <s v="Not Specified"/>
        <s v="Critical"/>
        <s v="Medium"/>
        <s v="Low"/>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Pack"/>
        <s v="Small Box"/>
        <s v="Medium Box"/>
        <s v="Jumbo Box"/>
        <s v="Large Box"/>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6"/>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ount="1898">
        <n v="4.5599999999999996"/>
        <n v="4390.3665000000001"/>
        <n v="-53.809600000000003"/>
        <n v="803.47050000000002"/>
        <n v="-24.03"/>
        <n v="-37.03"/>
        <n v="-0.71"/>
        <n v="-59.82"/>
        <n v="261.87569999999994"/>
        <n v="2.63"/>
        <n v="652.73309999999992"/>
        <n v="314.48129999999998"/>
        <n v="-114.63990000000001"/>
        <n v="384.38"/>
        <n v="-17.489999999999998"/>
        <n v="-28.296800000000001"/>
        <n v="-5.3071999999999999"/>
        <n v="8.8940000000000055"/>
        <n v="144.69"/>
        <n v="-35.878799999999998"/>
        <n v="209.99700000000001"/>
        <n v="3568.096"/>
        <n v="-84.437600000000003"/>
        <n v="24.312000000000001"/>
        <n v="25.913820000000015"/>
        <n v="162.666"/>
        <n v="-6923.5991999999997"/>
        <n v="-67.489999999999995"/>
        <n v="19.6282"/>
        <n v="-1.6524000000000001"/>
        <n v="2.1400000000000023"/>
        <n v="349.40909999999997"/>
        <n v="-37.5291"/>
        <n v="101.49"/>
        <n v="845.66399999999987"/>
        <n v="-308.928"/>
        <n v="-1679.7599999999998"/>
        <n v="575.39600000000007"/>
        <n v="-2426.5500000000002"/>
        <n v="-715.7782060000003"/>
        <n v="-144.56"/>
        <n v="7402.32"/>
        <n v="1892.424"/>
        <n v="28.855799999999999"/>
        <n v="173.48"/>
        <n v="117.852"/>
        <n v="34.010400000000004"/>
        <n v="2031.5070000000001"/>
        <n v="-190.67999999999998"/>
        <n v="325.39800000000002"/>
        <n v="22.817999999999998"/>
        <n v="116.1"/>
        <n v="-87.96"/>
        <n v="255.42000000000002"/>
        <n v="685.6146"/>
        <n v="-16.2"/>
        <n v="2023.75"/>
        <n v="-20.25"/>
        <n v="-3.3809999999999998"/>
        <n v="1684.4762999999998"/>
        <n v="-2.7047999999999996"/>
        <n v="18.658000000000001"/>
        <n v="40.247699999999995"/>
        <n v="14.0898"/>
        <n v="-55.84"/>
        <n v="9.82"/>
        <n v="112.06"/>
        <n v="16.79"/>
        <n v="41.296499999999995"/>
        <n v="1179.0237"/>
        <n v="105.678"/>
        <n v="-37.39"/>
        <n v="149.88869999999997"/>
        <n v="3.0400000000000027"/>
        <n v="2.7060000000000013"/>
        <n v="91.955999999999989"/>
        <n v="-2.544"/>
        <n v="2.4851999999999999"/>
        <n v="-634.73410000000013"/>
        <n v="133.5771"/>
        <n v="251.40839999999997"/>
        <n v="-20.258000000000003"/>
        <n v="13.895999999999999"/>
        <n v="-172.71800000000002"/>
        <n v="-40.683999999999997"/>
        <n v="97.86"/>
        <n v="360.24"/>
        <n v="713.88"/>
        <n v="-18.64"/>
        <n v="-111.4"/>
        <n v="-77.03"/>
        <n v="28.514099999999999"/>
        <n v="280.27458000000001"/>
        <n v="-112.4263"/>
        <n v="24.923999999999999"/>
        <n v="-2.9094999999999995"/>
        <n v="-76.89"/>
        <n v="-35.75"/>
        <n v="152.65559999999999"/>
        <n v="7.1500000000000057"/>
        <n v="113.6499"/>
        <n v="-35.474400000000003"/>
        <n v="14.466999999999999"/>
        <n v="-99.986400000000003"/>
        <n v="1348.59672"/>
        <n v="-560.81417999999996"/>
        <n v="-66.044499999999999"/>
        <n v="-105.68520000000001"/>
        <n v="15.66"/>
        <n v="1167.1580000000001"/>
        <n v="1014.9200000000001"/>
        <n v="1.73"/>
        <n v="-133.69999999999999"/>
        <n v="-66.62"/>
        <n v="-21.487749999999998"/>
        <n v="44.677499999999995"/>
        <n v="23.594999999999999"/>
        <n v="7.59"/>
        <n v="-107.98699999999999"/>
        <n v="-36.25"/>
        <n v="-102.5121"/>
        <n v="36.353999999999999"/>
        <n v="-243.23649999999998"/>
        <n v="-53.62"/>
        <n v="1103.9723999999999"/>
        <n v="136.33709999999999"/>
        <n v="-12.46"/>
        <n v="-175.86"/>
        <n v="3294.8258999999994"/>
        <n v="35.090000000000003"/>
        <n v="785.63"/>
        <n v="-256.51900000000001"/>
        <n v="398.358"/>
        <n v="-101.19200000000001"/>
        <n v="-3.3320000000000336"/>
        <n v="-145.08199999999999"/>
        <n v="1.1080000000000014"/>
        <n v="1061.3790000000001"/>
        <n v="-53.744999999999997"/>
        <n v="0.68399999999999894"/>
        <n v="-127.00800000000001"/>
        <n v="5.7532000000000005"/>
        <n v="-2177.9860960000001"/>
        <n v="326.25"/>
        <n v="8.9320000000000093"/>
        <n v="229.63800000000015"/>
        <n v="-22.48"/>
        <n v="78.98"/>
        <n v="144.2928"/>
        <n v="888.14729999999997"/>
        <n v="-46.005000000000003"/>
        <n v="128.02529999999999"/>
        <n v="-29.898400000000002"/>
        <n v="52.916600000000003"/>
        <n v="72.1858"/>
        <n v="-122.3733"/>
        <n v="-51.75"/>
        <n v="-1"/>
        <n v="-221.25399999999999"/>
        <n v="-11.57"/>
        <n v="-61.870000000000005"/>
        <n v="-530.24"/>
        <n v="132.68699999999998"/>
        <n v="496.89"/>
        <n v="-135.16"/>
        <n v="15.895199999999999"/>
        <n v="855.99329999999986"/>
        <n v="10.74"/>
        <n v="-1759.58"/>
        <n v="-72.23"/>
        <n v="-27.160000000000004"/>
        <n v="-52.344000000000008"/>
        <n v="-119.93599999999999"/>
        <n v="9.9267999999999983"/>
        <n v="-29.172000000000001"/>
        <n v="-22.82"/>
        <n v="2639.4708000000001"/>
        <n v="-5.2"/>
        <n v="-83.65"/>
        <n v="24.39"/>
        <n v="-4.6682999999999995"/>
        <n v="11.650950000000002"/>
        <n v="0.70200000000000085"/>
        <n v="5.8624999999999998"/>
        <n v="1916.6757"/>
        <n v="10.5"/>
        <n v="993.83459999999991"/>
        <n v="-165.45"/>
        <n v="-141.12"/>
        <n v="1074.44"/>
        <n v="-627.82191999999998"/>
        <n v="411.5172"/>
        <n v="211.232"/>
        <n v="49.787999999999997"/>
        <n v="-132.62950000000001"/>
        <n v="-163.63"/>
        <n v="-63.87"/>
        <n v="-175.17500000000001"/>
        <n v="-224.94779999999997"/>
        <n v="196.79999999999998"/>
        <n v="250.03759999999997"/>
        <n v="-539.59"/>
        <n v="-82.822999999999993"/>
        <n v="107.08200000000001"/>
        <n v="-27.283750000000001"/>
        <n v="-51.559199999999997"/>
        <n v="-263.56572"/>
        <n v="1273.2086999999999"/>
        <n v="-159.68"/>
        <n v="27.91"/>
        <n v="-81.77"/>
        <n v="-19.208000000000002"/>
        <n v="7.4399999999999995"/>
        <n v="-372.48597100000006"/>
        <n v="1372.6307999999999"/>
        <n v="50.2044"/>
        <n v="236.2371"/>
        <n v="943"/>
        <n v="-2531.4825000000001"/>
        <n v="163.1574"/>
        <n v="-302.22500000000002"/>
        <n v="90.62"/>
        <n v="427.11840000000001"/>
        <n v="86.438000000000002"/>
        <n v="-4.4599999999999937"/>
        <n v="-512.87200000000007"/>
        <n v="-3.7840000000000003"/>
        <n v="-82.903999999999996"/>
        <n v="1268.8064999999999"/>
        <n v="-53.296199999999999"/>
        <n v="299.6739"/>
        <n v="-15.456"/>
        <n v="16.049399999999999"/>
        <n v="-235.89500000000001"/>
        <n v="-41.32"/>
        <n v="7.9000000000000057"/>
        <n v="521.69000000000005"/>
        <n v="496.79679999999996"/>
        <n v="-556.80960000000005"/>
        <n v="-27.738800000000001"/>
        <n v="-128.68719999999999"/>
        <n v="23.2028"/>
        <n v="-568.53510000000006"/>
        <n v="-427.47"/>
        <n v="-18.190000000000001"/>
        <n v="-24.057540000000003"/>
        <n v="2583.5614799999998"/>
        <n v="6.0512999999999995"/>
        <n v="-67.0565"/>
        <n v="-7.94"/>
        <n v="122.292"/>
        <n v="-2.12"/>
        <n v="-69.069999999999993"/>
        <n v="2028.12"/>
        <n v="-63.51"/>
        <n v="-92.05"/>
        <n v="6.11"/>
        <n v="-36.630000000000003"/>
        <n v="-35.916399999999996"/>
        <n v="3042.18"/>
        <n v="-31.754999999999999"/>
        <n v="171.83879999999999"/>
        <n v="32.940899999999999"/>
        <n v="131.334"/>
        <n v="-282.08179999999999"/>
        <n v="140.1354"/>
        <n v="105.25259999999999"/>
        <n v="-29.092700000000001"/>
        <n v="113.41499999999999"/>
        <n v="26.099999999999998"/>
        <n v="-2.58"/>
        <n v="2800.12"/>
        <n v="363.55199999999996"/>
        <n v="-11.536000000000001"/>
        <n v="-6.6120000000000108"/>
        <n v="-15.5595"/>
        <n v="-108.19"/>
        <n v="46.488"/>
        <n v="159.52970000000005"/>
        <n v="15.371400000000008"/>
        <n v="5924.1122999999998"/>
        <n v="39.585299999999997"/>
        <n v="-66.378"/>
        <n v="-33.340000000000003"/>
        <n v="-201.27599999999998"/>
        <n v="4637.4071999999996"/>
        <n v="-239.54149999999998"/>
        <n v="21.514199999999999"/>
        <n v="34.068000000000005"/>
        <n v="4073.25"/>
        <n v="-179.59199999999998"/>
        <n v="-500.38"/>
        <n v="6028.41"/>
        <n v="-161.6328"/>
        <n v="-250.19"/>
        <n v="46.147199999999991"/>
        <n v="-1116.3348000000001"/>
        <n v="1141.7939999999999"/>
        <n v="-99.568000000000012"/>
        <n v="224.85059999999999"/>
        <n v="-122.13300000000001"/>
        <n v="-12.1555"/>
        <n v="-269.08440000000002"/>
        <n v="-566"/>
        <n v="293.14"/>
        <n v="-6.61"/>
        <n v="-57.541000000000004"/>
        <n v="-266.22000000000003"/>
        <n v="-67.59"/>
        <n v="-239.8656"/>
        <n v="-53.444000000000003"/>
        <n v="-22.12"/>
        <n v="484.84919999999994"/>
        <n v="18"/>
        <n v="15.2745"/>
        <n v="26.585699999999999"/>
        <n v="-575.35199999999998"/>
        <n v="-51.634999999999998"/>
        <n v="-75.44"/>
        <n v="-120.934"/>
        <n v="-1763.7477000000003"/>
        <n v="-15.099500000000001"/>
        <n v="23.5428"/>
        <n v="-276.11279999999999"/>
        <n v="-78.13"/>
        <n v="-64.670940000000002"/>
        <n v="-11.113199999999999"/>
        <n v="107.02"/>
        <n v="18.420000000000002"/>
        <n v="349.47"/>
        <n v="-226.34640000000002"/>
        <n v="-281.17583999999999"/>
        <n v="6610.2"/>
        <n v="-103.7124"/>
        <n v="-124.2864"/>
        <n v="-229.68"/>
        <n v="288.08999999999997"/>
        <n v="719.47679999999991"/>
        <n v="1192.04"/>
        <n v="1030.509"/>
        <n v="261.44400000000002"/>
        <n v="-10.36"/>
        <n v="106.7499"/>
        <n v="-246.92615999999998"/>
        <n v="4233.2587999999996"/>
        <n v="102.76859999999999"/>
        <n v="-36.671543999999997"/>
        <n v="20.6448"/>
        <n v="-24.204799999999999"/>
        <n v="-126.05777999999999"/>
        <n v="10.802000000000001"/>
        <n v="-678.49599999999998"/>
        <n v="90.762"/>
        <n v="-352.81399999999996"/>
        <n v="70.028000000000006"/>
        <n v="-124.28049999999999"/>
        <n v="40.482299999999995"/>
        <n v="32.86"/>
        <n v="-187.22199999999998"/>
        <n v="9.59"/>
        <n v="-655.42399999999998"/>
        <n v="-7.5800000000000409"/>
        <n v="-109.70400000000001"/>
        <n v="-19.93"/>
        <n v="4568.6072999999997"/>
        <n v="-258.22500000000002"/>
        <n v="38.06"/>
        <n v="-207.28"/>
        <n v="-12.719000000000001"/>
        <n v="-51.42"/>
        <n v="-88.6"/>
        <n v="2568.4628999999995"/>
        <n v="9.4860000000000007"/>
        <n v="-263.64999999999998"/>
        <n v="890.18100000000004"/>
        <n v="6095.8601999999992"/>
        <n v="-82.83"/>
        <n v="25.04"/>
        <n v="-580.32000000000005"/>
        <n v="928.96079999999984"/>
        <n v="-131.61720000000003"/>
        <n v="930.98700000000008"/>
        <n v="-253.11"/>
        <n v="-16.670000000000002"/>
        <n v="40.200000000000003"/>
        <n v="3.21"/>
        <n v="38.700000000000003"/>
        <n v="-21.91"/>
        <n v="-119.77"/>
        <n v="-168.72"/>
        <n v="-439.62"/>
        <n v="15.42"/>
        <n v="33.923999999999999"/>
        <n v="46.440000000000005"/>
        <n v="-17.527999999999999"/>
        <n v="-95.816000000000003"/>
        <n v="3.8519999999999999"/>
        <n v="71.735600000000005"/>
        <n v="-79.320800000000006"/>
        <n v="24.095999999999997"/>
        <n v="6.9719999999999995"/>
        <n v="-24.245999999999999"/>
        <n v="-605.37400000000002"/>
        <n v="-99.55"/>
        <n v="-801.15479999999991"/>
        <n v="797.85599999999999"/>
        <n v="422.45249999999999"/>
        <n v="-178.21600000000001"/>
        <n v="-26.655999999999999"/>
        <n v="-54.622"/>
        <n v="-126.81418000000001"/>
        <n v="1400.1"/>
        <n v="916.68060000000014"/>
        <n v="67.599999999999923"/>
        <n v="-224.64400000000001"/>
        <n v="14.76"/>
        <n v="10.85"/>
        <n v="97.662599999999983"/>
        <n v="-453.2"/>
        <n v="-207.679788"/>
        <n v="-7.5244000000000009"/>
        <n v="-92.961000000000013"/>
        <n v="613.89576"/>
        <n v="232.28159999999997"/>
        <n v="-45.07"/>
        <n v="-8.5299999999999994"/>
        <n v="285.95"/>
        <n v="-209.25"/>
        <n v="-9.1635999999999989"/>
        <n v="12.706000000000017"/>
        <n v="7.7151600000000045"/>
        <n v="192.51689999999999"/>
        <n v="-134.91200000000001"/>
        <n v="-5.05"/>
        <n v="-204.16"/>
        <n v="-46.115000000000002"/>
        <n v="-20.103999999999999"/>
        <n v="-3.496"/>
        <n v="-717.072"/>
        <n v="-62.23"/>
        <n v="131.38200000000001"/>
        <n v="-89.292000000000002"/>
        <n v="-211.036"/>
        <n v="-13.28"/>
        <n v="-48.68"/>
        <n v="-184.548"/>
        <n v="1220.03784"/>
        <n v="-2.87"/>
        <n v="4.3808999999999996"/>
        <n v="-100.744"/>
        <n v="3.3840000000000039"/>
        <n v="0.34600000000000009"/>
        <n v="-17.654"/>
        <n v="-13.826000000000001"/>
        <n v="-203.67000000000002"/>
        <n v="19.57"/>
        <n v="98.12"/>
        <n v="107.11"/>
        <n v="-216.154"/>
        <n v="-6.6096000000000004"/>
        <n v="-89.216999999999999"/>
        <n v="1.2236"/>
        <n v="4.3148"/>
        <n v="-125.83296"/>
        <n v="122.21"/>
        <n v="-11.1332"/>
        <n v="201.7353"/>
        <n v="-684.78"/>
        <n v="-237.47"/>
        <n v="-2946.0509999999999"/>
        <n v="21.555599999999998"/>
        <n v="-239.315"/>
        <n v="-33.31"/>
        <n v="-74.479599999999991"/>
        <n v="-232.22056000000003"/>
        <n v="18.643799999999999"/>
        <n v="-31.24"/>
        <n v="55.888000000000034"/>
        <n v="1.3224"/>
        <n v="455.42069999999995"/>
        <n v="29.332000000000001"/>
        <n v="-86"/>
        <n v="-0.49"/>
        <n v="34.348199999999999"/>
        <n v="-66.650000000000006"/>
        <n v="35.954999999999998"/>
        <n v="-173.09520000000001"/>
        <n v="-96.16"/>
        <n v="263.39999999999998"/>
        <n v="37.31"/>
        <n v="104.7213"/>
        <n v="80.674799999999991"/>
        <n v="114.3165"/>
        <n v="1107.4079999999999"/>
        <n v="-149.21199999999999"/>
        <n v="-21.018000000000001"/>
        <n v="-655.52987500000006"/>
        <n v="354.32879999999994"/>
        <n v="-489.41559999999998"/>
        <n v="35.31"/>
        <n v="187.41200000000026"/>
        <n v="-6.34"/>
        <n v="92.722199999999987"/>
        <n v="-160.27549999999999"/>
        <n v="396.97199999999998"/>
        <n v="-7.04"/>
        <n v="538.52"/>
        <n v="-4.1399999999999997"/>
        <n v="-31.885000000000002"/>
        <n v="-95.21050000000001"/>
        <n v="-193.58"/>
        <n v="-4.3009999999999939"/>
        <n v="-1570.32"/>
        <n v="27.23"/>
        <n v="-19.099200000000003"/>
        <n v="373.67"/>
        <n v="-14.801880000000001"/>
        <n v="-2561.3235"/>
        <n v="168.91889999999998"/>
        <n v="-6.2"/>
        <n v="19.064699999999998"/>
        <n v="10.56"/>
        <n v="837.68069999999989"/>
        <n v="-4.2"/>
        <n v="-44.163600000000002"/>
        <n v="-102.66200000000001"/>
        <n v="-116.584"/>
        <n v="12.896100000000001"/>
        <n v="-21.319199999999999"/>
        <n v="93.846800000000002"/>
        <n v="17.771999999999998"/>
        <n v="-104.57"/>
        <n v="-969.0483660000001"/>
        <n v="4.0320000000000036"/>
        <n v="-23.634399999999999"/>
        <n v="-71.83"/>
        <n v="-0.74000000000000909"/>
        <n v="-3.88"/>
        <n v="551.09280000000001"/>
        <n v="17.505299999999998"/>
        <n v="818.54617499999995"/>
        <n v="-17.149999999999999"/>
        <n v="-29.540000000000003"/>
        <n v="-329.78399999999999"/>
        <n v="-2.1"/>
        <n v="829.46699999999998"/>
        <n v="111.22199999999999"/>
        <n v="22.866"/>
        <n v="115.72799999999999"/>
        <n v="909.36"/>
        <n v="-76.424400000000006"/>
        <n v="8.7319999999999993"/>
        <n v="442.0899"/>
        <n v="455.12399999999997"/>
        <n v="624.40163999999993"/>
        <n v="18.922000000000011"/>
        <n v="39.350699999999996"/>
        <n v="-229.87"/>
        <n v="329.9787"/>
        <n v="30.49"/>
        <n v="1152.5276999999999"/>
        <n v="-604.40600000000006"/>
        <n v="293.66000000000003"/>
        <n v="-403.18739999999997"/>
        <n v="-13.77"/>
        <n v="44.912100000000002"/>
        <n v="9.33"/>
        <n v="2593.14"/>
        <n v="1162.76"/>
        <n v="-76.94"/>
        <n v="-40.008800000000001"/>
        <n v="-51.704000000000001"/>
        <n v="144.7482"/>
        <n v="-112.18899999999999"/>
        <n v="-445.97177625000006"/>
        <n v="4.1673999999999998"/>
        <n v="-335.31712500000003"/>
        <n v="16.021800000000013"/>
        <n v="38.067299999999996"/>
        <n v="-99.435440000000014"/>
        <n v="-97.28"/>
        <n v="139.61200000000002"/>
        <n v="-505.76"/>
        <n v="152.43479999999997"/>
        <n v="9.862000000000009"/>
        <n v="-232.99100000000001"/>
        <n v="-40.275199999999998"/>
        <n v="-53.25"/>
        <n v="-159.25"/>
        <n v="206.517"/>
        <n v="2.125"/>
        <n v="5.8840000000000074"/>
        <n v="772.04"/>
        <n v="81.91"/>
        <n v="-10.9"/>
        <n v="1232.79"/>
        <n v="2.1800000000000015"/>
        <n v="67.107500000000002"/>
        <n v="54.937799999999996"/>
        <n v="168.23699999999999"/>
        <n v="-169.232"/>
        <n v="1272.5808"/>
        <n v="-5390.7388920000003"/>
        <n v="29.725199999999997"/>
        <n v="-187.11"/>
        <n v="-139.28720000000001"/>
        <n v="108"/>
        <n v="377.154"/>
        <n v="-127.05200000000001"/>
        <n v="2169.7464"/>
        <n v="-229.93"/>
        <n v="-93.735199999999992"/>
        <n v="4.53"/>
        <n v="9.7799999999999994"/>
        <n v="-63.813500000000005"/>
        <n v="325.29000000000002"/>
        <n v="-116.05"/>
        <n v="117.38"/>
        <n v="-144.19999999999999"/>
        <n v="-46.92"/>
        <n v="70.193699999999993"/>
        <n v="-48.219499999999996"/>
        <n v="-115.35999999999999"/>
        <n v="2660.1432"/>
        <n v="-51.116"/>
        <n v="1766.7795000000001"/>
        <n v="85.875"/>
        <n v="6.0926999999999998"/>
        <n v="20.299600000000002"/>
        <n v="108.5163"/>
        <n v="48.47148"/>
        <n v="-152.76"/>
        <n v="125.20739999999999"/>
        <n v="281.53440000000001"/>
        <n v="64.265999999999991"/>
        <n v="-302.61559999999997"/>
        <n v="5.6916000000000002"/>
        <n v="-369.10999999999996"/>
        <n v="27.013499999999997"/>
        <n v="184.19549999999998"/>
        <n v="4.1099999999999994"/>
        <n v="28.565999999999999"/>
        <n v="2581.5590999999995"/>
        <n v="-25.112000000000002"/>
        <n v="17.376000000000001"/>
        <n v="24.260399999999997"/>
        <n v="59.440499999999993"/>
        <n v="14.48"/>
        <n v="22.25"/>
        <n v="592.52650000000006"/>
        <n v="232.8"/>
        <n v="38.08"/>
        <n v="-17.03"/>
        <n v="39.626999999999995"/>
        <n v="20.495999999999995"/>
        <n v="103.83"/>
        <n v="-24.897600000000001"/>
        <n v="776.7743999999999"/>
        <n v="344.54399999999998"/>
        <n v="-8.5150000000000006"/>
        <n v="9.0045000000000002"/>
        <n v="-99.762500000000003"/>
        <n v="-3061.82"/>
        <n v="258.6189"/>
        <n v="-6.71"/>
        <n v="-9.9999999999997868E-3"/>
        <n v="-421.76"/>
        <n v="6.79"/>
        <n v="-60.145000000000003"/>
        <n v="-111.72"/>
        <n v="33.01"/>
        <n v="297.45715999999999"/>
        <n v="-564.60239999999999"/>
        <n v="-161.47499999999999"/>
        <n v="-0.81400000000001005"/>
        <n v="790.46399999999983"/>
        <n v="7.74"/>
        <n v="3985.3089"/>
        <n v="13.956800000000015"/>
        <n v="788.79"/>
        <n v="-70.14"/>
        <n v="531.61799999999994"/>
        <n v="-107.51349999999999"/>
        <n v="46.01"/>
        <n v="1489.8"/>
        <n v="24.819299999999998"/>
        <n v="-255.16890000000001"/>
        <n v="74.004800000000003"/>
        <n v="109.42479999999999"/>
        <n v="421.34849999999994"/>
        <n v="-373.09"/>
        <n v="-3465.0720000000001"/>
        <n v="-11.281500000000001"/>
        <n v="-218.77"/>
        <n v="-9.68"/>
        <n v="-164.39520000000002"/>
        <n v="-8.2080000000000002"/>
        <n v="-2196.6840000000002"/>
        <n v="43.538000000000011"/>
        <n v="-11.376000000000001"/>
        <n v="533.74199999999996"/>
        <n v="-379.34399999999999"/>
        <n v="-1522.3039999999999"/>
        <n v="588.24569999999994"/>
        <n v="151.56539999999998"/>
        <n v="54.901500000000006"/>
        <n v="501.51"/>
        <n v="875.28440000000001"/>
        <n v="727.73609999999996"/>
        <n v="460.67600000000004"/>
        <n v="393.41999999999996"/>
        <n v="606.05459999999994"/>
        <n v="320.10000000000002"/>
        <n v="317.08949999999999"/>
        <n v="250.36272000000002"/>
        <n v="6.0305999999999997"/>
        <n v="125.8077"/>
        <n v="44.891999999999996"/>
        <n v="3.4509999999999996"/>
        <n v="-275.25299999999999"/>
        <n v="-746.44"/>
        <n v="-274.95"/>
        <n v="-95.047499999999999"/>
        <n v="525.20039999999995"/>
        <n v="-52.646999999999998"/>
        <n v="-24.44"/>
        <n v="366.50700000000001"/>
        <n v="27.38"/>
        <n v="-12.708800000000002"/>
        <n v="-5.2949999999999999"/>
        <n v="41.07"/>
        <n v="-94.490899999999996"/>
        <n v="-172.298"/>
        <n v="3285.48"/>
        <n v="46.036799999999999"/>
        <n v="-1.0712000000000002"/>
        <n v="4.4104000000000001"/>
        <n v="500.95799999999997"/>
        <n v="1206.5961"/>
        <n v="82.310099999999991"/>
        <n v="-15.6312"/>
        <n v="790.54679999999996"/>
        <n v="5.4659999999999993"/>
        <n v="-149.1182"/>
        <n v="-90.26"/>
        <n v="-326.23159999999996"/>
        <n v="16.898"/>
        <n v="20.14"/>
        <n v="-21.231999999999999"/>
        <n v="18.0642"/>
        <n v="-93.25"/>
        <n v="-163.03"/>
        <n v="23.61599999999995"/>
        <n v="-11.0732"/>
        <n v="21.769499999999997"/>
        <n v="29.380199999999995"/>
        <n v="100.2984"/>
        <n v="2495.3987999999999"/>
        <n v="-0.10999999999999943"/>
        <n v="15.236000000000018"/>
        <n v="-42.8536"/>
        <n v="-20.79"/>
        <n v="-33.211539999999999"/>
        <n v="369.99869999999999"/>
        <n v="20.453600000000002"/>
        <n v="542.25"/>
        <n v="69.61"/>
        <n v="-634.86540000000002"/>
        <n v="87.12"/>
        <n v="25.240199999999998"/>
        <n v="-94.674644999999998"/>
        <n v="451.28039999999999"/>
        <n v="44.988"/>
        <n v="-20.732799999999997"/>
        <n v="-164.39479999999998"/>
        <n v="-4793.0039999999999"/>
        <n v="1258.7876999999999"/>
        <n v="74.278499999999994"/>
        <n v="52.92"/>
        <n v="-66.349999999999994"/>
        <n v="1399.6400000000003"/>
        <n v="232.64200000000028"/>
        <n v="-409.37360000000001"/>
        <n v="-29.07"/>
        <n v="1909.8854999999996"/>
        <n v="-76.992500000000007"/>
        <n v="297.96959999999996"/>
        <n v="1318.83"/>
        <n v="36.215999999999994"/>
        <n v="134.16825"/>
        <n v="253.30319999999998"/>
        <n v="-723.78399999999999"/>
        <n v="589.18799999999999"/>
        <n v="-1314.992"/>
        <n v="3043.0310999999997"/>
        <n v="-44.624000000000002"/>
        <n v="309.25400000000002"/>
        <n v="61.292699999999996"/>
        <n v="91.73"/>
        <n v="53.067899999999995"/>
        <n v="-14.6432"/>
        <n v="-127.56"/>
        <n v="282.18"/>
        <n v="-96.337999999999994"/>
        <n v="-23.357880000000002"/>
        <n v="-18.241599999999998"/>
        <n v="1428.9104"/>
        <n v="509.95830000000001"/>
        <n v="-255.65"/>
        <n v="-76.540000000000006"/>
        <n v="-10.09"/>
        <n v="-92.87"/>
        <n v="-298.88600000000002"/>
        <n v="-145.852"/>
        <n v="-27.951000000000001"/>
        <n v="-3.6547000000000001"/>
        <n v="731.92199999999991"/>
        <n v="186.55799999999999"/>
        <n v="-138.03680000000003"/>
        <n v="199.1823"/>
        <n v="711.05189999999993"/>
        <n v="-899.67499999999995"/>
        <n v="-189.22399999999999"/>
        <n v="0.50999999999999868"/>
        <n v="-52.248000000000005"/>
        <n v="70.175999999999988"/>
        <n v="-161.92400000000001"/>
        <n v="-157.696"/>
        <n v="-56.445999999999998"/>
        <n v="33.189"/>
        <n v="-367.16500000000002"/>
        <n v="-243.54400000000001"/>
        <n v="-337.09199999999998"/>
        <n v="68.675999999999988"/>
        <n v="481.03199999999998"/>
        <n v="-4.0180000000000007"/>
        <n v="-2.0097"/>
        <n v="-477.37200000000007"/>
        <n v="-954.75800000000004"/>
        <n v="219.4734"/>
        <n v="-390.76800000000003"/>
        <n v="-155.21"/>
        <n v="-6.6420000000000003"/>
        <n v="27.233999999999998"/>
        <n v="-8.3979999999999997"/>
        <n v="83.793599999999998"/>
        <n v="-77.823719999999994"/>
        <n v="5078.5379999999996"/>
        <n v="23.276000000000003"/>
        <n v="17.754000000000001"/>
        <n v="-3.9312"/>
        <n v="2.4548000000000001"/>
        <n v="-537.27977732000011"/>
        <n v="-14.359820000000001"/>
        <n v="-2870.2775999999994"/>
        <n v="77.983599999997679"/>
        <n v="-200.85899999999998"/>
        <n v="-33.2956"/>
        <n v="-90.585499999999996"/>
        <n v="-36.9"/>
        <n v="341.19809999999995"/>
        <n v="-175.13"/>
        <n v="3.96"/>
        <n v="1.6169000000000011"/>
        <n v="65.394000000000062"/>
        <n v="1.3360000000000003"/>
        <n v="1674.7541999999999"/>
        <n v="300.04649999999998"/>
        <n v="-28.09"/>
        <n v="-263.1119290800001"/>
        <n v="-38.808"/>
        <n v="15.984"/>
        <n v="-88.158000000000001"/>
        <n v="-76.106800000000007"/>
        <n v="-73.494119999999938"/>
        <n v="-272.860884"/>
        <n v="10.5792"/>
        <n v="1127.5497"/>
        <n v="147.75659999999999"/>
        <n v="69.545100000000005"/>
        <n v="8.5299999999999994"/>
        <n v="507.63299999999998"/>
        <n v="38.229999999999997"/>
        <n v="100.13279999999999"/>
        <n v="15.096"/>
        <n v="14.912399999999998"/>
        <n v="-135.226"/>
        <n v="-457.73"/>
        <n v="-268.66399999999999"/>
        <n v="-8.2799999999999994"/>
        <n v="1912.4219999999998"/>
        <n v="-739.32600000000002"/>
        <n v="-40.53"/>
        <n v="0.69599999999999995"/>
        <n v="15.527999999999999"/>
        <n v="-225.56379999999999"/>
        <n v="-22.72"/>
        <n v="-163.53"/>
        <n v="554.77"/>
        <n v="-38.380000000000003"/>
        <n v="-56.35"/>
        <n v="-19.957600000000003"/>
        <n v="-129.01"/>
        <n v="-628.38"/>
        <n v="616.53569999999991"/>
        <n v="-143.23500000000001"/>
        <n v="-123.1816"/>
        <n v="-28.798000000000002"/>
        <n v="-273.98"/>
        <n v="-253.77800000000002"/>
        <n v="-152.52449999999999"/>
        <n v="-18.850000000000001"/>
        <n v="-220.05200000000002"/>
        <n v="20.393369999999997"/>
        <n v="38.281199999999998"/>
        <n v="3670.3514999999998"/>
        <n v="21.003500000000003"/>
        <n v="13.536000000000016"/>
        <n v="-167.048"/>
        <n v="-31.094000000000001"/>
        <n v="-6.202"/>
        <n v="-48.873999999999995"/>
        <n v="-144.59200000000001"/>
        <n v="-258.56600000000003"/>
        <n v="13.508000000000003"/>
        <n v="-66.48"/>
        <n v="-52.33"/>
        <n v="-59.06"/>
        <n v="149.166"/>
        <n v="-76.900000000000006"/>
        <n v="376.88490000000002"/>
        <n v="-88.624800000000008"/>
        <n v="-662.52"/>
        <n v="9228.2255999999998"/>
        <n v="-32.28"/>
        <n v="-596.26800000000003"/>
        <n v="7889.6876999999995"/>
        <n v="1545.8097600000001"/>
        <n v="-16.14"/>
        <n v="-130.42400000000001"/>
        <n v="-106.42100000000001"/>
        <n v="-16476.838"/>
        <n v="-108.27250000000001"/>
        <n v="-90.74799999999999"/>
        <n v="-121.05807999999999"/>
        <n v="-51.736999999999995"/>
        <n v="116.50629999999998"/>
        <n v="-247.55157000000003"/>
        <n v="-277.20924000000002"/>
        <n v="-93.06450000000001"/>
        <n v="-48.235999999999997"/>
        <n v="44.291099999999993"/>
        <n v="43.275199999999998"/>
        <n v="-36.214620000000004"/>
        <n v="7.032960000000001"/>
        <n v="-16.772000000000002"/>
        <n v="514.17719999999997"/>
        <n v="235.65599999999998"/>
        <n v="3.5581000000000031"/>
        <n v="5.3396999999999997"/>
        <n v="-807.89"/>
        <n v="123.89175"/>
        <n v="-53.898000000000003"/>
        <n v="26.502899999999997"/>
        <n v="90.624600000000001"/>
        <n v="-20.876399999999997"/>
        <n v="6.4832400000000021"/>
        <n v="2.3320000000000003"/>
        <n v="454.44779999999997"/>
        <n v="15.1524"/>
        <n v="-90.755600000000001"/>
        <n v="960.98400000000004"/>
        <n v="-13706.464"/>
        <n v="300.92579999999998"/>
        <n v="-40.76"/>
        <n v="-986.52399999999989"/>
        <n v="-141.666"/>
        <n v="47.334000000000003"/>
        <n v="60.561599999999999"/>
        <n v="-47.243088"/>
        <n v="9.1539999999999999"/>
        <n v="40.92"/>
        <n v="149.72"/>
        <n v="-52.492319999999999"/>
        <n v="7.9599999999999991"/>
        <n v="-459.08280000000002"/>
        <n v="-517.16999999999996"/>
        <n v="-7.61"/>
        <n v="38.039699999999996"/>
        <n v="-429.86"/>
        <n v="264.16649999999998"/>
        <n v="-47.12"/>
        <n v="-101.24600000000001"/>
        <n v="-1.88"/>
        <n v="-11.69"/>
        <n v="250.98059999999998"/>
        <n v="-57.753"/>
        <n v="-47.97"/>
        <n v="-219.07908"/>
        <n v="-18.878399999999999"/>
        <n v="369.20519999999999"/>
        <n v="19.350000000000001"/>
        <n v="-967.83399999999995"/>
        <n v="-28.45"/>
        <n v="72.78"/>
        <n v="13.2294"/>
        <n v="-88.82"/>
        <n v="15.353999999999999"/>
        <n v="-357.92399999999998"/>
        <n v="34.302"/>
        <n v="-7.96"/>
        <n v="4407.4399999999996"/>
        <n v="-1025.0172"/>
        <n v="429.75435600000003"/>
        <n v="588.54"/>
        <n v="2653.2914999999998"/>
        <n v="-1.84"/>
        <n v="237.04259999999999"/>
        <n v="2502.6851999999999"/>
        <n v="0.68800000000000017"/>
        <n v="36.905999999999999"/>
        <n v="-216.02980000000002"/>
        <n v="-45.471999999999994"/>
        <n v="16.136400000000002"/>
        <n v="-29.61"/>
        <n v="125.72399999999999"/>
        <n v="114.88199999999999"/>
        <n v="-14.448"/>
        <n v="-42.545999999999999"/>
        <n v="14"/>
        <n v="52.988000000000056"/>
        <n v="285.47370000000001"/>
        <n v="10.50800000000001"/>
        <n v="1448.7309"/>
        <n v="1.0040000000000004"/>
        <n v="-521.09"/>
        <n v="-29.49"/>
        <n v="386.00669999999991"/>
        <n v="-1867.97"/>
        <n v="-1920.9336000000001"/>
        <n v="-37.175200000000004"/>
        <n v="-213.40280000000001"/>
        <n v="-15.48"/>
        <n v="-50.244999999999997"/>
        <n v="-387.1044"/>
        <n v="-55.97"/>
        <n v="-66.247299999999996"/>
        <n v="-171.15770000000001"/>
        <n v="624.23900000000003"/>
        <n v="-14.3241"/>
        <n v="604.01909999999998"/>
        <n v="-11.631599999999999"/>
        <n v="442.36589999999995"/>
        <n v="-259.75599999999997"/>
        <n v="1469.7275999999999"/>
        <n v="-83.553060000000002"/>
        <n v="-16.89"/>
        <n v="25.51"/>
        <n v="-850.65239999999994"/>
        <n v="98.525099999999981"/>
        <n v="214.23"/>
        <n v="21.883400000000023"/>
        <n v="290.202"/>
        <n v="12.146000000000008"/>
        <n v="5.6870000000000083"/>
        <n v="-181.102"/>
        <n v="882.93000000000006"/>
        <n v="6.6803999999999988"/>
        <n v="46.29"/>
        <n v="177.79"/>
        <n v="-14.990400000000001"/>
        <n v="638.38109999999995"/>
        <n v="17.652000000000001"/>
        <n v="739.67399999999998"/>
        <n v="-23.155999999999999"/>
        <n v="-10.435"/>
        <n v="-78.916679999999999"/>
        <n v="-13562.637407999999"/>
        <n v="-63.35"/>
        <n v="-8.9039999999999999"/>
        <n v="88.72"/>
        <n v="7.2518999999999991"/>
        <n v="-191.49"/>
        <n v="-1330.5"/>
        <n v="1320.5495999999998"/>
        <n v="1585.5030000000002"/>
        <n v="526.04219999999998"/>
        <n v="-40.432000000000002"/>
        <n v="-88.61"/>
        <n v="109.16"/>
        <n v="-136.12200000000001"/>
        <n v="-27.375"/>
        <n v="-435.75749999999999"/>
        <n v="682.53"/>
        <n v="-277.22200000000004"/>
        <n v="-266.68600000000004"/>
        <n v="-12.277999999999999"/>
        <n v="265.11180000000002"/>
        <n v="9.5608000000000004"/>
        <n v="390.09839999999997"/>
        <n v="46.65"/>
        <n v="-1250.7460000000001"/>
        <n v="374.904"/>
        <n v="-528.83600000000001"/>
        <n v="-272.71320000000003"/>
        <n v="-162.69399999999999"/>
        <n v="-115.90389999999999"/>
        <n v="-729.98799999999994"/>
        <n v="-133.54599999999999"/>
        <n v="272.69399999999996"/>
        <n v="-61.6"/>
        <n v="66.852000000000004"/>
        <n v="17.839800000000011"/>
        <n v="976.2672"/>
        <n v="23.204699999999999"/>
        <n v="183.84300000000002"/>
        <n v="167.46299999999997"/>
        <n v="1307.2692"/>
        <n v="-15.818400000000002"/>
        <n v="-55.832400000000007"/>
        <n v="550.38080000000002"/>
        <n v="1.68"/>
        <n v="450.45959999999997"/>
        <n v="8798.1830999999984"/>
        <n v="-5.3849999999999998"/>
        <n v="3031.9724000000001"/>
        <n v="138.018"/>
        <n v="38.874000000000002"/>
        <n v="-45.528000000000006"/>
        <n v="567.59"/>
        <n v="-14.225"/>
        <n v="-601.80400000000009"/>
        <n v="38.406000000000006"/>
        <n v="53.114399999999996"/>
        <n v="8.7420000000000009"/>
        <n v="636.52199999999993"/>
        <n v="4554.4346999999998"/>
        <n v="618.19308000000001"/>
        <n v="-15.1844"/>
        <n v="-61.194000000000003"/>
        <n v="18.173999999999999"/>
        <n v="-49.53"/>
        <n v="-407.85"/>
        <n v="-191.25760000000002"/>
        <n v="196.52328"/>
        <n v="-343.86799999999999"/>
        <n v="-3971.0627999999997"/>
        <n v="-18.478199999999998"/>
        <n v="-381.84119999999996"/>
        <n v="12.5504"/>
        <n v="45.3324"/>
        <n v="33.659999999999997"/>
        <n v="15.677999999999999"/>
        <n v="52.775999999999996"/>
        <n v="-162.8244"/>
        <n v="-6.9308200000000006"/>
        <n v="-118.54"/>
        <n v="2963.48"/>
        <n v="398.30249999999995"/>
        <n v="709.85200000000009"/>
        <n v="80.809200000000089"/>
        <n v="371.27200000000005"/>
        <n v="77.000895400000104"/>
        <n v="27.968600000000009"/>
        <n v="-66.779579999999996"/>
        <n v="-144.9188"/>
        <n v="-5.0716000000000001"/>
        <n v="-1.18"/>
        <n v="-203.09799999999998"/>
        <n v="-48.57"/>
        <n v="-47.28"/>
        <n v="722.24099999999999"/>
        <n v="-161"/>
        <n v="848.3646"/>
        <n v="-88.840800000000002"/>
        <n v="1208.9903999999999"/>
        <n v="9.9911999999999992"/>
        <n v="126.22500000000001"/>
        <n v="187.7628"/>
        <n v="295.90649999999999"/>
        <n v="-2111.36"/>
        <n v="-9.1300000000000008"/>
        <n v="357.428"/>
        <n v="40.351199999999992"/>
        <n v="27.634499999999996"/>
        <n v="751.58"/>
        <n v="-663.51419999999996"/>
        <n v="-157.56"/>
        <n v="-87.998040000000003"/>
        <n v="-35.290399999999998"/>
        <n v="-74.883600000000001"/>
        <n v="-98.056000000000012"/>
        <n v="-425.20840000000004"/>
        <n v="631.33000000000004"/>
        <n v="-22.175999999999998"/>
        <n v="-214.10399999999998"/>
        <n v="-26.936"/>
        <n v="-324.73"/>
        <n v="1500.12"/>
        <n v="-313.02180000000004"/>
        <n v="-192.5532"/>
        <n v="-464.28200000000004"/>
        <n v="156.74339999999998"/>
        <n v="110.11799999999999"/>
        <n v="-42.588000000000001"/>
        <n v="-222.95"/>
        <n v="7.6244999999999994"/>
        <n v="-1676.6119999999999"/>
        <n v="45.127799999999993"/>
        <n v="-52.863999999999997"/>
        <n v="45.378"/>
        <n v="4949.9160000000002"/>
        <n v="1055.6039999999998"/>
        <n v="359.83"/>
        <n v="-69.873999999999995"/>
        <n v="-135.74"/>
        <n v="-14.52"/>
        <n v="171.26489999999998"/>
        <n v="138.22199999999998"/>
        <n v="711.24479999999994"/>
        <n v="-1084.8469632000001"/>
        <n v="-156.77199999999999"/>
        <n v="-37.6"/>
        <n v="1389.5771999999999"/>
        <n v="-222.816"/>
        <n v="-133.71"/>
        <n v="2653.7813999999998"/>
        <n v="10.32"/>
        <n v="997.38144000000011"/>
        <n v="-36.030800000000006"/>
        <n v="-28.954000000000001"/>
        <n v="-85.021999999999991"/>
        <n v="99.198000000000008"/>
        <n v="136.03139999999999"/>
        <n v="-100.072"/>
        <n v="-12.026699999999998"/>
        <n v="122.508"/>
        <n v="34.067999999999998"/>
        <n v="2.9700000000000006"/>
        <n v="385.30289999999997"/>
        <n v="187.2"/>
        <n v="779.47230000000002"/>
        <n v="27.725999999999999"/>
        <n v="244.464"/>
        <n v="-473.57799999999997"/>
        <n v="-96.05"/>
        <n v="-270.85000000000002"/>
        <n v="800.25509999999986"/>
        <n v="-50.4"/>
        <n v="-348.75400000000002"/>
        <n v="-550.42999999999995"/>
        <n v="-52.12"/>
        <n v="-27.004999999999999"/>
        <n v="74.638500000000008"/>
        <n v="-122.235"/>
        <n v="427.00649999999996"/>
        <n v="-190.49"/>
        <n v="-8.77"/>
        <n v="-7.6849999999999996"/>
        <n v="-82.559200000000004"/>
        <n v="18.147500000000001"/>
        <n v="2.8060000000000027"/>
        <n v="-132.42600000000002"/>
        <n v="-411.23599999999999"/>
        <n v="-48.971999999999994"/>
        <n v="62.297999999999995"/>
        <n v="-119.32"/>
        <n v="756.67470000000003"/>
        <n v="-222.34299999999999"/>
        <n v="-1537.1356000000003"/>
        <n v="52.697600000000001"/>
        <n v="-78.194159999999982"/>
        <n v="465.43949999999995"/>
        <n v="-89.27"/>
        <n v="385.37"/>
        <n v="147"/>
        <n v="-1045.0160000000001"/>
        <n v="167.16000000000003"/>
        <n v="-344.82000000000005"/>
        <n v="-61.5276"/>
        <n v="-41.972700000000003"/>
        <n v="-1.56"/>
        <n v="-100.24"/>
        <n v="-262.62"/>
        <n v="1019.7095999999999"/>
        <n v="19.04"/>
        <n v="-1069.72"/>
        <n v="1408.1865"/>
        <n v="2000.11"/>
        <n v="-45.64"/>
        <n v="204.49"/>
        <n v="-1455.9971999999998"/>
        <n v="-22.56"/>
        <n v="-1191.5260000000001"/>
        <n v="-45.01"/>
        <n v="39.209999999999994"/>
        <n v="100.38000000000001"/>
        <n v="79.423200000000008"/>
        <n v="-15.090400000000001"/>
        <n v="-60.563999999999993"/>
        <n v="-1473.9059999999999"/>
        <n v="-343.12599999999998"/>
        <n v="66.359999999999985"/>
        <n v="-162.91800000000001"/>
        <n v="859.7177999999999"/>
        <n v="-23.072000000000003"/>
        <n v="650.29999999999995"/>
        <n v="-154.30700000000002"/>
        <n v="269.94"/>
        <n v="63.059099999999994"/>
        <n v="139.58009999999999"/>
        <n v="109.67000000000002"/>
        <n v="395.30799999999999"/>
        <n v="104.9145"/>
        <n v="24.59"/>
        <n v="-458.74400000000003"/>
        <n v="-9.1769999999999996"/>
        <n v="-121.75"/>
        <n v="24.350000000000023"/>
        <n v="-34.764499999999998"/>
        <n v="-7.3415999999999997"/>
        <n v="35.290000000000049"/>
        <n v="-100.17"/>
        <n v="-3.9479999999999995"/>
        <n v="1633.9859999999999"/>
        <n v="-2002.6314000000002"/>
        <n v="-126.208"/>
        <n v="-5.54"/>
        <n v="-68.432000000000002"/>
        <n v="733.2822000000001"/>
        <n v="-905.99039999999991"/>
        <n v="-21.63242"/>
        <n v="-35.04"/>
        <n v="5.980000000000004"/>
        <n v="149.53"/>
        <n v="608.26199999999994"/>
        <n v="-570.16960000000006"/>
        <n v="1.278"/>
        <n v="424.28999999999996"/>
        <n v="-3.71956"/>
        <n v="101.97200000000001"/>
        <n v="-16.634799999999998"/>
        <n v="765.75"/>
        <n v="-335.041"/>
        <n v="35.279699999999998"/>
        <n v="-188.03399999999999"/>
        <n v="322.12199999999996"/>
        <n v="366.53999999999996"/>
        <n v="-439.90800000000002"/>
        <n v="1087.7159999999999"/>
        <n v="9.2040000000000006"/>
        <n v="257.08319999999998"/>
        <n v="0.7854000000000001"/>
        <n v="88.56"/>
        <n v="12.726000000000001"/>
        <n v="160.8066"/>
        <n v="-1596.7457999999999"/>
        <n v="1388.3558999999998"/>
        <n v="109.83600000000001"/>
        <n v="-93.849999999999909"/>
        <n v="82.703399999999988"/>
        <n v="0.36999999999999922"/>
        <n v="1947.67"/>
        <n v="128.03"/>
        <n v="31.751999999999999"/>
        <n v="117.208"/>
        <n v="1240.25"/>
        <n v="-533.23200000000008"/>
        <n v="-61.59"/>
        <n v="-46.25"/>
        <n v="-32.026800000000001"/>
        <n v="-45.816000000000003"/>
        <n v="30.63"/>
        <n v="-6.835"/>
        <n v="7024.2068999999992"/>
        <n v="-137.494"/>
        <n v="308.67"/>
        <n v="-223.94400000000002"/>
        <n v="36.494999999999997"/>
        <n v="255.76919999999998"/>
        <n v="1656.6554999999998"/>
        <n v="2639.0099999999998"/>
        <n v="395.76"/>
        <n v="-39.396000000000001"/>
        <n v="-89.5"/>
        <n v="28.4"/>
        <n v="103.27229999999999"/>
        <n v="215.71799999999999"/>
        <n v="106.98479999999999"/>
        <n v="3.54"/>
        <n v="40.283999999999999"/>
        <n v="90.024000000000001"/>
        <n v="2.2320000000000002"/>
        <n v="840.05099999999993"/>
        <n v="61.47"/>
        <n v="18.27"/>
        <n v="-513.79042000000004"/>
        <n v="23.87"/>
        <n v="35.805"/>
        <n v="265.96049999999997"/>
        <n v="-20.320500000000003"/>
        <n v="-88.039999999999992"/>
        <n v="180.23489999999998"/>
        <n v="29.525099999999998"/>
        <n v="1261.4718"/>
        <n v="-59.963760000000001"/>
        <n v="89.4148"/>
        <n v="27.0273"/>
        <n v="-150.2604"/>
        <n v="4899.1288000000004"/>
        <n v="44.712000000000003"/>
        <n v="-22.626000000000001"/>
        <n v="4260.1120000000001"/>
        <n v="-25.14"/>
        <n v="309.71159999999998"/>
        <n v="-128.85599999999999"/>
        <n v="-36.945999999999998"/>
        <n v="-274.49799999999999"/>
        <n v="0.58800000000001096"/>
        <n v="-251.40390000000002"/>
        <n v="-2.3450000000000002"/>
        <n v="67.606200000000001"/>
        <n v="-46.5244"/>
        <n v="200.01719999999997"/>
        <n v="-39.606000000000002"/>
        <n v="311.72999999999996"/>
        <n v="-50.75"/>
        <n v="2225.0761200000002"/>
        <n v="-338.18083200000001"/>
        <n v="-136.25200000000001"/>
        <n v="-25.76"/>
        <n v="-45.21"/>
        <n v="-286.245"/>
        <n v="16.12"/>
        <n v="-815.90079999999989"/>
        <n v="15.808000000000003"/>
        <n v="29.17"/>
        <n v="-48.97"/>
        <n v="84.05"/>
        <n v="17.836500000000001"/>
        <n v="-20.222799999999999"/>
        <n v="381.61799999999994"/>
        <n v="-177.05799999999999"/>
        <n v="164.08199999999999"/>
        <n v="-54.63"/>
        <n v="690.17939999999999"/>
        <n v="1507.6430999999998"/>
        <n v="801.74680000000012"/>
        <n v="-139.18256"/>
        <n v="881.46809999999994"/>
        <n v="3.84"/>
        <n v="-21.03"/>
        <n v="117.52079999999998"/>
        <n v="-30.808"/>
        <n v="524.31719999999996"/>
        <n v="21.78"/>
        <n v="-98.35"/>
        <n v="270.79049999999995"/>
        <n v="223.416"/>
        <n v="-93.927400000000006"/>
        <n v="-321.51"/>
        <n v="246.2748"/>
        <n v="93.950399999999988"/>
        <n v="29.98"/>
        <n v="-121.2"/>
        <n v="10.782400000000001"/>
        <n v="2008.71"/>
        <n v="-80.53"/>
        <n v="-48.957999999999998"/>
        <n v="-32.816000000000003"/>
        <n v="-15.61"/>
        <n v="23.616"/>
        <n v="-1748.0119999999999"/>
        <n v="-180.15200000000002"/>
        <n v="8.3879999999999999"/>
        <n v="9.939899999999998"/>
        <n v="-66.170999999999992"/>
        <n v="51.218699999999998"/>
        <n v="380.46800000000002"/>
        <n v="-89.418000000000006"/>
        <n v="9.2519999999999989"/>
        <n v="-1197.0419999999999"/>
        <n v="-103.224"/>
        <n v="-84.628799999999998"/>
        <n v="2755.6422000000002"/>
        <n v="-256.01800000000003"/>
        <n v="-41.77"/>
        <n v="-1014.11"/>
        <n v="17.429400000000001"/>
        <n v="-178.86960000000002"/>
        <n v="-74.64"/>
        <n v="65.41"/>
        <n v="-25.634"/>
        <n v="-37.561999999999998"/>
        <n v="-449.69399999999996"/>
        <n v="-66.248000000000005"/>
        <n v="501.69"/>
        <n v="566.6072999999999"/>
        <n v="-57.56"/>
        <n v="164.06129999999999"/>
        <n v="218.23319999999995"/>
        <n v="1049.03"/>
        <n v="-102.93"/>
        <n v="664.51800000000003"/>
        <n v="105.7"/>
        <n v="-21.06"/>
        <n v="-5.08"/>
        <n v="1289.3819999999998"/>
        <n v="-191.548"/>
        <n v="-29.003"/>
        <n v="2860.9331999999995"/>
        <n v="2692.4420999999998"/>
        <n v="2.0672000000000001"/>
        <n v="111.05249999999999"/>
        <n v="-1963.752"/>
        <n v="-60.704000000000001"/>
        <n v="-37.789000000000001"/>
        <n v="7576.11"/>
        <n v="-43.26"/>
        <n v="-44.436"/>
        <n v="4.8499999999999996"/>
        <n v="3.5948999999999995"/>
        <n v="15.8148"/>
        <n v="-69.91"/>
        <n v="1630.5251999999998"/>
        <n v="-457.16"/>
        <n v="266.76089999999999"/>
        <n v="-159.30279999999999"/>
        <n v="29.883900000000001"/>
        <n v="52.763999999999996"/>
        <n v="2699.9838"/>
        <n v="-170.98"/>
        <n v="-95.618600000000015"/>
        <n v="-2.3760000000000003"/>
        <n v="-18.3216"/>
        <n v="-82.64"/>
        <n v="31.59"/>
        <n v="165.6345"/>
        <n v="19.308000000000021"/>
        <n v="0.32999999999999691"/>
        <n v="-35.26"/>
        <n v="322.25069999999994"/>
        <n v="-221.5"/>
        <n v="206.352"/>
        <n v="439.78529999999995"/>
        <n v="-149.4573"/>
        <n v="21.095999999999997"/>
        <n v="1166.6280000000002"/>
        <n v="-40.604199999999999"/>
        <n v="-294.084"/>
        <n v="55.555199999999999"/>
        <n v="-535.33199999999999"/>
        <n v="-208.72039999999998"/>
        <n v="38.885999999999996"/>
        <n v="719.35259999999994"/>
        <n v="-12.876779999999998"/>
        <n v="618.13080000000002"/>
        <n v="-14140.7016"/>
        <n v="-8.8759999999999994"/>
        <n v="14.754"/>
        <n v="669.61199999999997"/>
        <n v="213"/>
        <n v="-8.3881000000000014"/>
        <n v="4.9017600000000003"/>
        <n v="76.389899999999983"/>
        <n v="-36.770000000000003"/>
        <n v="87.03"/>
        <n v="-582.64799999999991"/>
        <n v="3602.1311999999994"/>
        <n v="-66.584999999999994"/>
        <n v="441.59399999999999"/>
        <n v="394.17"/>
        <n v="13.448099999999998"/>
        <n v="4033.6089000000002"/>
        <n v="141.7824"/>
        <n v="74.181899999999999"/>
        <n v="82.31"/>
        <n v="-2.3520000000000096"/>
        <n v="1059.288"/>
        <n v="-246.27609999999999"/>
        <n v="55.194599999999994"/>
        <n v="-307.29650000000004"/>
        <n v="-16.063740000000003"/>
        <n v="-160.38470000000001"/>
        <n v="732.26980000000003"/>
        <n v="270.87430000000001"/>
        <n v="333.76049999999998"/>
        <n v="-120.59"/>
        <n v="-12.078000000000001"/>
        <n v="1231.6569"/>
        <n v="219.54419999999999"/>
        <n v="-185.17"/>
        <n v="31.132799999999996"/>
        <n v="-231.05"/>
        <n v="-165.59492040000003"/>
        <n v="-21.684000000000001"/>
        <n v="4861.0637999999999"/>
        <n v="-83.75"/>
        <n v="565.17999999999995"/>
        <n v="-38.72"/>
        <n v="65.077020000000005"/>
        <n v="10.959199999999999"/>
        <n v="-32.666400000000003"/>
        <n v="-13.135200000000001"/>
        <n v="22.307699999999997"/>
        <n v="443.02139999999991"/>
        <n v="-1220.9144999999999"/>
        <n v="-27.1492"/>
        <n v="-106.3424"/>
        <n v="44.976799999999997"/>
        <n v="689.32799999999997"/>
        <n v="-33.585999999999999"/>
        <n v="69.767200000000003"/>
        <n v="-52.822799999999994"/>
        <n v="7.31"/>
        <n v="642.99029999999993"/>
        <n v="12.71"/>
        <n v="28.288"/>
        <n v="112.1181"/>
        <n v="565.38599999999997"/>
        <n v="-230.9528"/>
        <n v="-61.628039999999999"/>
        <n v="70.676699999999997"/>
        <n v="95.054399999999987"/>
        <n v="224.96069999999997"/>
        <n v="-89.572000000000003"/>
        <n v="33.347699999999996"/>
        <n v="-34.591999999999999"/>
        <n v="-24.63"/>
        <n v="-536.24199999999996"/>
        <n v="-125.86000000000001"/>
        <n v="36.164099999999998"/>
        <n v="17.102799999999998"/>
        <n v="1269.3819599999999"/>
        <n v="137.68794000000014"/>
        <n v="882.48239999999998"/>
        <n v="6.3840000000000003"/>
        <n v="5.2955000000000005"/>
        <n v="170.79569999999998"/>
        <n v="16.091999999999999"/>
        <n v="274.0788"/>
        <n v="-3.782"/>
        <n v="10.798499999999999"/>
        <n v="15.246"/>
        <n v="-103.624"/>
        <n v="-57.823999999999998"/>
        <n v="18.218000000000018"/>
        <n v="25.058000000000035"/>
        <n v="11.82"/>
        <n v="28.151999999999997"/>
        <n v="-237.54400000000001"/>
        <n v="1037.1044999999999"/>
        <n v="-94.59"/>
        <n v="-293.74"/>
        <n v="1039.7540999999999"/>
        <n v="-49.186800000000005"/>
        <n v="-152.7448"/>
        <n v="41.3"/>
        <n v="47.61"/>
        <n v="-23.5"/>
        <n v="1282.4959999999999"/>
        <n v="17.2"/>
        <n v="1184.1200000000001"/>
        <n v="1474.8703999999998"/>
        <n v="19.78"/>
        <n v="929.7956999999999"/>
        <n v="-7.25"/>
        <n v="31.201799999999995"/>
        <n v="-75.900400000000005"/>
        <n v="52.170899999999996"/>
        <n v="-159.86000000000001"/>
        <n v="165.88979999999998"/>
        <n v="75.010000000000005"/>
        <n v="2267.2199999999998"/>
        <n v="97.159999999999926"/>
        <n v="-20.65"/>
        <n v="67.864000000000004"/>
        <n v="-14.074999999999999"/>
        <n v="-78.759200000000007"/>
        <n v="1167.3800000000001"/>
        <n v="402.06599999999997"/>
        <n v="11.95"/>
        <n v="1773.6104999999998"/>
        <n v="4.1822000000000052"/>
        <n v="39.129899999999999"/>
        <n v="1660.92"/>
        <n v="638.02800000000002"/>
        <n v="138.49679999999998"/>
        <n v="-6.734"/>
        <n v="-25.38"/>
        <n v="-203.27"/>
        <n v="-807.59"/>
        <n v="118.6317"/>
        <n v="23.304000000000002"/>
        <n v="150.72"/>
        <n v="19.420000000000002"/>
        <n v="3.13"/>
        <n v="1141.07"/>
        <n v="10.01"/>
        <n v="313.81200000000001"/>
        <n v="-39.186250000000001"/>
        <n v="-1.89"/>
        <n v="4.29"/>
        <n v="-122.77"/>
        <n v="683.9556"/>
        <n v="-16.64"/>
        <n v="-59.73"/>
        <n v="-633.44123700000023"/>
        <n v="72.984000000000009"/>
        <n v="240.17519999999996"/>
        <n v="-11.248000000000001"/>
        <n v="9.611699999999999"/>
        <n v="-299.81420000000003"/>
        <n v="13.799999999999999"/>
        <n v="4.3919999999999995"/>
        <n v="-236.25"/>
        <n v="36.020000000000003"/>
        <n v="-50.64"/>
        <n v="510.48900000000003"/>
        <n v="-20.182259999999999"/>
        <n v="-156.97220000000002"/>
        <n v="384.5043"/>
        <n v="513.08399999999995"/>
        <n v="44.519999999999996"/>
        <n v="-48.875"/>
        <n v="881.04719999999998"/>
        <n v="-233.840688"/>
        <n v="-139.07600000000002"/>
        <n v="-64.664000000000001"/>
        <n v="1644.0767999999998"/>
        <n v="-350.43950000000001"/>
        <n v="4.2027999999999999"/>
        <n v="-44.067999999999998"/>
        <n v="-100.51"/>
        <n v="-17.75"/>
        <n v="1374.9480000000001"/>
        <n v="-677.87199999999996"/>
        <n v="1623.9494999999999"/>
        <n v="-122.83499999999999"/>
        <n v="252.48800000000028"/>
        <n v="-88.584999999999994"/>
        <n v="-485.68"/>
        <n v="-16.37"/>
        <n v="-94.258600000000001"/>
        <n v="6.3308"/>
        <n v="-66.823599999999999"/>
        <n v="971.62200000000007"/>
        <n v="-134.512"/>
        <n v="-4075.9339920000002"/>
        <n v="-18.558799999999998"/>
        <n v="220.35719999999998"/>
        <n v="47.73"/>
        <n v="28.526000000000003"/>
        <n v="-87.46"/>
        <n v="28.182599999999997"/>
        <n v="-51.66"/>
        <n v="-193.91399999999999"/>
        <n v="57.545999999999999"/>
        <n v="-333.42540000000002"/>
        <n v="12.264000000000001"/>
        <n v="-283.9914"/>
        <n v="-195.34200000000001"/>
        <n v="-89.70920000000001"/>
        <n v="-44.415000000000006"/>
        <n v="167.334"/>
        <n v="65.597999999999999"/>
        <n v="0.25800000000000001"/>
        <n v="63.222000000000001"/>
        <n v="-29.666000000000004"/>
        <n v="-1319.5"/>
        <n v="262.2"/>
        <n v="-119.812"/>
        <n v="-9.1079999999999988"/>
        <n v="172.56439999999998"/>
        <n v="45.077999999999996"/>
        <n v="-110.376"/>
        <n v="1951.3"/>
        <n v="1538.7827999999997"/>
        <n v="32.83"/>
        <n v="51.590000000000053"/>
        <n v="969.42"/>
        <n v="553.33169999999996"/>
        <n v="-30.45"/>
        <n v="55.020599999999995"/>
        <n v="-43.65504"/>
        <n v="-577.30400000000009"/>
        <n v="-1535.4864000000002"/>
        <n v="-159.32"/>
        <n v="-74.088000000000008"/>
        <n v="-137.52199999999999"/>
        <n v="-11.815999999999999"/>
        <n v="238.93379999999999"/>
        <n v="-105.126"/>
        <n v="95.387999999999991"/>
        <n v="261.38579999999996"/>
        <n v="-135.46"/>
        <n v="-31.68825"/>
        <n v="690.70379999999989"/>
        <n v="-13.068000000000001"/>
        <n v="-25.103999999999999"/>
        <n v="1.9504000000000001"/>
        <n v="-340.53109999999998"/>
        <n v="462.92099999999994"/>
        <n v="-131.16"/>
        <n v="-11.83"/>
        <n v="-65.58"/>
        <n v="596.80799999999999"/>
        <n v="3739.3928999999998"/>
        <n v="470.33799999999997"/>
        <n v="401.85"/>
        <n v="710.67239999999993"/>
        <n v="-92.32"/>
        <n v="-1764.29"/>
        <n v="527.87759999999992"/>
        <n v="34.520000000000003"/>
        <n v="3576.8840999999998"/>
        <n v="20.38"/>
        <n v="31.11"/>
        <n v="358.29539999999997"/>
        <n v="8.3219999999999992"/>
        <n v="24.018000000000001"/>
        <n v="-269.75549999999998"/>
        <n v="710.80739999999992"/>
        <n v="-2133.2780000000002"/>
        <n v="80.071200000000005"/>
        <n v="896.40599999999995"/>
        <n v="352.87979999999999"/>
        <n v="-15.92"/>
        <n v="-114.2"/>
        <n v="-25"/>
        <n v="255.14819999999997"/>
        <n v="39.426600000000001"/>
        <n v="-722.23"/>
        <n v="30.023999999999997"/>
        <n v="0.42660000000000337"/>
        <n v="66.215999999999994"/>
        <n v="-164.18"/>
        <n v="-79.400000000000006"/>
        <n v="23.045999999999999"/>
        <n v="-127.3"/>
        <n v="-52.77"/>
        <n v="-781.13419999999996"/>
        <n v="-23.295999999999999"/>
        <n v="58.811999999999998"/>
        <n v="4.0442999999999998"/>
        <n v="-10.368400000000001"/>
        <n v="989.81189999999992"/>
        <n v="2861.01"/>
        <n v="1544.9307000000001"/>
        <n v="125.9982"/>
        <n v="-92.929200000000009"/>
        <n v="-39.808999999999997"/>
        <n v="-29.065600000000003"/>
        <n v="-19.2972"/>
        <n v="40.6556"/>
        <n v="137.67569999999998"/>
        <n v="-62"/>
        <n v="47.527199999999993"/>
        <n v="379.3965"/>
        <n v="-41.83"/>
        <n v="372.40199999999999"/>
        <n v="-116.3455"/>
        <n v="1304.9000000000001"/>
        <n v="605.04719999999998"/>
        <n v="107.45461999999999"/>
        <n v="18.41"/>
        <n v="65.63"/>
        <n v="-7.73"/>
        <n v="-47.995249999999999"/>
        <n v="66.22"/>
        <n v="-23.53"/>
        <n v="10.680000000000014"/>
        <n v="58.263599999999997"/>
        <n v="-42.170500000000004"/>
        <n v="66.362220000000008"/>
        <n v="-1.904000000000019"/>
        <n v="-37.048000000000002"/>
        <n v="-56.887999999999998"/>
        <n v="-189.714"/>
        <n v="1628.37"/>
        <n v="-4.4800000000000004"/>
        <n v="3193.2840000000001"/>
        <n v="43.691699999999997"/>
        <n v="349.05930000000001"/>
        <n v="1.9919999999999998"/>
        <n v="-22.009999999999998"/>
        <n v="426.46032000000002"/>
        <n v="19.554599999999997"/>
        <n v="152.48200000000003"/>
        <n v="67.012000000000057"/>
        <n v="374.625"/>
        <n v="-3.2448000000000001"/>
        <n v="6384.4388999999992"/>
        <n v="-116.76"/>
        <n v="-160.952"/>
        <n v="-41.87"/>
        <n v="-24.7104"/>
        <n v="349.48499999999996"/>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Days (Order Date)" numFmtId="0" databaseField="0">
      <fieldGroup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1984123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x v="0"/>
    <n v="0.01"/>
    <n v="2.84"/>
    <n v="0.93"/>
    <n v="3"/>
    <x v="0"/>
    <x v="0"/>
    <x v="0"/>
    <x v="0"/>
    <x v="0"/>
    <x v="0"/>
    <x v="0"/>
    <n v="0.54"/>
    <x v="0"/>
    <x v="0"/>
    <x v="0"/>
    <x v="0"/>
    <n v="98221"/>
    <x v="0"/>
    <d v="2015-01-08T00:00:00"/>
    <x v="0"/>
    <n v="4"/>
    <n v="13.01"/>
    <n v="88522"/>
  </r>
  <r>
    <n v="20228"/>
    <x v="1"/>
    <n v="0.02"/>
    <n v="500.98"/>
    <n v="26"/>
    <n v="5"/>
    <x v="1"/>
    <x v="1"/>
    <x v="1"/>
    <x v="1"/>
    <x v="1"/>
    <x v="1"/>
    <x v="1"/>
    <n v="0.6"/>
    <x v="0"/>
    <x v="0"/>
    <x v="1"/>
    <x v="1"/>
    <n v="91776"/>
    <x v="1"/>
    <d v="2015-06-15T00:00:00"/>
    <x v="1"/>
    <n v="12"/>
    <n v="6362.85"/>
    <n v="90193"/>
  </r>
  <r>
    <n v="21776"/>
    <x v="2"/>
    <n v="0.06"/>
    <n v="9.48"/>
    <n v="7.29"/>
    <n v="11"/>
    <x v="2"/>
    <x v="2"/>
    <x v="1"/>
    <x v="1"/>
    <x v="2"/>
    <x v="2"/>
    <x v="2"/>
    <n v="0.45"/>
    <x v="0"/>
    <x v="1"/>
    <x v="2"/>
    <x v="2"/>
    <n v="7203"/>
    <x v="2"/>
    <d v="2015-02-17T00:00:00"/>
    <x v="2"/>
    <n v="22"/>
    <n v="211.15"/>
    <n v="90192"/>
  </r>
  <r>
    <n v="24844"/>
    <x v="3"/>
    <n v="0.09"/>
    <n v="78.69"/>
    <n v="19.989999999999998"/>
    <n v="14"/>
    <x v="3"/>
    <x v="2"/>
    <x v="2"/>
    <x v="1"/>
    <x v="2"/>
    <x v="3"/>
    <x v="3"/>
    <n v="0.43"/>
    <x v="0"/>
    <x v="2"/>
    <x v="3"/>
    <x v="3"/>
    <n v="55372"/>
    <x v="3"/>
    <d v="2015-05-14T00:00:00"/>
    <x v="3"/>
    <n v="16"/>
    <n v="1164.45"/>
    <n v="86838"/>
  </r>
  <r>
    <n v="24846"/>
    <x v="3"/>
    <n v="0.08"/>
    <n v="3.28"/>
    <n v="2.31"/>
    <n v="14"/>
    <x v="3"/>
    <x v="2"/>
    <x v="2"/>
    <x v="0"/>
    <x v="0"/>
    <x v="0"/>
    <x v="4"/>
    <n v="0.56000000000000005"/>
    <x v="0"/>
    <x v="2"/>
    <x v="3"/>
    <x v="3"/>
    <n v="55372"/>
    <x v="3"/>
    <d v="2015-05-13T00:00:00"/>
    <x v="4"/>
    <n v="7"/>
    <n v="22.23"/>
    <n v="86838"/>
  </r>
  <r>
    <n v="24847"/>
    <x v="3"/>
    <n v="0.05"/>
    <n v="3.28"/>
    <n v="4.2"/>
    <n v="14"/>
    <x v="3"/>
    <x v="2"/>
    <x v="2"/>
    <x v="0"/>
    <x v="0"/>
    <x v="0"/>
    <x v="5"/>
    <n v="0.56000000000000005"/>
    <x v="0"/>
    <x v="2"/>
    <x v="3"/>
    <x v="3"/>
    <n v="55372"/>
    <x v="3"/>
    <d v="2015-05-13T00:00:00"/>
    <x v="5"/>
    <n v="4"/>
    <n v="13.99"/>
    <n v="86838"/>
  </r>
  <r>
    <n v="24848"/>
    <x v="3"/>
    <n v="0.05"/>
    <n v="3.58"/>
    <n v="1.63"/>
    <n v="14"/>
    <x v="3"/>
    <x v="2"/>
    <x v="2"/>
    <x v="0"/>
    <x v="3"/>
    <x v="0"/>
    <x v="6"/>
    <n v="0.36"/>
    <x v="0"/>
    <x v="2"/>
    <x v="3"/>
    <x v="3"/>
    <n v="55372"/>
    <x v="3"/>
    <d v="2015-05-13T00:00:00"/>
    <x v="6"/>
    <n v="4"/>
    <n v="14.26"/>
    <n v="86838"/>
  </r>
  <r>
    <n v="18181"/>
    <x v="2"/>
    <n v="0"/>
    <n v="4.42"/>
    <n v="4.99"/>
    <n v="15"/>
    <x v="4"/>
    <x v="2"/>
    <x v="2"/>
    <x v="0"/>
    <x v="4"/>
    <x v="3"/>
    <x v="7"/>
    <n v="0.38"/>
    <x v="0"/>
    <x v="1"/>
    <x v="4"/>
    <x v="4"/>
    <n v="11787"/>
    <x v="4"/>
    <d v="2015-04-09T00:00:00"/>
    <x v="7"/>
    <n v="7"/>
    <n v="33.47"/>
    <n v="86837"/>
  </r>
  <r>
    <n v="20925"/>
    <x v="3"/>
    <n v="0.01"/>
    <n v="35.94"/>
    <n v="6.66"/>
    <n v="15"/>
    <x v="4"/>
    <x v="2"/>
    <x v="2"/>
    <x v="0"/>
    <x v="4"/>
    <x v="3"/>
    <x v="8"/>
    <n v="0.4"/>
    <x v="0"/>
    <x v="1"/>
    <x v="4"/>
    <x v="4"/>
    <n v="11787"/>
    <x v="5"/>
    <d v="2015-05-28T00:00:00"/>
    <x v="8"/>
    <n v="10"/>
    <n v="379.53"/>
    <n v="86839"/>
  </r>
  <r>
    <n v="26267"/>
    <x v="0"/>
    <n v="0.04"/>
    <n v="2.98"/>
    <n v="1.58"/>
    <n v="16"/>
    <x v="5"/>
    <x v="2"/>
    <x v="2"/>
    <x v="0"/>
    <x v="3"/>
    <x v="0"/>
    <x v="9"/>
    <n v="0.39"/>
    <x v="0"/>
    <x v="1"/>
    <x v="4"/>
    <x v="5"/>
    <n v="13210"/>
    <x v="6"/>
    <d v="2015-02-15T00:00:00"/>
    <x v="9"/>
    <n v="6"/>
    <n v="18.8"/>
    <n v="86836"/>
  </r>
  <r>
    <n v="26268"/>
    <x v="0"/>
    <n v="0.05"/>
    <n v="115.99"/>
    <n v="2.5"/>
    <n v="16"/>
    <x v="5"/>
    <x v="2"/>
    <x v="2"/>
    <x v="2"/>
    <x v="5"/>
    <x v="3"/>
    <x v="10"/>
    <n v="0.55000000000000004"/>
    <x v="0"/>
    <x v="1"/>
    <x v="4"/>
    <x v="5"/>
    <n v="13210"/>
    <x v="6"/>
    <d v="2015-02-14T00:00:00"/>
    <x v="10"/>
    <n v="10"/>
    <n v="945.99"/>
    <n v="86836"/>
  </r>
  <r>
    <n v="23890"/>
    <x v="0"/>
    <n v="0.05"/>
    <n v="26.48"/>
    <n v="6.93"/>
    <n v="18"/>
    <x v="6"/>
    <x v="2"/>
    <x v="2"/>
    <x v="1"/>
    <x v="2"/>
    <x v="3"/>
    <x v="11"/>
    <n v="0.49"/>
    <x v="0"/>
    <x v="0"/>
    <x v="5"/>
    <x v="6"/>
    <n v="59601"/>
    <x v="7"/>
    <d v="2015-05-16T00:00:00"/>
    <x v="11"/>
    <n v="17"/>
    <n v="455.77"/>
    <n v="90031"/>
  </r>
  <r>
    <n v="24063"/>
    <x v="1"/>
    <n v="7.0000000000000007E-2"/>
    <n v="12.99"/>
    <n v="9.44"/>
    <n v="19"/>
    <x v="7"/>
    <x v="2"/>
    <x v="2"/>
    <x v="2"/>
    <x v="6"/>
    <x v="4"/>
    <x v="12"/>
    <n v="0.39"/>
    <x v="0"/>
    <x v="0"/>
    <x v="5"/>
    <x v="7"/>
    <n v="59801"/>
    <x v="8"/>
    <d v="2015-05-23T00:00:00"/>
    <x v="12"/>
    <n v="18"/>
    <n v="231.79"/>
    <n v="90032"/>
  </r>
  <r>
    <n v="5890"/>
    <x v="0"/>
    <n v="0.05"/>
    <n v="26.48"/>
    <n v="6.93"/>
    <n v="21"/>
    <x v="8"/>
    <x v="2"/>
    <x v="2"/>
    <x v="1"/>
    <x v="2"/>
    <x v="3"/>
    <x v="11"/>
    <n v="0.49"/>
    <x v="0"/>
    <x v="1"/>
    <x v="4"/>
    <x v="8"/>
    <n v="10012"/>
    <x v="7"/>
    <d v="2015-05-16T00:00:00"/>
    <x v="13"/>
    <n v="70"/>
    <n v="1876.69"/>
    <n v="41793"/>
  </r>
  <r>
    <n v="6062"/>
    <x v="1"/>
    <n v="0.08"/>
    <n v="5"/>
    <n v="3.39"/>
    <n v="21"/>
    <x v="8"/>
    <x v="2"/>
    <x v="2"/>
    <x v="0"/>
    <x v="3"/>
    <x v="0"/>
    <x v="13"/>
    <n v="0.37"/>
    <x v="0"/>
    <x v="1"/>
    <x v="4"/>
    <x v="8"/>
    <n v="10012"/>
    <x v="8"/>
    <d v="2015-05-22T00:00:00"/>
    <x v="14"/>
    <n v="58"/>
    <n v="293.06"/>
    <n v="42949"/>
  </r>
  <r>
    <n v="6063"/>
    <x v="1"/>
    <n v="7.0000000000000007E-2"/>
    <n v="12.99"/>
    <n v="9.44"/>
    <n v="21"/>
    <x v="8"/>
    <x v="2"/>
    <x v="2"/>
    <x v="2"/>
    <x v="6"/>
    <x v="4"/>
    <x v="12"/>
    <n v="0.39"/>
    <x v="0"/>
    <x v="1"/>
    <x v="4"/>
    <x v="8"/>
    <n v="10012"/>
    <x v="8"/>
    <d v="2015-05-23T00:00:00"/>
    <x v="12"/>
    <n v="71"/>
    <n v="914.29"/>
    <n v="42949"/>
  </r>
  <r>
    <n v="20631"/>
    <x v="0"/>
    <n v="0.06"/>
    <n v="55.48"/>
    <n v="14.3"/>
    <n v="24"/>
    <x v="9"/>
    <x v="2"/>
    <x v="0"/>
    <x v="0"/>
    <x v="7"/>
    <x v="3"/>
    <x v="14"/>
    <n v="0.37"/>
    <x v="0"/>
    <x v="0"/>
    <x v="1"/>
    <x v="9"/>
    <n v="92677"/>
    <x v="9"/>
    <d v="2015-01-29T00:00:00"/>
    <x v="15"/>
    <n v="1"/>
    <n v="67.489999999999995"/>
    <n v="87651"/>
  </r>
  <r>
    <n v="20632"/>
    <x v="0"/>
    <n v="0.02"/>
    <n v="1.68"/>
    <n v="1.57"/>
    <n v="24"/>
    <x v="9"/>
    <x v="2"/>
    <x v="0"/>
    <x v="0"/>
    <x v="0"/>
    <x v="0"/>
    <x v="15"/>
    <n v="0.59"/>
    <x v="0"/>
    <x v="0"/>
    <x v="1"/>
    <x v="9"/>
    <n v="92677"/>
    <x v="9"/>
    <d v="2015-01-30T00:00:00"/>
    <x v="16"/>
    <n v="1"/>
    <n v="2.25"/>
    <n v="87651"/>
  </r>
  <r>
    <n v="23967"/>
    <x v="1"/>
    <n v="0.04"/>
    <n v="4.1399999999999997"/>
    <n v="6.6"/>
    <n v="27"/>
    <x v="10"/>
    <x v="2"/>
    <x v="0"/>
    <x v="1"/>
    <x v="2"/>
    <x v="3"/>
    <x v="16"/>
    <n v="0.49"/>
    <x v="0"/>
    <x v="0"/>
    <x v="1"/>
    <x v="10"/>
    <n v="90712"/>
    <x v="10"/>
    <d v="2015-05-04T00:00:00"/>
    <x v="17"/>
    <n v="12"/>
    <n v="54.78"/>
    <n v="87652"/>
  </r>
  <r>
    <n v="23509"/>
    <x v="0"/>
    <n v="0.08"/>
    <n v="34.99"/>
    <n v="7.73"/>
    <n v="32"/>
    <x v="11"/>
    <x v="2"/>
    <x v="0"/>
    <x v="0"/>
    <x v="0"/>
    <x v="3"/>
    <x v="17"/>
    <n v="0.59"/>
    <x v="0"/>
    <x v="0"/>
    <x v="6"/>
    <x v="11"/>
    <n v="97526"/>
    <x v="11"/>
    <d v="2015-02-23T00:00:00"/>
    <x v="18"/>
    <n v="13"/>
    <n v="424.68"/>
    <n v="89199"/>
  </r>
  <r>
    <n v="23612"/>
    <x v="0"/>
    <n v="0.01"/>
    <n v="17.98"/>
    <n v="8.51"/>
    <n v="32"/>
    <x v="11"/>
    <x v="2"/>
    <x v="0"/>
    <x v="2"/>
    <x v="6"/>
    <x v="4"/>
    <x v="18"/>
    <n v="0.4"/>
    <x v="0"/>
    <x v="0"/>
    <x v="6"/>
    <x v="11"/>
    <n v="97526"/>
    <x v="12"/>
    <d v="2015-03-28T00:00:00"/>
    <x v="19"/>
    <n v="2"/>
    <n v="40.17"/>
    <n v="89200"/>
  </r>
  <r>
    <n v="23278"/>
    <x v="3"/>
    <n v="0.09"/>
    <n v="125.99"/>
    <n v="7.69"/>
    <n v="32"/>
    <x v="11"/>
    <x v="0"/>
    <x v="0"/>
    <x v="2"/>
    <x v="5"/>
    <x v="3"/>
    <x v="19"/>
    <n v="0.59"/>
    <x v="0"/>
    <x v="0"/>
    <x v="6"/>
    <x v="11"/>
    <n v="97526"/>
    <x v="13"/>
    <d v="2015-01-22T00:00:00"/>
    <x v="20"/>
    <n v="8"/>
    <n v="783.55"/>
    <n v="89202"/>
  </r>
  <r>
    <n v="19355"/>
    <x v="4"/>
    <n v="0.06"/>
    <n v="205.99"/>
    <n v="8.99"/>
    <n v="32"/>
    <x v="11"/>
    <x v="2"/>
    <x v="0"/>
    <x v="2"/>
    <x v="5"/>
    <x v="3"/>
    <x v="20"/>
    <n v="0.56000000000000005"/>
    <x v="0"/>
    <x v="0"/>
    <x v="6"/>
    <x v="11"/>
    <n v="97526"/>
    <x v="14"/>
    <d v="2015-03-19T00:00:00"/>
    <x v="21"/>
    <n v="22"/>
    <n v="3838.14"/>
    <n v="89203"/>
  </r>
  <r>
    <n v="23654"/>
    <x v="1"/>
    <n v="0.03"/>
    <n v="4.24"/>
    <n v="5.41"/>
    <n v="33"/>
    <x v="12"/>
    <x v="2"/>
    <x v="0"/>
    <x v="0"/>
    <x v="8"/>
    <x v="3"/>
    <x v="21"/>
    <n v="0.35"/>
    <x v="0"/>
    <x v="0"/>
    <x v="6"/>
    <x v="12"/>
    <n v="97030"/>
    <x v="15"/>
    <d v="2015-06-17T00:00:00"/>
    <x v="22"/>
    <n v="13"/>
    <n v="58.68"/>
    <n v="89201"/>
  </r>
  <r>
    <n v="23655"/>
    <x v="1"/>
    <n v="0.04"/>
    <n v="2.94"/>
    <n v="0.7"/>
    <n v="33"/>
    <x v="12"/>
    <x v="2"/>
    <x v="0"/>
    <x v="0"/>
    <x v="0"/>
    <x v="0"/>
    <x v="22"/>
    <n v="0.57999999999999996"/>
    <x v="0"/>
    <x v="0"/>
    <x v="6"/>
    <x v="12"/>
    <n v="97030"/>
    <x v="15"/>
    <d v="2015-06-16T00:00:00"/>
    <x v="23"/>
    <n v="18"/>
    <n v="53.1"/>
    <n v="89201"/>
  </r>
  <r>
    <n v="25933"/>
    <x v="0"/>
    <n v="0"/>
    <n v="99.99"/>
    <n v="19.989999999999998"/>
    <n v="43"/>
    <x v="13"/>
    <x v="2"/>
    <x v="3"/>
    <x v="2"/>
    <x v="6"/>
    <x v="3"/>
    <x v="23"/>
    <n v="0.52"/>
    <x v="0"/>
    <x v="0"/>
    <x v="0"/>
    <x v="13"/>
    <n v="98052"/>
    <x v="16"/>
    <d v="2015-05-11T00:00:00"/>
    <x v="24"/>
    <n v="6"/>
    <n v="647.07000000000005"/>
    <n v="91454"/>
  </r>
  <r>
    <n v="18551"/>
    <x v="1"/>
    <n v="0"/>
    <n v="115.99"/>
    <n v="2.5"/>
    <n v="52"/>
    <x v="14"/>
    <x v="2"/>
    <x v="0"/>
    <x v="2"/>
    <x v="5"/>
    <x v="3"/>
    <x v="24"/>
    <n v="0.56999999999999995"/>
    <x v="0"/>
    <x v="0"/>
    <x v="0"/>
    <x v="14"/>
    <n v="98373"/>
    <x v="17"/>
    <d v="2015-03-10T00:00:00"/>
    <x v="25"/>
    <n v="6"/>
    <n v="627.04"/>
    <n v="88426"/>
  </r>
  <r>
    <n v="22117"/>
    <x v="2"/>
    <n v="7.0000000000000007E-2"/>
    <n v="3502.14"/>
    <n v="8.73"/>
    <n v="53"/>
    <x v="15"/>
    <x v="1"/>
    <x v="0"/>
    <x v="2"/>
    <x v="6"/>
    <x v="5"/>
    <x v="25"/>
    <n v="0.56999999999999995"/>
    <x v="0"/>
    <x v="0"/>
    <x v="0"/>
    <x v="13"/>
    <n v="98052"/>
    <x v="9"/>
    <d v="2015-01-30T00:00:00"/>
    <x v="26"/>
    <n v="1"/>
    <n v="3267.55"/>
    <n v="88425"/>
  </r>
  <r>
    <n v="18552"/>
    <x v="1"/>
    <n v="0.02"/>
    <n v="5.98"/>
    <n v="5.79"/>
    <n v="53"/>
    <x v="15"/>
    <x v="2"/>
    <x v="0"/>
    <x v="0"/>
    <x v="7"/>
    <x v="3"/>
    <x v="26"/>
    <n v="0.36"/>
    <x v="0"/>
    <x v="0"/>
    <x v="0"/>
    <x v="13"/>
    <n v="98052"/>
    <x v="17"/>
    <d v="2015-03-11T00:00:00"/>
    <x v="27"/>
    <n v="17"/>
    <n v="110.19"/>
    <n v="88426"/>
  </r>
  <r>
    <n v="20697"/>
    <x v="3"/>
    <n v="0.06"/>
    <n v="3.8"/>
    <n v="1.49"/>
    <n v="56"/>
    <x v="16"/>
    <x v="2"/>
    <x v="3"/>
    <x v="0"/>
    <x v="8"/>
    <x v="3"/>
    <x v="27"/>
    <n v="0.38"/>
    <x v="0"/>
    <x v="1"/>
    <x v="4"/>
    <x v="15"/>
    <n v="14150"/>
    <x v="18"/>
    <d v="2015-04-21T00:00:00"/>
    <x v="28"/>
    <n v="20"/>
    <n v="73.55"/>
    <n v="88075"/>
  </r>
  <r>
    <n v="20698"/>
    <x v="3"/>
    <n v="0.06"/>
    <n v="1.76"/>
    <n v="0.7"/>
    <n v="56"/>
    <x v="16"/>
    <x v="2"/>
    <x v="3"/>
    <x v="0"/>
    <x v="0"/>
    <x v="0"/>
    <x v="28"/>
    <n v="0.56000000000000005"/>
    <x v="0"/>
    <x v="1"/>
    <x v="4"/>
    <x v="15"/>
    <n v="14150"/>
    <x v="18"/>
    <d v="2015-04-21T00:00:00"/>
    <x v="29"/>
    <n v="17"/>
    <n v="29.57"/>
    <n v="88075"/>
  </r>
  <r>
    <n v="22890"/>
    <x v="0"/>
    <n v="0.02"/>
    <n v="5.98"/>
    <n v="5.15"/>
    <n v="62"/>
    <x v="17"/>
    <x v="2"/>
    <x v="0"/>
    <x v="0"/>
    <x v="7"/>
    <x v="3"/>
    <x v="29"/>
    <n v="0.36"/>
    <x v="0"/>
    <x v="2"/>
    <x v="7"/>
    <x v="16"/>
    <n v="78664"/>
    <x v="19"/>
    <d v="2015-05-11T00:00:00"/>
    <x v="30"/>
    <n v="3"/>
    <n v="22.85"/>
    <n v="87407"/>
  </r>
  <r>
    <n v="25354"/>
    <x v="0"/>
    <n v="0.04"/>
    <n v="29.14"/>
    <n v="4.8600000000000003"/>
    <n v="62"/>
    <x v="17"/>
    <x v="2"/>
    <x v="0"/>
    <x v="0"/>
    <x v="7"/>
    <x v="0"/>
    <x v="30"/>
    <n v="0.38"/>
    <x v="0"/>
    <x v="2"/>
    <x v="7"/>
    <x v="16"/>
    <n v="78664"/>
    <x v="20"/>
    <d v="2015-06-14T00:00:00"/>
    <x v="31"/>
    <n v="17"/>
    <n v="506.39"/>
    <n v="87408"/>
  </r>
  <r>
    <n v="21017"/>
    <x v="1"/>
    <n v="0"/>
    <n v="3.69"/>
    <n v="0.5"/>
    <n v="64"/>
    <x v="18"/>
    <x v="2"/>
    <x v="2"/>
    <x v="0"/>
    <x v="9"/>
    <x v="3"/>
    <x v="31"/>
    <n v="0.38"/>
    <x v="0"/>
    <x v="3"/>
    <x v="8"/>
    <x v="17"/>
    <n v="24153"/>
    <x v="21"/>
    <d v="2015-03-04T00:00:00"/>
    <x v="32"/>
    <n v="1"/>
    <n v="4"/>
    <n v="87406"/>
  </r>
  <r>
    <n v="21019"/>
    <x v="1"/>
    <n v="0.02"/>
    <n v="175.99"/>
    <n v="4.99"/>
    <n v="64"/>
    <x v="18"/>
    <x v="0"/>
    <x v="2"/>
    <x v="2"/>
    <x v="5"/>
    <x v="3"/>
    <x v="32"/>
    <n v="0.59"/>
    <x v="0"/>
    <x v="3"/>
    <x v="8"/>
    <x v="17"/>
    <n v="24153"/>
    <x v="21"/>
    <d v="2015-03-02T00:00:00"/>
    <x v="33"/>
    <n v="4"/>
    <n v="589.79999999999995"/>
    <n v="87406"/>
  </r>
  <r>
    <n v="23274"/>
    <x v="4"/>
    <n v="0.05"/>
    <n v="155.06"/>
    <n v="7.07"/>
    <n v="67"/>
    <x v="19"/>
    <x v="2"/>
    <x v="0"/>
    <x v="0"/>
    <x v="10"/>
    <x v="3"/>
    <x v="33"/>
    <n v="0.59"/>
    <x v="0"/>
    <x v="0"/>
    <x v="1"/>
    <x v="18"/>
    <n v="94559"/>
    <x v="22"/>
    <d v="2015-01-09T00:00:00"/>
    <x v="34"/>
    <n v="8"/>
    <n v="1225.5999999999999"/>
    <n v="87946"/>
  </r>
  <r>
    <n v="5272"/>
    <x v="4"/>
    <n v="0"/>
    <n v="291.73"/>
    <n v="48.8"/>
    <n v="68"/>
    <x v="20"/>
    <x v="1"/>
    <x v="0"/>
    <x v="1"/>
    <x v="1"/>
    <x v="1"/>
    <x v="34"/>
    <n v="0.56000000000000005"/>
    <x v="0"/>
    <x v="1"/>
    <x v="4"/>
    <x v="8"/>
    <n v="10177"/>
    <x v="22"/>
    <d v="2015-01-02T00:00:00"/>
    <x v="35"/>
    <n v="4"/>
    <n v="1239.06"/>
    <n v="37537"/>
  </r>
  <r>
    <n v="5273"/>
    <x v="4"/>
    <n v="7.0000000000000007E-2"/>
    <n v="100.98"/>
    <n v="45"/>
    <n v="68"/>
    <x v="20"/>
    <x v="1"/>
    <x v="0"/>
    <x v="1"/>
    <x v="1"/>
    <x v="1"/>
    <x v="35"/>
    <n v="0.69"/>
    <x v="0"/>
    <x v="1"/>
    <x v="4"/>
    <x v="8"/>
    <n v="10177"/>
    <x v="22"/>
    <d v="2015-01-04T00:00:00"/>
    <x v="36"/>
    <n v="43"/>
    <n v="4083.19"/>
    <n v="37537"/>
  </r>
  <r>
    <n v="5274"/>
    <x v="4"/>
    <n v="0.05"/>
    <n v="155.06"/>
    <n v="7.07"/>
    <n v="68"/>
    <x v="20"/>
    <x v="2"/>
    <x v="0"/>
    <x v="0"/>
    <x v="10"/>
    <x v="3"/>
    <x v="33"/>
    <n v="0.59"/>
    <x v="0"/>
    <x v="1"/>
    <x v="4"/>
    <x v="8"/>
    <n v="10177"/>
    <x v="22"/>
    <d v="2015-01-09T00:00:00"/>
    <x v="37"/>
    <n v="32"/>
    <n v="4902.38"/>
    <n v="37537"/>
  </r>
  <r>
    <n v="7786"/>
    <x v="0"/>
    <n v="0.09"/>
    <n v="122.99"/>
    <n v="70.2"/>
    <n v="68"/>
    <x v="20"/>
    <x v="1"/>
    <x v="0"/>
    <x v="1"/>
    <x v="1"/>
    <x v="1"/>
    <x v="36"/>
    <n v="0.74"/>
    <x v="0"/>
    <x v="1"/>
    <x v="4"/>
    <x v="8"/>
    <n v="10177"/>
    <x v="23"/>
    <d v="2015-02-04T00:00:00"/>
    <x v="38"/>
    <n v="49"/>
    <n v="5718.85"/>
    <n v="55713"/>
  </r>
  <r>
    <n v="25786"/>
    <x v="0"/>
    <n v="0.09"/>
    <n v="122.99"/>
    <n v="70.2"/>
    <n v="70"/>
    <x v="21"/>
    <x v="1"/>
    <x v="0"/>
    <x v="1"/>
    <x v="1"/>
    <x v="1"/>
    <x v="36"/>
    <n v="0.74"/>
    <x v="0"/>
    <x v="1"/>
    <x v="9"/>
    <x v="19"/>
    <n v="5401"/>
    <x v="23"/>
    <d v="2015-02-04T00:00:00"/>
    <x v="38"/>
    <n v="12"/>
    <n v="1400.53"/>
    <n v="87947"/>
  </r>
  <r>
    <n v="18281"/>
    <x v="0"/>
    <n v="0.04"/>
    <n v="296.18"/>
    <n v="54.12"/>
    <n v="83"/>
    <x v="22"/>
    <x v="1"/>
    <x v="0"/>
    <x v="1"/>
    <x v="11"/>
    <x v="5"/>
    <x v="37"/>
    <n v="0.76"/>
    <x v="0"/>
    <x v="1"/>
    <x v="10"/>
    <x v="20"/>
    <n v="44708"/>
    <x v="24"/>
    <d v="2015-03-15T00:00:00"/>
    <x v="39"/>
    <n v="6"/>
    <n v="1821.89"/>
    <n v="87365"/>
  </r>
  <r>
    <n v="23639"/>
    <x v="1"/>
    <n v="0"/>
    <n v="8.09"/>
    <n v="7.96"/>
    <n v="84"/>
    <x v="23"/>
    <x v="2"/>
    <x v="3"/>
    <x v="1"/>
    <x v="2"/>
    <x v="3"/>
    <x v="38"/>
    <n v="0.49"/>
    <x v="0"/>
    <x v="1"/>
    <x v="10"/>
    <x v="21"/>
    <n v="45231"/>
    <x v="23"/>
    <d v="2015-02-03T00:00:00"/>
    <x v="40"/>
    <n v="11"/>
    <n v="90.98"/>
    <n v="87364"/>
  </r>
  <r>
    <n v="23880"/>
    <x v="0"/>
    <n v="0.08"/>
    <n v="896.99"/>
    <n v="19.989999999999998"/>
    <n v="84"/>
    <x v="23"/>
    <x v="2"/>
    <x v="0"/>
    <x v="0"/>
    <x v="8"/>
    <x v="3"/>
    <x v="39"/>
    <n v="0.38"/>
    <x v="0"/>
    <x v="1"/>
    <x v="10"/>
    <x v="21"/>
    <n v="45231"/>
    <x v="25"/>
    <d v="2015-04-02T00:00:00"/>
    <x v="41"/>
    <n v="13"/>
    <n v="10728"/>
    <n v="87366"/>
  </r>
  <r>
    <n v="24663"/>
    <x v="4"/>
    <n v="0.05"/>
    <n v="161.55000000000001"/>
    <n v="19.989999999999998"/>
    <n v="87"/>
    <x v="24"/>
    <x v="2"/>
    <x v="0"/>
    <x v="0"/>
    <x v="10"/>
    <x v="3"/>
    <x v="40"/>
    <n v="0.66"/>
    <x v="0"/>
    <x v="0"/>
    <x v="1"/>
    <x v="22"/>
    <n v="95687"/>
    <x v="26"/>
    <d v="2015-06-08T00:00:00"/>
    <x v="42"/>
    <n v="19"/>
    <n v="3127.69"/>
    <n v="90596"/>
  </r>
  <r>
    <n v="23841"/>
    <x v="0"/>
    <n v="0.09"/>
    <n v="4.91"/>
    <n v="0.5"/>
    <n v="87"/>
    <x v="24"/>
    <x v="2"/>
    <x v="0"/>
    <x v="0"/>
    <x v="9"/>
    <x v="3"/>
    <x v="41"/>
    <n v="0.36"/>
    <x v="0"/>
    <x v="0"/>
    <x v="1"/>
    <x v="22"/>
    <n v="95687"/>
    <x v="27"/>
    <d v="2015-03-23T00:00:00"/>
    <x v="43"/>
    <n v="9"/>
    <n v="41.82"/>
    <n v="90597"/>
  </r>
  <r>
    <n v="23842"/>
    <x v="0"/>
    <n v="0.01"/>
    <n v="296.18"/>
    <n v="54.12"/>
    <n v="87"/>
    <x v="24"/>
    <x v="1"/>
    <x v="0"/>
    <x v="1"/>
    <x v="11"/>
    <x v="5"/>
    <x v="37"/>
    <n v="0.76"/>
    <x v="0"/>
    <x v="0"/>
    <x v="1"/>
    <x v="22"/>
    <n v="95687"/>
    <x v="27"/>
    <d v="2015-03-25T00:00:00"/>
    <x v="44"/>
    <n v="9"/>
    <n v="2875.72"/>
    <n v="90597"/>
  </r>
  <r>
    <n v="23071"/>
    <x v="0"/>
    <n v="7.0000000000000007E-2"/>
    <n v="19.84"/>
    <n v="4.0999999999999996"/>
    <n v="91"/>
    <x v="25"/>
    <x v="2"/>
    <x v="1"/>
    <x v="0"/>
    <x v="0"/>
    <x v="0"/>
    <x v="42"/>
    <n v="0.44"/>
    <x v="0"/>
    <x v="0"/>
    <x v="1"/>
    <x v="23"/>
    <n v="94591"/>
    <x v="28"/>
    <d v="2015-05-18T00:00:00"/>
    <x v="45"/>
    <n v="9"/>
    <n v="170.8"/>
    <n v="87175"/>
  </r>
  <r>
    <n v="19877"/>
    <x v="3"/>
    <n v="0.05"/>
    <n v="5.18"/>
    <n v="2.04"/>
    <n v="91"/>
    <x v="25"/>
    <x v="2"/>
    <x v="1"/>
    <x v="0"/>
    <x v="7"/>
    <x v="0"/>
    <x v="43"/>
    <n v="0.36"/>
    <x v="0"/>
    <x v="0"/>
    <x v="1"/>
    <x v="23"/>
    <n v="94591"/>
    <x v="29"/>
    <d v="2015-02-20T00:00:00"/>
    <x v="46"/>
    <n v="10"/>
    <n v="53.54"/>
    <n v="87176"/>
  </r>
  <r>
    <n v="19611"/>
    <x v="3"/>
    <n v="0.06"/>
    <n v="175.99"/>
    <n v="8.99"/>
    <n v="91"/>
    <x v="25"/>
    <x v="2"/>
    <x v="0"/>
    <x v="2"/>
    <x v="5"/>
    <x v="3"/>
    <x v="44"/>
    <n v="0.56999999999999995"/>
    <x v="0"/>
    <x v="0"/>
    <x v="1"/>
    <x v="23"/>
    <n v="94591"/>
    <x v="30"/>
    <d v="2015-03-06T00:00:00"/>
    <x v="47"/>
    <n v="23"/>
    <n v="3363.53"/>
    <n v="87177"/>
  </r>
  <r>
    <n v="23069"/>
    <x v="0"/>
    <n v="7.0000000000000007E-2"/>
    <n v="8.34"/>
    <n v="1.43"/>
    <n v="92"/>
    <x v="26"/>
    <x v="2"/>
    <x v="1"/>
    <x v="0"/>
    <x v="7"/>
    <x v="0"/>
    <x v="45"/>
    <n v="0.35"/>
    <x v="0"/>
    <x v="3"/>
    <x v="11"/>
    <x v="24"/>
    <n v="70056"/>
    <x v="28"/>
    <d v="2015-05-19T00:00:00"/>
    <x v="48"/>
    <n v="16"/>
    <n v="132.08000000000001"/>
    <n v="87175"/>
  </r>
  <r>
    <n v="23070"/>
    <x v="0"/>
    <n v="0.09"/>
    <n v="4.9800000000000004"/>
    <n v="6.07"/>
    <n v="92"/>
    <x v="26"/>
    <x v="2"/>
    <x v="1"/>
    <x v="0"/>
    <x v="7"/>
    <x v="3"/>
    <x v="46"/>
    <n v="0.36"/>
    <x v="0"/>
    <x v="3"/>
    <x v="11"/>
    <x v="24"/>
    <n v="70056"/>
    <x v="28"/>
    <d v="2015-05-18T00:00:00"/>
    <x v="49"/>
    <n v="9"/>
    <n v="45.34"/>
    <n v="87175"/>
  </r>
  <r>
    <n v="23203"/>
    <x v="3"/>
    <n v="0.04"/>
    <n v="12.98"/>
    <n v="3.14"/>
    <n v="92"/>
    <x v="26"/>
    <x v="0"/>
    <x v="0"/>
    <x v="0"/>
    <x v="12"/>
    <x v="2"/>
    <x v="47"/>
    <n v="0.6"/>
    <x v="0"/>
    <x v="3"/>
    <x v="11"/>
    <x v="24"/>
    <n v="70056"/>
    <x v="31"/>
    <d v="2015-06-09T00:00:00"/>
    <x v="50"/>
    <n v="16"/>
    <n v="216.04"/>
    <n v="87178"/>
  </r>
  <r>
    <n v="6243"/>
    <x v="1"/>
    <n v="0.04"/>
    <n v="160.97999999999999"/>
    <n v="30"/>
    <n v="94"/>
    <x v="27"/>
    <x v="1"/>
    <x v="1"/>
    <x v="1"/>
    <x v="1"/>
    <x v="1"/>
    <x v="48"/>
    <n v="0.62"/>
    <x v="0"/>
    <x v="2"/>
    <x v="12"/>
    <x v="25"/>
    <n v="60601"/>
    <x v="32"/>
    <d v="2015-05-05T00:00:00"/>
    <x v="51"/>
    <n v="37"/>
    <n v="6276.34"/>
    <n v="44231"/>
  </r>
  <r>
    <n v="6244"/>
    <x v="1"/>
    <n v="0.01"/>
    <n v="17.98"/>
    <n v="4"/>
    <n v="94"/>
    <x v="27"/>
    <x v="2"/>
    <x v="1"/>
    <x v="2"/>
    <x v="13"/>
    <x v="3"/>
    <x v="49"/>
    <n v="0.79"/>
    <x v="0"/>
    <x v="2"/>
    <x v="12"/>
    <x v="25"/>
    <n v="60601"/>
    <x v="32"/>
    <d v="2015-05-05T00:00:00"/>
    <x v="52"/>
    <n v="146"/>
    <n v="2664.4"/>
    <n v="44231"/>
  </r>
  <r>
    <n v="24243"/>
    <x v="1"/>
    <n v="0.04"/>
    <n v="160.97999999999999"/>
    <n v="30"/>
    <n v="97"/>
    <x v="28"/>
    <x v="1"/>
    <x v="1"/>
    <x v="1"/>
    <x v="1"/>
    <x v="1"/>
    <x v="48"/>
    <n v="0.62"/>
    <x v="0"/>
    <x v="2"/>
    <x v="13"/>
    <x v="26"/>
    <n v="66502"/>
    <x v="32"/>
    <d v="2015-05-05T00:00:00"/>
    <x v="53"/>
    <n v="9"/>
    <n v="1526.68"/>
    <n v="87306"/>
  </r>
  <r>
    <n v="24245"/>
    <x v="1"/>
    <n v="0.06"/>
    <n v="115.99"/>
    <n v="8.99"/>
    <n v="97"/>
    <x v="28"/>
    <x v="2"/>
    <x v="1"/>
    <x v="2"/>
    <x v="5"/>
    <x v="3"/>
    <x v="50"/>
    <n v="0.57999999999999996"/>
    <x v="0"/>
    <x v="2"/>
    <x v="13"/>
    <x v="26"/>
    <n v="66502"/>
    <x v="32"/>
    <d v="2015-05-04T00:00:00"/>
    <x v="54"/>
    <n v="20"/>
    <n v="1952.56"/>
    <n v="87306"/>
  </r>
  <r>
    <n v="18494"/>
    <x v="3"/>
    <n v="0.1"/>
    <n v="19.98"/>
    <n v="4"/>
    <n v="101"/>
    <x v="29"/>
    <x v="2"/>
    <x v="3"/>
    <x v="2"/>
    <x v="13"/>
    <x v="3"/>
    <x v="51"/>
    <n v="0.68"/>
    <x v="0"/>
    <x v="1"/>
    <x v="14"/>
    <x v="27"/>
    <n v="4005"/>
    <x v="33"/>
    <d v="2015-06-24T00:00:00"/>
    <x v="55"/>
    <n v="16"/>
    <n v="303.58999999999997"/>
    <n v="88205"/>
  </r>
  <r>
    <n v="6014"/>
    <x v="3"/>
    <n v="0.04"/>
    <n v="300.98"/>
    <n v="54.92"/>
    <n v="102"/>
    <x v="30"/>
    <x v="1"/>
    <x v="3"/>
    <x v="1"/>
    <x v="14"/>
    <x v="5"/>
    <x v="52"/>
    <n v="0.55000000000000004"/>
    <x v="0"/>
    <x v="1"/>
    <x v="15"/>
    <x v="28"/>
    <n v="2129"/>
    <x v="34"/>
    <d v="2015-04-07T00:00:00"/>
    <x v="56"/>
    <n v="31"/>
    <n v="9459.94"/>
    <n v="42599"/>
  </r>
  <r>
    <n v="494"/>
    <x v="3"/>
    <n v="0.1"/>
    <n v="19.98"/>
    <n v="4"/>
    <n v="102"/>
    <x v="30"/>
    <x v="2"/>
    <x v="3"/>
    <x v="2"/>
    <x v="13"/>
    <x v="3"/>
    <x v="51"/>
    <n v="0.68"/>
    <x v="0"/>
    <x v="1"/>
    <x v="15"/>
    <x v="28"/>
    <n v="2129"/>
    <x v="33"/>
    <d v="2015-06-24T00:00:00"/>
    <x v="57"/>
    <n v="65"/>
    <n v="1233.32"/>
    <n v="3397"/>
  </r>
  <r>
    <n v="495"/>
    <x v="3"/>
    <n v="0.09"/>
    <n v="2.88"/>
    <n v="1.49"/>
    <n v="102"/>
    <x v="30"/>
    <x v="2"/>
    <x v="3"/>
    <x v="0"/>
    <x v="8"/>
    <x v="3"/>
    <x v="53"/>
    <n v="0.36"/>
    <x v="0"/>
    <x v="1"/>
    <x v="15"/>
    <x v="28"/>
    <n v="2129"/>
    <x v="33"/>
    <d v="2015-06-23T00:00:00"/>
    <x v="58"/>
    <n v="17"/>
    <n v="47.31"/>
    <n v="3397"/>
  </r>
  <r>
    <n v="24014"/>
    <x v="3"/>
    <n v="0.04"/>
    <n v="300.98"/>
    <n v="54.92"/>
    <n v="107"/>
    <x v="31"/>
    <x v="1"/>
    <x v="3"/>
    <x v="1"/>
    <x v="14"/>
    <x v="5"/>
    <x v="52"/>
    <n v="0.55000000000000004"/>
    <x v="0"/>
    <x v="1"/>
    <x v="16"/>
    <x v="29"/>
    <n v="3820"/>
    <x v="34"/>
    <d v="2015-04-07T00:00:00"/>
    <x v="59"/>
    <n v="8"/>
    <n v="2441.27"/>
    <n v="88204"/>
  </r>
  <r>
    <n v="18495"/>
    <x v="3"/>
    <n v="0.09"/>
    <n v="2.88"/>
    <n v="1.49"/>
    <n v="109"/>
    <x v="32"/>
    <x v="2"/>
    <x v="3"/>
    <x v="0"/>
    <x v="8"/>
    <x v="3"/>
    <x v="53"/>
    <n v="0.36"/>
    <x v="0"/>
    <x v="1"/>
    <x v="2"/>
    <x v="30"/>
    <n v="7644"/>
    <x v="33"/>
    <d v="2015-06-23T00:00:00"/>
    <x v="60"/>
    <n v="4"/>
    <n v="11.13"/>
    <n v="88205"/>
  </r>
  <r>
    <n v="19074"/>
    <x v="0"/>
    <n v="0.03"/>
    <n v="4.26"/>
    <n v="1.2"/>
    <n v="114"/>
    <x v="33"/>
    <x v="2"/>
    <x v="1"/>
    <x v="0"/>
    <x v="0"/>
    <x v="0"/>
    <x v="54"/>
    <n v="0.44"/>
    <x v="0"/>
    <x v="0"/>
    <x v="6"/>
    <x v="31"/>
    <n v="97035"/>
    <x v="35"/>
    <d v="2015-01-04T00:00:00"/>
    <x v="61"/>
    <n v="7"/>
    <n v="29.5"/>
    <n v="89583"/>
  </r>
  <r>
    <n v="19950"/>
    <x v="3"/>
    <n v="0.01"/>
    <n v="4.91"/>
    <n v="0.5"/>
    <n v="114"/>
    <x v="33"/>
    <x v="2"/>
    <x v="1"/>
    <x v="0"/>
    <x v="9"/>
    <x v="3"/>
    <x v="41"/>
    <n v="0.36"/>
    <x v="0"/>
    <x v="0"/>
    <x v="6"/>
    <x v="31"/>
    <n v="97035"/>
    <x v="36"/>
    <d v="2015-04-06T00:00:00"/>
    <x v="62"/>
    <n v="12"/>
    <n v="58.33"/>
    <n v="89584"/>
  </r>
  <r>
    <n v="19951"/>
    <x v="3"/>
    <n v="0.09"/>
    <n v="4"/>
    <n v="1.3"/>
    <n v="114"/>
    <x v="33"/>
    <x v="0"/>
    <x v="1"/>
    <x v="0"/>
    <x v="7"/>
    <x v="0"/>
    <x v="55"/>
    <n v="0.37"/>
    <x v="0"/>
    <x v="0"/>
    <x v="6"/>
    <x v="31"/>
    <n v="97035"/>
    <x v="36"/>
    <d v="2015-04-06T00:00:00"/>
    <x v="63"/>
    <n v="5"/>
    <n v="20.420000000000002"/>
    <n v="89584"/>
  </r>
  <r>
    <n v="26241"/>
    <x v="4"/>
    <n v="7.0000000000000007E-2"/>
    <n v="2.12"/>
    <n v="1.99"/>
    <n v="115"/>
    <x v="34"/>
    <x v="2"/>
    <x v="1"/>
    <x v="2"/>
    <x v="13"/>
    <x v="2"/>
    <x v="56"/>
    <n v="0.55000000000000004"/>
    <x v="0"/>
    <x v="0"/>
    <x v="6"/>
    <x v="32"/>
    <n v="97128"/>
    <x v="37"/>
    <d v="2015-04-11T00:00:00"/>
    <x v="64"/>
    <n v="12"/>
    <n v="26.07"/>
    <n v="89585"/>
  </r>
  <r>
    <n v="1074"/>
    <x v="0"/>
    <n v="0.03"/>
    <n v="4.26"/>
    <n v="1.2"/>
    <n v="117"/>
    <x v="35"/>
    <x v="2"/>
    <x v="1"/>
    <x v="0"/>
    <x v="0"/>
    <x v="0"/>
    <x v="54"/>
    <n v="0.44"/>
    <x v="0"/>
    <x v="0"/>
    <x v="0"/>
    <x v="33"/>
    <n v="98103"/>
    <x v="35"/>
    <d v="2015-01-04T00:00:00"/>
    <x v="65"/>
    <n v="29"/>
    <n v="122.23"/>
    <n v="7909"/>
  </r>
  <r>
    <n v="1950"/>
    <x v="3"/>
    <n v="0.01"/>
    <n v="4.91"/>
    <n v="0.5"/>
    <n v="117"/>
    <x v="35"/>
    <x v="2"/>
    <x v="1"/>
    <x v="0"/>
    <x v="9"/>
    <x v="3"/>
    <x v="41"/>
    <n v="0.36"/>
    <x v="0"/>
    <x v="0"/>
    <x v="0"/>
    <x v="33"/>
    <n v="98103"/>
    <x v="36"/>
    <d v="2015-04-06T00:00:00"/>
    <x v="66"/>
    <n v="47"/>
    <n v="228.46"/>
    <n v="13959"/>
  </r>
  <r>
    <n v="1951"/>
    <x v="3"/>
    <n v="0.09"/>
    <n v="4"/>
    <n v="1.3"/>
    <n v="117"/>
    <x v="35"/>
    <x v="0"/>
    <x v="1"/>
    <x v="0"/>
    <x v="7"/>
    <x v="0"/>
    <x v="55"/>
    <n v="0.37"/>
    <x v="0"/>
    <x v="0"/>
    <x v="0"/>
    <x v="33"/>
    <n v="98103"/>
    <x v="36"/>
    <d v="2015-04-06T00:00:00"/>
    <x v="67"/>
    <n v="19"/>
    <n v="77.61"/>
    <n v="13959"/>
  </r>
  <r>
    <n v="8241"/>
    <x v="4"/>
    <n v="7.0000000000000007E-2"/>
    <n v="2.12"/>
    <n v="1.99"/>
    <n v="117"/>
    <x v="35"/>
    <x v="2"/>
    <x v="1"/>
    <x v="2"/>
    <x v="13"/>
    <x v="2"/>
    <x v="56"/>
    <n v="0.55000000000000004"/>
    <x v="0"/>
    <x v="0"/>
    <x v="0"/>
    <x v="33"/>
    <n v="98103"/>
    <x v="37"/>
    <d v="2015-04-11T00:00:00"/>
    <x v="64"/>
    <n v="46"/>
    <n v="99.94"/>
    <n v="58914"/>
  </r>
  <r>
    <n v="20688"/>
    <x v="0"/>
    <n v="0.05"/>
    <n v="6.3"/>
    <n v="0.5"/>
    <n v="120"/>
    <x v="36"/>
    <x v="2"/>
    <x v="0"/>
    <x v="0"/>
    <x v="9"/>
    <x v="3"/>
    <x v="57"/>
    <n v="0.39"/>
    <x v="0"/>
    <x v="0"/>
    <x v="17"/>
    <x v="34"/>
    <n v="84041"/>
    <x v="38"/>
    <d v="2015-01-13T00:00:00"/>
    <x v="68"/>
    <n v="10"/>
    <n v="59.85"/>
    <n v="86520"/>
  </r>
  <r>
    <n v="20689"/>
    <x v="0"/>
    <n v="0.09"/>
    <n v="205.99"/>
    <n v="3"/>
    <n v="120"/>
    <x v="36"/>
    <x v="0"/>
    <x v="0"/>
    <x v="2"/>
    <x v="5"/>
    <x v="3"/>
    <x v="58"/>
    <n v="0.57999999999999996"/>
    <x v="0"/>
    <x v="0"/>
    <x v="17"/>
    <x v="34"/>
    <n v="84041"/>
    <x v="38"/>
    <d v="2015-01-14T00:00:00"/>
    <x v="69"/>
    <n v="10"/>
    <n v="1708.73"/>
    <n v="86520"/>
  </r>
  <r>
    <n v="19942"/>
    <x v="2"/>
    <n v="0.06"/>
    <n v="8.57"/>
    <n v="6.14"/>
    <n v="123"/>
    <x v="37"/>
    <x v="2"/>
    <x v="1"/>
    <x v="0"/>
    <x v="12"/>
    <x v="2"/>
    <x v="59"/>
    <n v="0.59"/>
    <x v="0"/>
    <x v="3"/>
    <x v="8"/>
    <x v="35"/>
    <n v="22102"/>
    <x v="37"/>
    <d v="2015-04-10T00:00:00"/>
    <x v="70"/>
    <n v="11"/>
    <n v="94.97"/>
    <n v="90669"/>
  </r>
  <r>
    <n v="24319"/>
    <x v="1"/>
    <n v="0.02"/>
    <n v="1.74"/>
    <n v="4.08"/>
    <n v="129"/>
    <x v="38"/>
    <x v="2"/>
    <x v="2"/>
    <x v="1"/>
    <x v="2"/>
    <x v="2"/>
    <x v="60"/>
    <n v="0.53"/>
    <x v="0"/>
    <x v="2"/>
    <x v="12"/>
    <x v="36"/>
    <n v="62002"/>
    <x v="39"/>
    <d v="2015-01-28T00:00:00"/>
    <x v="71"/>
    <n v="5"/>
    <n v="10.23"/>
    <n v="86693"/>
  </r>
  <r>
    <n v="18161"/>
    <x v="1"/>
    <n v="7.0000000000000007E-2"/>
    <n v="15.74"/>
    <n v="1.39"/>
    <n v="129"/>
    <x v="38"/>
    <x v="2"/>
    <x v="2"/>
    <x v="0"/>
    <x v="4"/>
    <x v="3"/>
    <x v="61"/>
    <n v="0.4"/>
    <x v="0"/>
    <x v="2"/>
    <x v="12"/>
    <x v="36"/>
    <n v="62002"/>
    <x v="40"/>
    <d v="2015-05-26T00:00:00"/>
    <x v="72"/>
    <n v="14"/>
    <n v="217.23"/>
    <n v="86694"/>
  </r>
  <r>
    <n v="25762"/>
    <x v="2"/>
    <n v="0.04"/>
    <n v="18.97"/>
    <n v="9.5399999999999991"/>
    <n v="136"/>
    <x v="39"/>
    <x v="2"/>
    <x v="2"/>
    <x v="0"/>
    <x v="7"/>
    <x v="3"/>
    <x v="62"/>
    <n v="0.37"/>
    <x v="0"/>
    <x v="0"/>
    <x v="1"/>
    <x v="37"/>
    <n v="94952"/>
    <x v="41"/>
    <d v="2015-05-17T00:00:00"/>
    <x v="73"/>
    <n v="5"/>
    <n v="101.74"/>
    <n v="88534"/>
  </r>
  <r>
    <n v="25764"/>
    <x v="2"/>
    <n v="0.09"/>
    <n v="10.98"/>
    <n v="3.37"/>
    <n v="136"/>
    <x v="39"/>
    <x v="2"/>
    <x v="2"/>
    <x v="0"/>
    <x v="12"/>
    <x v="2"/>
    <x v="63"/>
    <n v="0.56999999999999995"/>
    <x v="0"/>
    <x v="0"/>
    <x v="1"/>
    <x v="37"/>
    <n v="94952"/>
    <x v="41"/>
    <d v="2015-05-17T00:00:00"/>
    <x v="74"/>
    <n v="8"/>
    <n v="84.52"/>
    <n v="88534"/>
  </r>
  <r>
    <n v="24803"/>
    <x v="2"/>
    <n v="0.03"/>
    <n v="22.84"/>
    <n v="11.54"/>
    <n v="142"/>
    <x v="40"/>
    <x v="2"/>
    <x v="2"/>
    <x v="0"/>
    <x v="7"/>
    <x v="3"/>
    <x v="64"/>
    <n v="0.39"/>
    <x v="0"/>
    <x v="1"/>
    <x v="18"/>
    <x v="38"/>
    <n v="6401"/>
    <x v="42"/>
    <d v="2015-06-03T00:00:00"/>
    <x v="75"/>
    <n v="13"/>
    <n v="312.58999999999997"/>
    <n v="91087"/>
  </r>
  <r>
    <n v="24805"/>
    <x v="2"/>
    <n v="0.05"/>
    <n v="10.98"/>
    <n v="3.37"/>
    <n v="144"/>
    <x v="41"/>
    <x v="2"/>
    <x v="2"/>
    <x v="0"/>
    <x v="12"/>
    <x v="2"/>
    <x v="63"/>
    <n v="0.56999999999999995"/>
    <x v="0"/>
    <x v="1"/>
    <x v="15"/>
    <x v="39"/>
    <n v="2664"/>
    <x v="42"/>
    <d v="2015-06-03T00:00:00"/>
    <x v="76"/>
    <n v="6"/>
    <n v="64.400000000000006"/>
    <n v="91087"/>
  </r>
  <r>
    <n v="24849"/>
    <x v="3"/>
    <n v="0.06"/>
    <n v="7.04"/>
    <n v="2.17"/>
    <n v="145"/>
    <x v="42"/>
    <x v="2"/>
    <x v="2"/>
    <x v="0"/>
    <x v="7"/>
    <x v="0"/>
    <x v="65"/>
    <n v="0.38"/>
    <x v="0"/>
    <x v="1"/>
    <x v="19"/>
    <x v="40"/>
    <n v="15122"/>
    <x v="43"/>
    <d v="2015-01-17T00:00:00"/>
    <x v="77"/>
    <n v="2"/>
    <n v="14.65"/>
    <n v="91086"/>
  </r>
  <r>
    <n v="25582"/>
    <x v="4"/>
    <n v="7.0000000000000007E-2"/>
    <n v="154.13"/>
    <n v="69"/>
    <n v="145"/>
    <x v="42"/>
    <x v="0"/>
    <x v="1"/>
    <x v="1"/>
    <x v="11"/>
    <x v="6"/>
    <x v="66"/>
    <n v="0.68"/>
    <x v="0"/>
    <x v="1"/>
    <x v="19"/>
    <x v="40"/>
    <n v="15122"/>
    <x v="44"/>
    <d v="2015-03-16T00:00:00"/>
    <x v="78"/>
    <n v="3"/>
    <n v="453.62"/>
    <n v="91089"/>
  </r>
  <r>
    <n v="23365"/>
    <x v="1"/>
    <n v="0.01"/>
    <n v="45.98"/>
    <n v="4.8"/>
    <n v="146"/>
    <x v="43"/>
    <x v="2"/>
    <x v="2"/>
    <x v="1"/>
    <x v="2"/>
    <x v="0"/>
    <x v="67"/>
    <n v="0.68"/>
    <x v="0"/>
    <x v="2"/>
    <x v="7"/>
    <x v="41"/>
    <n v="76148"/>
    <x v="14"/>
    <d v="2015-03-13T00:00:00"/>
    <x v="79"/>
    <n v="4"/>
    <n v="193.59"/>
    <n v="91088"/>
  </r>
  <r>
    <n v="22907"/>
    <x v="3"/>
    <n v="0.06"/>
    <n v="180.98"/>
    <n v="26.2"/>
    <n v="146"/>
    <x v="43"/>
    <x v="1"/>
    <x v="0"/>
    <x v="1"/>
    <x v="1"/>
    <x v="1"/>
    <x v="68"/>
    <n v="0.59"/>
    <x v="0"/>
    <x v="2"/>
    <x v="7"/>
    <x v="41"/>
    <n v="76148"/>
    <x v="45"/>
    <d v="2015-04-24T00:00:00"/>
    <x v="80"/>
    <n v="5"/>
    <n v="929.57"/>
    <n v="91090"/>
  </r>
  <r>
    <n v="19058"/>
    <x v="2"/>
    <n v="0.09"/>
    <n v="32.979999999999997"/>
    <n v="5.5"/>
    <n v="151"/>
    <x v="44"/>
    <x v="2"/>
    <x v="1"/>
    <x v="2"/>
    <x v="13"/>
    <x v="3"/>
    <x v="69"/>
    <n v="0.75"/>
    <x v="0"/>
    <x v="3"/>
    <x v="20"/>
    <x v="42"/>
    <n v="37664"/>
    <x v="46"/>
    <d v="2015-01-23T00:00:00"/>
    <x v="81"/>
    <n v="2"/>
    <n v="62.46"/>
    <n v="89521"/>
  </r>
  <r>
    <n v="20679"/>
    <x v="0"/>
    <n v="0.09"/>
    <n v="5.98"/>
    <n v="2.5"/>
    <n v="151"/>
    <x v="44"/>
    <x v="2"/>
    <x v="1"/>
    <x v="0"/>
    <x v="4"/>
    <x v="3"/>
    <x v="70"/>
    <n v="0.36"/>
    <x v="0"/>
    <x v="3"/>
    <x v="20"/>
    <x v="42"/>
    <n v="37664"/>
    <x v="18"/>
    <d v="2015-04-22T00:00:00"/>
    <x v="82"/>
    <n v="5"/>
    <n v="28.11"/>
    <n v="89523"/>
  </r>
  <r>
    <n v="21103"/>
    <x v="2"/>
    <n v="0.09"/>
    <n v="2.88"/>
    <n v="0.7"/>
    <n v="152"/>
    <x v="45"/>
    <x v="2"/>
    <x v="3"/>
    <x v="0"/>
    <x v="0"/>
    <x v="0"/>
    <x v="71"/>
    <n v="0.56000000000000005"/>
    <x v="0"/>
    <x v="3"/>
    <x v="20"/>
    <x v="43"/>
    <n v="37918"/>
    <x v="43"/>
    <d v="2015-01-16T00:00:00"/>
    <x v="83"/>
    <n v="2"/>
    <n v="5.5"/>
    <n v="89520"/>
  </r>
  <r>
    <n v="22243"/>
    <x v="4"/>
    <n v="0.01"/>
    <n v="79.52"/>
    <n v="48.2"/>
    <n v="152"/>
    <x v="45"/>
    <x v="2"/>
    <x v="1"/>
    <x v="1"/>
    <x v="2"/>
    <x v="4"/>
    <x v="72"/>
    <n v="0.74"/>
    <x v="0"/>
    <x v="3"/>
    <x v="20"/>
    <x v="43"/>
    <n v="37918"/>
    <x v="47"/>
    <d v="2015-04-26T00:00:00"/>
    <x v="84"/>
    <n v="8"/>
    <n v="667.84"/>
    <n v="89522"/>
  </r>
  <r>
    <n v="21767"/>
    <x v="0"/>
    <n v="0.01"/>
    <n v="65.989999999999995"/>
    <n v="8.99"/>
    <n v="152"/>
    <x v="45"/>
    <x v="2"/>
    <x v="3"/>
    <x v="2"/>
    <x v="5"/>
    <x v="3"/>
    <x v="73"/>
    <n v="0.6"/>
    <x v="0"/>
    <x v="3"/>
    <x v="20"/>
    <x v="43"/>
    <n v="37918"/>
    <x v="48"/>
    <d v="2015-04-01T00:00:00"/>
    <x v="85"/>
    <n v="5"/>
    <n v="292.23"/>
    <n v="89524"/>
  </r>
  <r>
    <n v="22470"/>
    <x v="4"/>
    <n v="0.1"/>
    <n v="39.979999999999997"/>
    <n v="4"/>
    <n v="152"/>
    <x v="45"/>
    <x v="2"/>
    <x v="2"/>
    <x v="2"/>
    <x v="13"/>
    <x v="3"/>
    <x v="74"/>
    <n v="0.7"/>
    <x v="0"/>
    <x v="3"/>
    <x v="20"/>
    <x v="43"/>
    <n v="37918"/>
    <x v="49"/>
    <d v="2015-06-22T00:00:00"/>
    <x v="86"/>
    <n v="21"/>
    <n v="772.56"/>
    <n v="89525"/>
  </r>
  <r>
    <n v="22329"/>
    <x v="2"/>
    <n v="0.01"/>
    <n v="95.99"/>
    <n v="4.9000000000000004"/>
    <n v="156"/>
    <x v="46"/>
    <x v="2"/>
    <x v="0"/>
    <x v="2"/>
    <x v="5"/>
    <x v="3"/>
    <x v="75"/>
    <n v="0.56000000000000005"/>
    <x v="0"/>
    <x v="0"/>
    <x v="21"/>
    <x v="44"/>
    <n v="80525"/>
    <x v="50"/>
    <d v="2015-05-15T00:00:00"/>
    <x v="87"/>
    <n v="13"/>
    <n v="1050.08"/>
    <n v="87671"/>
  </r>
  <r>
    <n v="20324"/>
    <x v="0"/>
    <n v="0.03"/>
    <n v="10.89"/>
    <n v="4.5"/>
    <n v="156"/>
    <x v="46"/>
    <x v="2"/>
    <x v="0"/>
    <x v="0"/>
    <x v="15"/>
    <x v="3"/>
    <x v="76"/>
    <n v="0.59"/>
    <x v="0"/>
    <x v="0"/>
    <x v="21"/>
    <x v="44"/>
    <n v="80525"/>
    <x v="51"/>
    <d v="2015-01-26T00:00:00"/>
    <x v="88"/>
    <n v="3"/>
    <n v="33.82"/>
    <n v="87672"/>
  </r>
  <r>
    <n v="26102"/>
    <x v="3"/>
    <n v="0.05"/>
    <n v="100.98"/>
    <n v="35.840000000000003"/>
    <n v="164"/>
    <x v="47"/>
    <x v="1"/>
    <x v="1"/>
    <x v="1"/>
    <x v="14"/>
    <x v="5"/>
    <x v="77"/>
    <n v="0.62"/>
    <x v="0"/>
    <x v="0"/>
    <x v="0"/>
    <x v="45"/>
    <n v="99352"/>
    <x v="22"/>
    <d v="2015-01-04T00:00:00"/>
    <x v="89"/>
    <n v="7"/>
    <n v="715.55"/>
    <n v="89961"/>
  </r>
  <r>
    <n v="26103"/>
    <x v="3"/>
    <n v="0.02"/>
    <n v="4.9800000000000004"/>
    <n v="5.49"/>
    <n v="164"/>
    <x v="47"/>
    <x v="2"/>
    <x v="1"/>
    <x v="0"/>
    <x v="7"/>
    <x v="3"/>
    <x v="78"/>
    <n v="0.38"/>
    <x v="0"/>
    <x v="0"/>
    <x v="0"/>
    <x v="45"/>
    <n v="99352"/>
    <x v="22"/>
    <d v="2015-01-03T00:00:00"/>
    <x v="90"/>
    <n v="9"/>
    <n v="45.63"/>
    <n v="89961"/>
  </r>
  <r>
    <n v="21040"/>
    <x v="4"/>
    <n v="0.08"/>
    <n v="399.98"/>
    <n v="12.06"/>
    <n v="166"/>
    <x v="48"/>
    <x v="1"/>
    <x v="3"/>
    <x v="2"/>
    <x v="6"/>
    <x v="5"/>
    <x v="79"/>
    <n v="0.56000000000000005"/>
    <x v="0"/>
    <x v="3"/>
    <x v="20"/>
    <x v="46"/>
    <n v="37087"/>
    <x v="52"/>
    <d v="2015-01-18T00:00:00"/>
    <x v="91"/>
    <n v="5"/>
    <n v="1839.91"/>
    <n v="89426"/>
  </r>
  <r>
    <n v="19315"/>
    <x v="4"/>
    <n v="0.08"/>
    <n v="43.22"/>
    <n v="16.71"/>
    <n v="169"/>
    <x v="49"/>
    <x v="2"/>
    <x v="0"/>
    <x v="2"/>
    <x v="13"/>
    <x v="3"/>
    <x v="80"/>
    <n v="0.66"/>
    <x v="0"/>
    <x v="3"/>
    <x v="11"/>
    <x v="47"/>
    <n v="70802"/>
    <x v="35"/>
    <d v="2015-01-05T00:00:00"/>
    <x v="92"/>
    <n v="3"/>
    <n v="130.62"/>
    <n v="87463"/>
  </r>
  <r>
    <n v="19316"/>
    <x v="4"/>
    <n v="0.05"/>
    <n v="574.74"/>
    <n v="24.49"/>
    <n v="169"/>
    <x v="49"/>
    <x v="2"/>
    <x v="0"/>
    <x v="2"/>
    <x v="6"/>
    <x v="6"/>
    <x v="81"/>
    <n v="0.37"/>
    <x v="0"/>
    <x v="3"/>
    <x v="11"/>
    <x v="47"/>
    <n v="70802"/>
    <x v="35"/>
    <d v="2015-01-10T00:00:00"/>
    <x v="93"/>
    <n v="12"/>
    <n v="6945.16"/>
    <n v="87463"/>
  </r>
  <r>
    <n v="19317"/>
    <x v="4"/>
    <n v="0.04"/>
    <n v="10.14"/>
    <n v="2.27"/>
    <n v="169"/>
    <x v="49"/>
    <x v="2"/>
    <x v="0"/>
    <x v="0"/>
    <x v="7"/>
    <x v="0"/>
    <x v="82"/>
    <n v="0.36"/>
    <x v="0"/>
    <x v="3"/>
    <x v="11"/>
    <x v="47"/>
    <n v="70802"/>
    <x v="35"/>
    <d v="2015-01-07T00:00:00"/>
    <x v="94"/>
    <n v="3"/>
    <n v="30.94"/>
    <n v="87463"/>
  </r>
  <r>
    <n v="19314"/>
    <x v="2"/>
    <n v="0.05"/>
    <n v="1.88"/>
    <n v="1.49"/>
    <n v="171"/>
    <x v="50"/>
    <x v="2"/>
    <x v="0"/>
    <x v="0"/>
    <x v="8"/>
    <x v="3"/>
    <x v="83"/>
    <n v="0.37"/>
    <x v="0"/>
    <x v="1"/>
    <x v="2"/>
    <x v="48"/>
    <n v="7024"/>
    <x v="53"/>
    <d v="2015-04-15T00:00:00"/>
    <x v="95"/>
    <n v="1"/>
    <n v="3.42"/>
    <n v="87464"/>
  </r>
  <r>
    <n v="5361"/>
    <x v="2"/>
    <n v="0.02"/>
    <n v="49.99"/>
    <n v="19.989999999999998"/>
    <n v="181"/>
    <x v="51"/>
    <x v="2"/>
    <x v="2"/>
    <x v="2"/>
    <x v="13"/>
    <x v="3"/>
    <x v="84"/>
    <n v="0.41"/>
    <x v="0"/>
    <x v="0"/>
    <x v="1"/>
    <x v="49"/>
    <n v="94122"/>
    <x v="54"/>
    <d v="2015-02-21T00:00:00"/>
    <x v="96"/>
    <n v="18"/>
    <n v="901.81"/>
    <n v="38087"/>
  </r>
  <r>
    <n v="522"/>
    <x v="0"/>
    <n v="7.0000000000000007E-2"/>
    <n v="1.68"/>
    <n v="1.57"/>
    <n v="181"/>
    <x v="51"/>
    <x v="2"/>
    <x v="0"/>
    <x v="0"/>
    <x v="0"/>
    <x v="0"/>
    <x v="15"/>
    <n v="0.59"/>
    <x v="0"/>
    <x v="0"/>
    <x v="1"/>
    <x v="49"/>
    <n v="94122"/>
    <x v="55"/>
    <d v="2015-05-23T00:00:00"/>
    <x v="97"/>
    <n v="116"/>
    <n v="186.59"/>
    <n v="3585"/>
  </r>
  <r>
    <n v="23361"/>
    <x v="2"/>
    <n v="0.02"/>
    <n v="49.99"/>
    <n v="19.989999999999998"/>
    <n v="184"/>
    <x v="52"/>
    <x v="2"/>
    <x v="2"/>
    <x v="2"/>
    <x v="13"/>
    <x v="3"/>
    <x v="84"/>
    <n v="0.41"/>
    <x v="0"/>
    <x v="1"/>
    <x v="15"/>
    <x v="50"/>
    <n v="2474"/>
    <x v="54"/>
    <d v="2015-02-21T00:00:00"/>
    <x v="96"/>
    <n v="5"/>
    <n v="250.5"/>
    <n v="88360"/>
  </r>
  <r>
    <n v="18521"/>
    <x v="0"/>
    <n v="7.0000000000000007E-2"/>
    <n v="10.06"/>
    <n v="2.06"/>
    <n v="188"/>
    <x v="53"/>
    <x v="2"/>
    <x v="0"/>
    <x v="0"/>
    <x v="7"/>
    <x v="0"/>
    <x v="85"/>
    <n v="0.39"/>
    <x v="0"/>
    <x v="2"/>
    <x v="7"/>
    <x v="51"/>
    <n v="76240"/>
    <x v="55"/>
    <d v="2015-05-22T00:00:00"/>
    <x v="98"/>
    <n v="23"/>
    <n v="221.24"/>
    <n v="88361"/>
  </r>
  <r>
    <n v="18522"/>
    <x v="0"/>
    <n v="7.0000000000000007E-2"/>
    <n v="1.68"/>
    <n v="1.57"/>
    <n v="188"/>
    <x v="53"/>
    <x v="2"/>
    <x v="0"/>
    <x v="0"/>
    <x v="0"/>
    <x v="0"/>
    <x v="15"/>
    <n v="0.59"/>
    <x v="0"/>
    <x v="2"/>
    <x v="7"/>
    <x v="51"/>
    <n v="76240"/>
    <x v="55"/>
    <d v="2015-05-23T00:00:00"/>
    <x v="99"/>
    <n v="29"/>
    <n v="46.65"/>
    <n v="88361"/>
  </r>
  <r>
    <n v="18817"/>
    <x v="0"/>
    <n v="0.1"/>
    <n v="58.1"/>
    <n v="1.49"/>
    <n v="190"/>
    <x v="54"/>
    <x v="2"/>
    <x v="0"/>
    <x v="0"/>
    <x v="8"/>
    <x v="3"/>
    <x v="86"/>
    <n v="0.38"/>
    <x v="0"/>
    <x v="2"/>
    <x v="12"/>
    <x v="52"/>
    <n v="60004"/>
    <x v="6"/>
    <d v="2015-02-13T00:00:00"/>
    <x v="100"/>
    <n v="3"/>
    <n v="164.71"/>
    <n v="89092"/>
  </r>
  <r>
    <n v="18818"/>
    <x v="0"/>
    <n v="0.01"/>
    <n v="80.48"/>
    <n v="4.5"/>
    <n v="191"/>
    <x v="55"/>
    <x v="2"/>
    <x v="0"/>
    <x v="0"/>
    <x v="15"/>
    <x v="3"/>
    <x v="87"/>
    <n v="0.55000000000000004"/>
    <x v="0"/>
    <x v="2"/>
    <x v="12"/>
    <x v="53"/>
    <n v="60505"/>
    <x v="6"/>
    <d v="2015-02-15T00:00:00"/>
    <x v="101"/>
    <n v="1"/>
    <n v="79.680000000000007"/>
    <n v="89092"/>
  </r>
  <r>
    <n v="20520"/>
    <x v="1"/>
    <n v="0.05"/>
    <n v="3.8"/>
    <n v="1.49"/>
    <n v="191"/>
    <x v="55"/>
    <x v="2"/>
    <x v="0"/>
    <x v="0"/>
    <x v="8"/>
    <x v="3"/>
    <x v="27"/>
    <n v="0.38"/>
    <x v="0"/>
    <x v="2"/>
    <x v="12"/>
    <x v="53"/>
    <n v="60505"/>
    <x v="37"/>
    <d v="2015-04-11T00:00:00"/>
    <x v="102"/>
    <n v="14"/>
    <n v="53.26"/>
    <n v="89093"/>
  </r>
  <r>
    <n v="20521"/>
    <x v="1"/>
    <n v="0.09"/>
    <n v="30.73"/>
    <n v="4"/>
    <n v="191"/>
    <x v="55"/>
    <x v="2"/>
    <x v="0"/>
    <x v="2"/>
    <x v="13"/>
    <x v="3"/>
    <x v="88"/>
    <n v="0.75"/>
    <x v="0"/>
    <x v="2"/>
    <x v="12"/>
    <x v="53"/>
    <n v="60505"/>
    <x v="37"/>
    <d v="2015-04-09T00:00:00"/>
    <x v="103"/>
    <n v="7"/>
    <n v="203.49"/>
    <n v="89093"/>
  </r>
  <r>
    <n v="20522"/>
    <x v="1"/>
    <n v="0"/>
    <n v="125.99"/>
    <n v="8.08"/>
    <n v="191"/>
    <x v="55"/>
    <x v="2"/>
    <x v="0"/>
    <x v="2"/>
    <x v="5"/>
    <x v="3"/>
    <x v="89"/>
    <n v="0.56999999999999995"/>
    <x v="0"/>
    <x v="2"/>
    <x v="12"/>
    <x v="53"/>
    <n v="60505"/>
    <x v="37"/>
    <d v="2015-04-10T00:00:00"/>
    <x v="104"/>
    <n v="22"/>
    <n v="2356.0100000000002"/>
    <n v="89093"/>
  </r>
  <r>
    <n v="19663"/>
    <x v="1"/>
    <n v="0"/>
    <n v="213.45"/>
    <n v="14.7"/>
    <n v="193"/>
    <x v="56"/>
    <x v="1"/>
    <x v="0"/>
    <x v="2"/>
    <x v="6"/>
    <x v="1"/>
    <x v="90"/>
    <n v="0.59"/>
    <x v="0"/>
    <x v="0"/>
    <x v="17"/>
    <x v="34"/>
    <n v="84041"/>
    <x v="35"/>
    <d v="2015-01-05T00:00:00"/>
    <x v="105"/>
    <n v="1"/>
    <n v="224.12"/>
    <n v="90430"/>
  </r>
  <r>
    <n v="20645"/>
    <x v="3"/>
    <n v="7.0000000000000007E-2"/>
    <n v="6.54"/>
    <n v="5.27"/>
    <n v="193"/>
    <x v="56"/>
    <x v="2"/>
    <x v="0"/>
    <x v="0"/>
    <x v="8"/>
    <x v="3"/>
    <x v="91"/>
    <n v="0.36"/>
    <x v="0"/>
    <x v="0"/>
    <x v="17"/>
    <x v="34"/>
    <n v="84041"/>
    <x v="25"/>
    <d v="2015-04-01T00:00:00"/>
    <x v="106"/>
    <n v="21"/>
    <n v="140.30000000000001"/>
    <n v="90432"/>
  </r>
  <r>
    <n v="24273"/>
    <x v="1"/>
    <n v="0.02"/>
    <n v="6.48"/>
    <n v="9.17"/>
    <n v="194"/>
    <x v="57"/>
    <x v="2"/>
    <x v="0"/>
    <x v="0"/>
    <x v="7"/>
    <x v="3"/>
    <x v="92"/>
    <n v="0.37"/>
    <x v="0"/>
    <x v="0"/>
    <x v="17"/>
    <x v="54"/>
    <n v="84043"/>
    <x v="56"/>
    <d v="2015-01-11T00:00:00"/>
    <x v="107"/>
    <n v="4"/>
    <n v="28.2"/>
    <n v="90431"/>
  </r>
  <r>
    <n v="20646"/>
    <x v="3"/>
    <n v="0.09"/>
    <n v="3.29"/>
    <n v="1.35"/>
    <n v="194"/>
    <x v="57"/>
    <x v="2"/>
    <x v="0"/>
    <x v="0"/>
    <x v="3"/>
    <x v="0"/>
    <x v="93"/>
    <n v="0.4"/>
    <x v="0"/>
    <x v="0"/>
    <x v="17"/>
    <x v="54"/>
    <n v="84043"/>
    <x v="25"/>
    <d v="2015-04-01T00:00:00"/>
    <x v="108"/>
    <n v="23"/>
    <n v="71.55"/>
    <n v="90432"/>
  </r>
  <r>
    <n v="25158"/>
    <x v="2"/>
    <n v="0"/>
    <n v="161.55000000000001"/>
    <n v="19.989999999999998"/>
    <n v="197"/>
    <x v="58"/>
    <x v="2"/>
    <x v="2"/>
    <x v="0"/>
    <x v="10"/>
    <x v="3"/>
    <x v="40"/>
    <n v="0.66"/>
    <x v="0"/>
    <x v="2"/>
    <x v="13"/>
    <x v="55"/>
    <n v="66212"/>
    <x v="57"/>
    <d v="2015-04-04T00:00:00"/>
    <x v="109"/>
    <n v="19"/>
    <n v="3108.98"/>
    <n v="88921"/>
  </r>
  <r>
    <n v="7158"/>
    <x v="2"/>
    <n v="0"/>
    <n v="161.55000000000001"/>
    <n v="19.989999999999998"/>
    <n v="198"/>
    <x v="59"/>
    <x v="2"/>
    <x v="2"/>
    <x v="0"/>
    <x v="10"/>
    <x v="3"/>
    <x v="40"/>
    <n v="0.66"/>
    <x v="0"/>
    <x v="2"/>
    <x v="22"/>
    <x v="56"/>
    <n v="48138"/>
    <x v="57"/>
    <d v="2015-04-04T00:00:00"/>
    <x v="110"/>
    <n v="77"/>
    <n v="12599.55"/>
    <n v="51072"/>
  </r>
  <r>
    <n v="22136"/>
    <x v="1"/>
    <n v="0.09"/>
    <n v="12.28"/>
    <n v="4.8600000000000003"/>
    <n v="202"/>
    <x v="60"/>
    <x v="2"/>
    <x v="0"/>
    <x v="0"/>
    <x v="7"/>
    <x v="3"/>
    <x v="94"/>
    <n v="0.38"/>
    <x v="0"/>
    <x v="2"/>
    <x v="23"/>
    <x v="57"/>
    <n v="74006"/>
    <x v="58"/>
    <d v="2015-04-28T00:00:00"/>
    <x v="111"/>
    <n v="3"/>
    <n v="34.65"/>
    <n v="88971"/>
  </r>
  <r>
    <n v="18783"/>
    <x v="0"/>
    <n v="0.03"/>
    <n v="7.37"/>
    <n v="5.53"/>
    <n v="202"/>
    <x v="60"/>
    <x v="2"/>
    <x v="0"/>
    <x v="2"/>
    <x v="13"/>
    <x v="2"/>
    <x v="95"/>
    <n v="0.69"/>
    <x v="0"/>
    <x v="2"/>
    <x v="23"/>
    <x v="57"/>
    <n v="74006"/>
    <x v="59"/>
    <d v="2015-01-18T00:00:00"/>
    <x v="112"/>
    <n v="11"/>
    <n v="85.79"/>
    <n v="88972"/>
  </r>
  <r>
    <n v="21401"/>
    <x v="4"/>
    <n v="0.05"/>
    <n v="1.86"/>
    <n v="2.58"/>
    <n v="210"/>
    <x v="61"/>
    <x v="2"/>
    <x v="1"/>
    <x v="0"/>
    <x v="3"/>
    <x v="0"/>
    <x v="96"/>
    <n v="0.82"/>
    <x v="0"/>
    <x v="1"/>
    <x v="4"/>
    <x v="58"/>
    <n v="12180"/>
    <x v="60"/>
    <d v="2015-01-21T00:00:00"/>
    <x v="113"/>
    <n v="9"/>
    <n v="17.61"/>
    <n v="85965"/>
  </r>
  <r>
    <n v="23097"/>
    <x v="3"/>
    <n v="0.09"/>
    <n v="5.4"/>
    <n v="7.78"/>
    <n v="210"/>
    <x v="61"/>
    <x v="0"/>
    <x v="1"/>
    <x v="0"/>
    <x v="8"/>
    <x v="3"/>
    <x v="97"/>
    <n v="0.37"/>
    <x v="0"/>
    <x v="1"/>
    <x v="4"/>
    <x v="58"/>
    <n v="12180"/>
    <x v="42"/>
    <d v="2015-06-02T00:00:00"/>
    <x v="114"/>
    <n v="4"/>
    <n v="27.3"/>
    <n v="85966"/>
  </r>
  <r>
    <n v="23098"/>
    <x v="3"/>
    <n v="0.02"/>
    <n v="20.28"/>
    <n v="6.68"/>
    <n v="210"/>
    <x v="61"/>
    <x v="2"/>
    <x v="1"/>
    <x v="1"/>
    <x v="2"/>
    <x v="3"/>
    <x v="98"/>
    <n v="0.53"/>
    <x v="0"/>
    <x v="1"/>
    <x v="4"/>
    <x v="58"/>
    <n v="12180"/>
    <x v="42"/>
    <d v="2015-06-02T00:00:00"/>
    <x v="115"/>
    <n v="3"/>
    <n v="64.75"/>
    <n v="85966"/>
  </r>
  <r>
    <n v="23099"/>
    <x v="3"/>
    <n v="0"/>
    <n v="11.55"/>
    <n v="2.36"/>
    <n v="210"/>
    <x v="61"/>
    <x v="2"/>
    <x v="1"/>
    <x v="0"/>
    <x v="0"/>
    <x v="0"/>
    <x v="99"/>
    <n v="0.55000000000000004"/>
    <x v="0"/>
    <x v="1"/>
    <x v="4"/>
    <x v="58"/>
    <n v="12180"/>
    <x v="42"/>
    <d v="2015-06-03T00:00:00"/>
    <x v="116"/>
    <n v="5"/>
    <n v="62.98"/>
    <n v="85966"/>
  </r>
  <r>
    <n v="23605"/>
    <x v="3"/>
    <n v="0.01"/>
    <n v="10.06"/>
    <n v="2.06"/>
    <n v="211"/>
    <x v="62"/>
    <x v="2"/>
    <x v="3"/>
    <x v="0"/>
    <x v="7"/>
    <x v="0"/>
    <x v="85"/>
    <n v="0.39"/>
    <x v="0"/>
    <x v="1"/>
    <x v="4"/>
    <x v="59"/>
    <n v="13501"/>
    <x v="61"/>
    <d v="2015-01-08T00:00:00"/>
    <x v="117"/>
    <n v="2"/>
    <n v="21.2"/>
    <n v="85964"/>
  </r>
  <r>
    <n v="23606"/>
    <x v="3"/>
    <n v="0"/>
    <n v="65.989999999999995"/>
    <n v="5.92"/>
    <n v="211"/>
    <x v="62"/>
    <x v="2"/>
    <x v="3"/>
    <x v="2"/>
    <x v="5"/>
    <x v="3"/>
    <x v="100"/>
    <n v="0.55000000000000004"/>
    <x v="0"/>
    <x v="1"/>
    <x v="4"/>
    <x v="59"/>
    <n v="13501"/>
    <x v="61"/>
    <d v="2015-01-08T00:00:00"/>
    <x v="118"/>
    <n v="3"/>
    <n v="173.32"/>
    <n v="85964"/>
  </r>
  <r>
    <n v="23100"/>
    <x v="3"/>
    <n v="0.05"/>
    <n v="2.08"/>
    <n v="2.56"/>
    <n v="211"/>
    <x v="62"/>
    <x v="2"/>
    <x v="1"/>
    <x v="0"/>
    <x v="12"/>
    <x v="2"/>
    <x v="101"/>
    <n v="0.55000000000000004"/>
    <x v="0"/>
    <x v="1"/>
    <x v="4"/>
    <x v="59"/>
    <n v="13501"/>
    <x v="42"/>
    <d v="2015-06-03T00:00:00"/>
    <x v="119"/>
    <n v="20"/>
    <n v="42.29"/>
    <n v="85966"/>
  </r>
  <r>
    <n v="26303"/>
    <x v="3"/>
    <n v="0.05"/>
    <n v="119.99"/>
    <n v="56.14"/>
    <n v="218"/>
    <x v="63"/>
    <x v="1"/>
    <x v="3"/>
    <x v="2"/>
    <x v="6"/>
    <x v="5"/>
    <x v="102"/>
    <n v="0.39"/>
    <x v="0"/>
    <x v="0"/>
    <x v="17"/>
    <x v="60"/>
    <n v="84107"/>
    <x v="62"/>
    <d v="2015-06-11T00:00:00"/>
    <x v="120"/>
    <n v="6"/>
    <n v="730.37"/>
    <n v="88048"/>
  </r>
  <r>
    <n v="21203"/>
    <x v="3"/>
    <n v="0.03"/>
    <n v="60.89"/>
    <n v="32.409999999999997"/>
    <n v="228"/>
    <x v="64"/>
    <x v="1"/>
    <x v="2"/>
    <x v="1"/>
    <x v="1"/>
    <x v="1"/>
    <x v="103"/>
    <n v="0.56000000000000005"/>
    <x v="0"/>
    <x v="3"/>
    <x v="24"/>
    <x v="61"/>
    <n v="28227"/>
    <x v="57"/>
    <d v="2015-04-03T00:00:00"/>
    <x v="121"/>
    <n v="7"/>
    <n v="450.49"/>
    <n v="88527"/>
  </r>
  <r>
    <n v="25500"/>
    <x v="3"/>
    <n v="7.0000000000000007E-2"/>
    <n v="5.81"/>
    <n v="8.49"/>
    <n v="233"/>
    <x v="65"/>
    <x v="2"/>
    <x v="2"/>
    <x v="0"/>
    <x v="8"/>
    <x v="3"/>
    <x v="104"/>
    <n v="0.39"/>
    <x v="0"/>
    <x v="2"/>
    <x v="12"/>
    <x v="62"/>
    <n v="60462"/>
    <x v="63"/>
    <d v="2015-02-22T00:00:00"/>
    <x v="122"/>
    <n v="10"/>
    <n v="58.8"/>
    <n v="90237"/>
  </r>
  <r>
    <n v="25501"/>
    <x v="3"/>
    <n v="0.04"/>
    <n v="9.65"/>
    <n v="6.22"/>
    <n v="233"/>
    <x v="65"/>
    <x v="2"/>
    <x v="2"/>
    <x v="1"/>
    <x v="2"/>
    <x v="3"/>
    <x v="105"/>
    <n v="0.55000000000000004"/>
    <x v="0"/>
    <x v="2"/>
    <x v="12"/>
    <x v="62"/>
    <n v="60462"/>
    <x v="63"/>
    <d v="2015-02-21T00:00:00"/>
    <x v="123"/>
    <n v="12"/>
    <n v="120.47"/>
    <n v="90237"/>
  </r>
  <r>
    <n v="23058"/>
    <x v="2"/>
    <n v="0.06"/>
    <n v="279.81"/>
    <n v="23.19"/>
    <n v="234"/>
    <x v="66"/>
    <x v="1"/>
    <x v="2"/>
    <x v="0"/>
    <x v="15"/>
    <x v="1"/>
    <x v="106"/>
    <n v="0.59"/>
    <x v="0"/>
    <x v="2"/>
    <x v="25"/>
    <x v="63"/>
    <n v="50208"/>
    <x v="64"/>
    <d v="2015-02-06T00:00:00"/>
    <x v="124"/>
    <n v="6"/>
    <n v="1599.96"/>
    <n v="90236"/>
  </r>
  <r>
    <n v="25121"/>
    <x v="0"/>
    <n v="0.03"/>
    <n v="28.53"/>
    <n v="1.49"/>
    <n v="234"/>
    <x v="66"/>
    <x v="2"/>
    <x v="2"/>
    <x v="0"/>
    <x v="8"/>
    <x v="3"/>
    <x v="107"/>
    <n v="0.38"/>
    <x v="0"/>
    <x v="2"/>
    <x v="25"/>
    <x v="63"/>
    <n v="50208"/>
    <x v="12"/>
    <d v="2015-03-29T00:00:00"/>
    <x v="125"/>
    <n v="7"/>
    <n v="197.59"/>
    <n v="90238"/>
  </r>
  <r>
    <n v="25122"/>
    <x v="0"/>
    <n v="0.01"/>
    <n v="15.28"/>
    <n v="1.99"/>
    <n v="234"/>
    <x v="66"/>
    <x v="2"/>
    <x v="2"/>
    <x v="2"/>
    <x v="13"/>
    <x v="2"/>
    <x v="108"/>
    <n v="0.42"/>
    <x v="0"/>
    <x v="2"/>
    <x v="25"/>
    <x v="63"/>
    <n v="50208"/>
    <x v="12"/>
    <d v="2015-03-29T00:00:00"/>
    <x v="126"/>
    <n v="2"/>
    <n v="33.04"/>
    <n v="90238"/>
  </r>
  <r>
    <n v="22044"/>
    <x v="4"/>
    <n v="0.06"/>
    <n v="3.34"/>
    <n v="7.49"/>
    <n v="234"/>
    <x v="66"/>
    <x v="0"/>
    <x v="2"/>
    <x v="0"/>
    <x v="0"/>
    <x v="0"/>
    <x v="109"/>
    <n v="0.54"/>
    <x v="0"/>
    <x v="2"/>
    <x v="25"/>
    <x v="63"/>
    <n v="50208"/>
    <x v="65"/>
    <d v="2015-04-30T00:00:00"/>
    <x v="127"/>
    <n v="8"/>
    <n v="27.45"/>
    <n v="90239"/>
  </r>
  <r>
    <n v="18885"/>
    <x v="1"/>
    <n v="0"/>
    <n v="442.14"/>
    <n v="14.7"/>
    <n v="236"/>
    <x v="67"/>
    <x v="1"/>
    <x v="0"/>
    <x v="2"/>
    <x v="6"/>
    <x v="1"/>
    <x v="110"/>
    <n v="0.56000000000000005"/>
    <x v="0"/>
    <x v="0"/>
    <x v="21"/>
    <x v="64"/>
    <n v="80027"/>
    <x v="11"/>
    <d v="2015-02-22T00:00:00"/>
    <x v="128"/>
    <n v="10"/>
    <n v="4775.1099999999997"/>
    <n v="86621"/>
  </r>
  <r>
    <n v="24327"/>
    <x v="3"/>
    <n v="0.1"/>
    <n v="19.98"/>
    <n v="5.77"/>
    <n v="240"/>
    <x v="68"/>
    <x v="0"/>
    <x v="2"/>
    <x v="0"/>
    <x v="7"/>
    <x v="3"/>
    <x v="111"/>
    <n v="0.38"/>
    <x v="0"/>
    <x v="0"/>
    <x v="21"/>
    <x v="65"/>
    <n v="80817"/>
    <x v="18"/>
    <d v="2015-04-20T00:00:00"/>
    <x v="129"/>
    <n v="3"/>
    <n v="57.41"/>
    <n v="90479"/>
  </r>
  <r>
    <n v="24328"/>
    <x v="3"/>
    <n v="0.06"/>
    <n v="259.70999999999998"/>
    <n v="66.67"/>
    <n v="241"/>
    <x v="69"/>
    <x v="1"/>
    <x v="2"/>
    <x v="1"/>
    <x v="11"/>
    <x v="5"/>
    <x v="112"/>
    <n v="0.61"/>
    <x v="0"/>
    <x v="0"/>
    <x v="21"/>
    <x v="66"/>
    <n v="81503"/>
    <x v="18"/>
    <d v="2015-04-21T00:00:00"/>
    <x v="130"/>
    <n v="11"/>
    <n v="2809.87"/>
    <n v="90479"/>
  </r>
  <r>
    <n v="25264"/>
    <x v="4"/>
    <n v="0.01"/>
    <n v="5.94"/>
    <n v="9.92"/>
    <n v="241"/>
    <x v="69"/>
    <x v="2"/>
    <x v="2"/>
    <x v="0"/>
    <x v="8"/>
    <x v="3"/>
    <x v="113"/>
    <n v="0.38"/>
    <x v="0"/>
    <x v="0"/>
    <x v="21"/>
    <x v="66"/>
    <n v="81503"/>
    <x v="66"/>
    <d v="2015-06-02T00:00:00"/>
    <x v="131"/>
    <n v="13"/>
    <n v="79.930000000000007"/>
    <n v="90480"/>
  </r>
  <r>
    <n v="25265"/>
    <x v="4"/>
    <n v="0.02"/>
    <n v="125.99"/>
    <n v="3"/>
    <n v="241"/>
    <x v="69"/>
    <x v="2"/>
    <x v="2"/>
    <x v="2"/>
    <x v="5"/>
    <x v="3"/>
    <x v="114"/>
    <n v="0.59"/>
    <x v="0"/>
    <x v="0"/>
    <x v="21"/>
    <x v="66"/>
    <n v="81503"/>
    <x v="66"/>
    <d v="2015-05-26T00:00:00"/>
    <x v="132"/>
    <n v="8"/>
    <n v="873.18"/>
    <n v="90480"/>
  </r>
  <r>
    <n v="18849"/>
    <x v="3"/>
    <n v="0.02"/>
    <n v="146.05000000000001"/>
    <n v="80.2"/>
    <n v="247"/>
    <x v="70"/>
    <x v="1"/>
    <x v="0"/>
    <x v="1"/>
    <x v="11"/>
    <x v="5"/>
    <x v="115"/>
    <n v="0.71"/>
    <x v="0"/>
    <x v="3"/>
    <x v="20"/>
    <x v="67"/>
    <n v="37804"/>
    <x v="67"/>
    <d v="2015-02-23T00:00:00"/>
    <x v="133"/>
    <n v="5"/>
    <n v="798.69"/>
    <n v="89139"/>
  </r>
  <r>
    <n v="18850"/>
    <x v="3"/>
    <n v="0.06"/>
    <n v="65.989999999999995"/>
    <n v="5.92"/>
    <n v="247"/>
    <x v="70"/>
    <x v="2"/>
    <x v="0"/>
    <x v="2"/>
    <x v="5"/>
    <x v="3"/>
    <x v="100"/>
    <n v="0.55000000000000004"/>
    <x v="0"/>
    <x v="3"/>
    <x v="20"/>
    <x v="67"/>
    <n v="37804"/>
    <x v="67"/>
    <d v="2015-02-24T00:00:00"/>
    <x v="134"/>
    <n v="14"/>
    <n v="792.11"/>
    <n v="89139"/>
  </r>
  <r>
    <n v="18842"/>
    <x v="3"/>
    <n v="0.09"/>
    <n v="2.88"/>
    <n v="0.99"/>
    <n v="247"/>
    <x v="70"/>
    <x v="2"/>
    <x v="0"/>
    <x v="0"/>
    <x v="9"/>
    <x v="3"/>
    <x v="116"/>
    <n v="0.36"/>
    <x v="0"/>
    <x v="3"/>
    <x v="20"/>
    <x v="67"/>
    <n v="37804"/>
    <x v="68"/>
    <d v="2015-03-23T00:00:00"/>
    <x v="135"/>
    <n v="10"/>
    <n v="28.73"/>
    <n v="89140"/>
  </r>
  <r>
    <n v="18773"/>
    <x v="2"/>
    <n v="0.02"/>
    <n v="2.58"/>
    <n v="1.3"/>
    <n v="250"/>
    <x v="71"/>
    <x v="0"/>
    <x v="0"/>
    <x v="0"/>
    <x v="0"/>
    <x v="0"/>
    <x v="117"/>
    <n v="0.59"/>
    <x v="0"/>
    <x v="2"/>
    <x v="3"/>
    <x v="68"/>
    <n v="55423"/>
    <x v="5"/>
    <d v="2015-05-29T00:00:00"/>
    <x v="136"/>
    <n v="39"/>
    <n v="109.74"/>
    <n v="87214"/>
  </r>
  <r>
    <n v="18774"/>
    <x v="2"/>
    <n v="0.02"/>
    <n v="65.989999999999995"/>
    <n v="3.9"/>
    <n v="250"/>
    <x v="71"/>
    <x v="2"/>
    <x v="0"/>
    <x v="2"/>
    <x v="5"/>
    <x v="3"/>
    <x v="118"/>
    <n v="0.55000000000000004"/>
    <x v="0"/>
    <x v="2"/>
    <x v="3"/>
    <x v="68"/>
    <n v="55423"/>
    <x v="5"/>
    <d v="2015-05-29T00:00:00"/>
    <x v="137"/>
    <n v="27"/>
    <n v="1543.55"/>
    <n v="87214"/>
  </r>
  <r>
    <n v="18801"/>
    <x v="3"/>
    <n v="0.1"/>
    <n v="280.98"/>
    <n v="35.67"/>
    <n v="254"/>
    <x v="72"/>
    <x v="1"/>
    <x v="1"/>
    <x v="1"/>
    <x v="11"/>
    <x v="5"/>
    <x v="119"/>
    <n v="0.66"/>
    <x v="0"/>
    <x v="0"/>
    <x v="21"/>
    <x v="69"/>
    <n v="80126"/>
    <x v="69"/>
    <d v="2015-06-11T00:00:00"/>
    <x v="138"/>
    <n v="5"/>
    <n v="1332.82"/>
    <n v="86268"/>
  </r>
  <r>
    <n v="20577"/>
    <x v="2"/>
    <n v="0.03"/>
    <n v="8.34"/>
    <n v="2.64"/>
    <n v="256"/>
    <x v="73"/>
    <x v="2"/>
    <x v="1"/>
    <x v="0"/>
    <x v="12"/>
    <x v="2"/>
    <x v="120"/>
    <n v="0.59"/>
    <x v="0"/>
    <x v="1"/>
    <x v="19"/>
    <x v="70"/>
    <n v="17331"/>
    <x v="70"/>
    <d v="2015-02-02T00:00:00"/>
    <x v="139"/>
    <n v="4"/>
    <n v="34.64"/>
    <n v="86267"/>
  </r>
  <r>
    <n v="24498"/>
    <x v="3"/>
    <n v="0.05"/>
    <n v="17.48"/>
    <n v="1.99"/>
    <n v="258"/>
    <x v="74"/>
    <x v="2"/>
    <x v="3"/>
    <x v="2"/>
    <x v="13"/>
    <x v="2"/>
    <x v="121"/>
    <n v="0.45"/>
    <x v="0"/>
    <x v="3"/>
    <x v="26"/>
    <x v="71"/>
    <n v="33772"/>
    <x v="22"/>
    <d v="2015-01-04T00:00:00"/>
    <x v="140"/>
    <n v="3"/>
    <n v="52.47"/>
    <n v="85858"/>
  </r>
  <r>
    <n v="18011"/>
    <x v="4"/>
    <n v="0.09"/>
    <n v="2.88"/>
    <n v="0.7"/>
    <n v="259"/>
    <x v="75"/>
    <x v="2"/>
    <x v="3"/>
    <x v="0"/>
    <x v="0"/>
    <x v="0"/>
    <x v="122"/>
    <n v="0.56000000000000005"/>
    <x v="0"/>
    <x v="0"/>
    <x v="27"/>
    <x v="72"/>
    <n v="87505"/>
    <x v="71"/>
    <d v="2015-01-19T00:00:00"/>
    <x v="141"/>
    <n v="10"/>
    <n v="26.38"/>
    <n v="85857"/>
  </r>
  <r>
    <n v="22370"/>
    <x v="0"/>
    <n v="0.05"/>
    <n v="31.76"/>
    <n v="45.51"/>
    <n v="263"/>
    <x v="76"/>
    <x v="1"/>
    <x v="2"/>
    <x v="1"/>
    <x v="11"/>
    <x v="5"/>
    <x v="123"/>
    <n v="0.65"/>
    <x v="0"/>
    <x v="1"/>
    <x v="10"/>
    <x v="73"/>
    <n v="44106"/>
    <x v="72"/>
    <d v="2015-01-23T00:00:00"/>
    <x v="142"/>
    <n v="9"/>
    <n v="304.33999999999997"/>
    <n v="86297"/>
  </r>
  <r>
    <n v="20858"/>
    <x v="1"/>
    <n v="0"/>
    <n v="73.98"/>
    <n v="12.14"/>
    <n v="266"/>
    <x v="77"/>
    <x v="0"/>
    <x v="0"/>
    <x v="2"/>
    <x v="13"/>
    <x v="3"/>
    <x v="124"/>
    <n v="0.67"/>
    <x v="0"/>
    <x v="2"/>
    <x v="7"/>
    <x v="74"/>
    <n v="78207"/>
    <x v="73"/>
    <d v="2015-05-20T00:00:00"/>
    <x v="143"/>
    <n v="17"/>
    <n v="1300.81"/>
    <n v="90593"/>
  </r>
  <r>
    <n v="19823"/>
    <x v="3"/>
    <n v="0.08"/>
    <n v="6.48"/>
    <n v="7.03"/>
    <n v="266"/>
    <x v="77"/>
    <x v="2"/>
    <x v="0"/>
    <x v="0"/>
    <x v="7"/>
    <x v="3"/>
    <x v="125"/>
    <n v="0.37"/>
    <x v="0"/>
    <x v="2"/>
    <x v="7"/>
    <x v="74"/>
    <n v="78207"/>
    <x v="7"/>
    <d v="2015-05-16T00:00:00"/>
    <x v="144"/>
    <n v="10"/>
    <n v="67.86"/>
    <n v="90594"/>
  </r>
  <r>
    <n v="19824"/>
    <x v="3"/>
    <n v="0.01"/>
    <n v="20.34"/>
    <n v="35"/>
    <n v="266"/>
    <x v="77"/>
    <x v="2"/>
    <x v="0"/>
    <x v="0"/>
    <x v="10"/>
    <x v="6"/>
    <x v="126"/>
    <n v="0.84"/>
    <x v="0"/>
    <x v="2"/>
    <x v="7"/>
    <x v="74"/>
    <n v="78207"/>
    <x v="7"/>
    <d v="2015-05-16T00:00:00"/>
    <x v="145"/>
    <n v="33"/>
    <n v="747.28"/>
    <n v="90594"/>
  </r>
  <r>
    <n v="18770"/>
    <x v="4"/>
    <n v="0.02"/>
    <n v="5.58"/>
    <n v="5.3"/>
    <n v="268"/>
    <x v="78"/>
    <x v="2"/>
    <x v="1"/>
    <x v="0"/>
    <x v="4"/>
    <x v="3"/>
    <x v="127"/>
    <n v="0.35"/>
    <x v="0"/>
    <x v="0"/>
    <x v="28"/>
    <x v="75"/>
    <n v="86001"/>
    <x v="74"/>
    <d v="2015-04-12T00:00:00"/>
    <x v="146"/>
    <n v="3"/>
    <n v="18.670000000000002"/>
    <n v="88941"/>
  </r>
  <r>
    <n v="18771"/>
    <x v="4"/>
    <n v="0.03"/>
    <n v="40.89"/>
    <n v="18.98"/>
    <n v="268"/>
    <x v="78"/>
    <x v="2"/>
    <x v="1"/>
    <x v="1"/>
    <x v="2"/>
    <x v="3"/>
    <x v="128"/>
    <n v="0.56999999999999995"/>
    <x v="0"/>
    <x v="0"/>
    <x v="28"/>
    <x v="75"/>
    <n v="86001"/>
    <x v="74"/>
    <d v="2015-04-14T00:00:00"/>
    <x v="147"/>
    <n v="5"/>
    <n v="210.77"/>
    <n v="88941"/>
  </r>
  <r>
    <n v="23059"/>
    <x v="4"/>
    <n v="0.09"/>
    <n v="35.94"/>
    <n v="6.66"/>
    <n v="269"/>
    <x v="79"/>
    <x v="2"/>
    <x v="1"/>
    <x v="0"/>
    <x v="4"/>
    <x v="3"/>
    <x v="8"/>
    <n v="0.4"/>
    <x v="0"/>
    <x v="0"/>
    <x v="28"/>
    <x v="76"/>
    <n v="85234"/>
    <x v="75"/>
    <d v="2015-06-10T00:00:00"/>
    <x v="148"/>
    <n v="6"/>
    <n v="209.12"/>
    <n v="88942"/>
  </r>
  <r>
    <n v="23060"/>
    <x v="4"/>
    <n v="0"/>
    <n v="170.98"/>
    <n v="13.99"/>
    <n v="269"/>
    <x v="79"/>
    <x v="2"/>
    <x v="1"/>
    <x v="1"/>
    <x v="2"/>
    <x v="4"/>
    <x v="129"/>
    <n v="0.75"/>
    <x v="0"/>
    <x v="0"/>
    <x v="28"/>
    <x v="76"/>
    <n v="85234"/>
    <x v="75"/>
    <d v="2015-06-12T00:00:00"/>
    <x v="149"/>
    <n v="7"/>
    <n v="1287.17"/>
    <n v="88942"/>
  </r>
  <r>
    <n v="23061"/>
    <x v="4"/>
    <n v="0.09"/>
    <n v="4.9800000000000004"/>
    <n v="7.44"/>
    <n v="269"/>
    <x v="79"/>
    <x v="2"/>
    <x v="1"/>
    <x v="0"/>
    <x v="7"/>
    <x v="3"/>
    <x v="130"/>
    <n v="0.36"/>
    <x v="0"/>
    <x v="0"/>
    <x v="28"/>
    <x v="76"/>
    <n v="85234"/>
    <x v="75"/>
    <d v="2015-06-07T00:00:00"/>
    <x v="150"/>
    <n v="9"/>
    <n v="46.17"/>
    <n v="88942"/>
  </r>
  <r>
    <n v="19515"/>
    <x v="3"/>
    <n v="0.1"/>
    <n v="80.97"/>
    <n v="30.06"/>
    <n v="271"/>
    <x v="80"/>
    <x v="1"/>
    <x v="2"/>
    <x v="2"/>
    <x v="6"/>
    <x v="5"/>
    <x v="131"/>
    <n v="0.4"/>
    <x v="0"/>
    <x v="3"/>
    <x v="29"/>
    <x v="77"/>
    <n v="30297"/>
    <x v="25"/>
    <d v="2015-03-31T00:00:00"/>
    <x v="151"/>
    <n v="12"/>
    <n v="899.81"/>
    <n v="88940"/>
  </r>
  <r>
    <n v="770"/>
    <x v="4"/>
    <n v="0.02"/>
    <n v="5.58"/>
    <n v="5.3"/>
    <n v="272"/>
    <x v="81"/>
    <x v="2"/>
    <x v="1"/>
    <x v="0"/>
    <x v="4"/>
    <x v="3"/>
    <x v="127"/>
    <n v="0.35"/>
    <x v="0"/>
    <x v="3"/>
    <x v="24"/>
    <x v="78"/>
    <n v="28204"/>
    <x v="74"/>
    <d v="2015-04-12T00:00:00"/>
    <x v="152"/>
    <n v="11"/>
    <n v="68.459999999999994"/>
    <n v="5509"/>
  </r>
  <r>
    <n v="771"/>
    <x v="4"/>
    <n v="0.03"/>
    <n v="40.89"/>
    <n v="18.98"/>
    <n v="272"/>
    <x v="81"/>
    <x v="2"/>
    <x v="1"/>
    <x v="1"/>
    <x v="2"/>
    <x v="3"/>
    <x v="128"/>
    <n v="0.56999999999999995"/>
    <x v="0"/>
    <x v="3"/>
    <x v="24"/>
    <x v="78"/>
    <n v="28204"/>
    <x v="74"/>
    <d v="2015-04-14T00:00:00"/>
    <x v="153"/>
    <n v="21"/>
    <n v="885.23"/>
    <n v="5509"/>
  </r>
  <r>
    <n v="5059"/>
    <x v="4"/>
    <n v="0.09"/>
    <n v="35.94"/>
    <n v="6.66"/>
    <n v="272"/>
    <x v="81"/>
    <x v="2"/>
    <x v="1"/>
    <x v="0"/>
    <x v="4"/>
    <x v="3"/>
    <x v="8"/>
    <n v="0.4"/>
    <x v="0"/>
    <x v="3"/>
    <x v="24"/>
    <x v="78"/>
    <n v="28204"/>
    <x v="75"/>
    <d v="2015-06-10T00:00:00"/>
    <x v="154"/>
    <n v="24"/>
    <n v="836.47"/>
    <n v="36069"/>
  </r>
  <r>
    <n v="5061"/>
    <x v="4"/>
    <n v="0.09"/>
    <n v="4.9800000000000004"/>
    <n v="7.44"/>
    <n v="272"/>
    <x v="81"/>
    <x v="2"/>
    <x v="1"/>
    <x v="0"/>
    <x v="7"/>
    <x v="3"/>
    <x v="130"/>
    <n v="0.36"/>
    <x v="0"/>
    <x v="3"/>
    <x v="24"/>
    <x v="78"/>
    <n v="28204"/>
    <x v="75"/>
    <d v="2015-06-07T00:00:00"/>
    <x v="155"/>
    <n v="37"/>
    <n v="189.83"/>
    <n v="36069"/>
  </r>
  <r>
    <n v="22180"/>
    <x v="1"/>
    <n v="0.09"/>
    <n v="15.28"/>
    <n v="10.91"/>
    <n v="275"/>
    <x v="82"/>
    <x v="2"/>
    <x v="0"/>
    <x v="0"/>
    <x v="8"/>
    <x v="3"/>
    <x v="132"/>
    <n v="0.36"/>
    <x v="0"/>
    <x v="1"/>
    <x v="18"/>
    <x v="79"/>
    <n v="6824"/>
    <x v="76"/>
    <d v="2015-01-25T00:00:00"/>
    <x v="156"/>
    <n v="4"/>
    <n v="61.52"/>
    <n v="89292"/>
  </r>
  <r>
    <n v="23504"/>
    <x v="2"/>
    <n v="0.04"/>
    <n v="1.98"/>
    <n v="0.7"/>
    <n v="276"/>
    <x v="83"/>
    <x v="0"/>
    <x v="0"/>
    <x v="0"/>
    <x v="3"/>
    <x v="0"/>
    <x v="133"/>
    <n v="0.83"/>
    <x v="0"/>
    <x v="1"/>
    <x v="18"/>
    <x v="80"/>
    <n v="6111"/>
    <x v="8"/>
    <d v="2015-05-22T00:00:00"/>
    <x v="157"/>
    <n v="3"/>
    <n v="8.3000000000000007"/>
    <n v="89291"/>
  </r>
  <r>
    <n v="23503"/>
    <x v="2"/>
    <n v="0.03"/>
    <n v="55.99"/>
    <n v="5"/>
    <n v="282"/>
    <x v="84"/>
    <x v="2"/>
    <x v="0"/>
    <x v="2"/>
    <x v="5"/>
    <x v="2"/>
    <x v="134"/>
    <n v="0.83"/>
    <x v="0"/>
    <x v="1"/>
    <x v="2"/>
    <x v="81"/>
    <n v="7109"/>
    <x v="8"/>
    <d v="2015-05-22T00:00:00"/>
    <x v="158"/>
    <n v="9"/>
    <n v="416.95"/>
    <n v="89291"/>
  </r>
  <r>
    <n v="24512"/>
    <x v="0"/>
    <n v="0.1"/>
    <n v="1.68"/>
    <n v="1.57"/>
    <n v="283"/>
    <x v="85"/>
    <x v="2"/>
    <x v="0"/>
    <x v="0"/>
    <x v="0"/>
    <x v="0"/>
    <x v="15"/>
    <n v="0.59"/>
    <x v="0"/>
    <x v="1"/>
    <x v="2"/>
    <x v="82"/>
    <n v="7101"/>
    <x v="77"/>
    <d v="2015-06-18T00:00:00"/>
    <x v="159"/>
    <n v="11"/>
    <n v="18.71"/>
    <n v="89293"/>
  </r>
  <r>
    <n v="19168"/>
    <x v="4"/>
    <n v="0"/>
    <n v="4.13"/>
    <n v="5.34"/>
    <n v="286"/>
    <x v="86"/>
    <x v="2"/>
    <x v="2"/>
    <x v="0"/>
    <x v="8"/>
    <x v="3"/>
    <x v="135"/>
    <n v="0.38"/>
    <x v="0"/>
    <x v="2"/>
    <x v="13"/>
    <x v="83"/>
    <n v="66203"/>
    <x v="77"/>
    <d v="2015-06-21T00:00:00"/>
    <x v="160"/>
    <n v="9"/>
    <n v="40.950000000000003"/>
    <n v="89761"/>
  </r>
  <r>
    <n v="19169"/>
    <x v="4"/>
    <n v="0.1"/>
    <n v="130.97999999999999"/>
    <n v="54.74"/>
    <n v="286"/>
    <x v="86"/>
    <x v="1"/>
    <x v="2"/>
    <x v="1"/>
    <x v="14"/>
    <x v="5"/>
    <x v="136"/>
    <n v="0.69"/>
    <x v="0"/>
    <x v="2"/>
    <x v="13"/>
    <x v="83"/>
    <n v="66203"/>
    <x v="77"/>
    <d v="2015-06-21T00:00:00"/>
    <x v="161"/>
    <n v="9"/>
    <n v="1155.73"/>
    <n v="89761"/>
  </r>
  <r>
    <n v="25624"/>
    <x v="2"/>
    <n v="0.09"/>
    <n v="28.48"/>
    <n v="1.99"/>
    <n v="288"/>
    <x v="87"/>
    <x v="2"/>
    <x v="2"/>
    <x v="2"/>
    <x v="13"/>
    <x v="2"/>
    <x v="137"/>
    <n v="0.4"/>
    <x v="0"/>
    <x v="2"/>
    <x v="13"/>
    <x v="84"/>
    <n v="67212"/>
    <x v="59"/>
    <d v="2015-01-19T00:00:00"/>
    <x v="162"/>
    <n v="7"/>
    <n v="192.3"/>
    <n v="89762"/>
  </r>
  <r>
    <n v="25625"/>
    <x v="2"/>
    <n v="0.08"/>
    <n v="65.989999999999995"/>
    <n v="4.99"/>
    <n v="288"/>
    <x v="87"/>
    <x v="0"/>
    <x v="2"/>
    <x v="2"/>
    <x v="5"/>
    <x v="3"/>
    <x v="138"/>
    <n v="0.57999999999999996"/>
    <x v="0"/>
    <x v="2"/>
    <x v="13"/>
    <x v="84"/>
    <n v="67212"/>
    <x v="59"/>
    <d v="2015-01-18T00:00:00"/>
    <x v="163"/>
    <n v="14"/>
    <n v="748.1"/>
    <n v="89762"/>
  </r>
  <r>
    <n v="21223"/>
    <x v="1"/>
    <n v="0.04"/>
    <n v="4.9800000000000004"/>
    <n v="4.62"/>
    <n v="290"/>
    <x v="88"/>
    <x v="2"/>
    <x v="2"/>
    <x v="2"/>
    <x v="13"/>
    <x v="2"/>
    <x v="139"/>
    <n v="0.64"/>
    <x v="0"/>
    <x v="0"/>
    <x v="21"/>
    <x v="85"/>
    <n v="80538"/>
    <x v="78"/>
    <d v="2015-03-26T00:00:00"/>
    <x v="164"/>
    <n v="20"/>
    <n v="102.54"/>
    <n v="90837"/>
  </r>
  <r>
    <n v="23302"/>
    <x v="0"/>
    <n v="0.01"/>
    <n v="8.33"/>
    <n v="1.99"/>
    <n v="306"/>
    <x v="89"/>
    <x v="2"/>
    <x v="2"/>
    <x v="2"/>
    <x v="13"/>
    <x v="2"/>
    <x v="140"/>
    <n v="0.52"/>
    <x v="0"/>
    <x v="1"/>
    <x v="30"/>
    <x v="86"/>
    <n v="21208"/>
    <x v="79"/>
    <d v="2015-02-15T00:00:00"/>
    <x v="165"/>
    <n v="8"/>
    <n v="70.16"/>
    <n v="87057"/>
  </r>
  <r>
    <n v="23303"/>
    <x v="0"/>
    <n v="0.04"/>
    <n v="85.99"/>
    <n v="0.99"/>
    <n v="306"/>
    <x v="89"/>
    <x v="2"/>
    <x v="2"/>
    <x v="2"/>
    <x v="5"/>
    <x v="0"/>
    <x v="141"/>
    <n v="0.55000000000000004"/>
    <x v="0"/>
    <x v="1"/>
    <x v="30"/>
    <x v="86"/>
    <n v="21208"/>
    <x v="79"/>
    <d v="2015-02-16T00:00:00"/>
    <x v="166"/>
    <n v="17"/>
    <n v="1240.57"/>
    <n v="87057"/>
  </r>
  <r>
    <n v="5302"/>
    <x v="0"/>
    <n v="0.01"/>
    <n v="8.33"/>
    <n v="1.99"/>
    <n v="308"/>
    <x v="90"/>
    <x v="2"/>
    <x v="2"/>
    <x v="2"/>
    <x v="13"/>
    <x v="2"/>
    <x v="140"/>
    <n v="0.52"/>
    <x v="0"/>
    <x v="0"/>
    <x v="0"/>
    <x v="33"/>
    <n v="98115"/>
    <x v="79"/>
    <d v="2015-02-15T00:00:00"/>
    <x v="167"/>
    <n v="32"/>
    <n v="280.62"/>
    <n v="37760"/>
  </r>
  <r>
    <n v="18853"/>
    <x v="3"/>
    <n v="0.04"/>
    <n v="1637.53"/>
    <n v="24.49"/>
    <n v="314"/>
    <x v="91"/>
    <x v="2"/>
    <x v="0"/>
    <x v="0"/>
    <x v="12"/>
    <x v="4"/>
    <x v="142"/>
    <n v="0.81"/>
    <x v="0"/>
    <x v="2"/>
    <x v="12"/>
    <x v="77"/>
    <n v="60130"/>
    <x v="80"/>
    <d v="2015-03-22T00:00:00"/>
    <x v="168"/>
    <n v="2"/>
    <n v="3206.94"/>
    <n v="89166"/>
  </r>
  <r>
    <n v="18852"/>
    <x v="3"/>
    <n v="0.01"/>
    <n v="19.98"/>
    <n v="4"/>
    <n v="315"/>
    <x v="92"/>
    <x v="2"/>
    <x v="0"/>
    <x v="2"/>
    <x v="13"/>
    <x v="3"/>
    <x v="51"/>
    <n v="0.68"/>
    <x v="0"/>
    <x v="1"/>
    <x v="15"/>
    <x v="87"/>
    <n v="1007"/>
    <x v="80"/>
    <d v="2015-03-20T00:00:00"/>
    <x v="169"/>
    <n v="2"/>
    <n v="43.08"/>
    <n v="89166"/>
  </r>
  <r>
    <n v="18032"/>
    <x v="1"/>
    <n v="0.09"/>
    <n v="7.38"/>
    <n v="5.21"/>
    <n v="317"/>
    <x v="93"/>
    <x v="2"/>
    <x v="0"/>
    <x v="1"/>
    <x v="2"/>
    <x v="3"/>
    <x v="143"/>
    <n v="0.56000000000000005"/>
    <x v="0"/>
    <x v="0"/>
    <x v="1"/>
    <x v="88"/>
    <n v="91945"/>
    <x v="77"/>
    <d v="2015-06-18T00:00:00"/>
    <x v="170"/>
    <n v="9"/>
    <n v="66.55"/>
    <n v="86041"/>
  </r>
  <r>
    <n v="18033"/>
    <x v="1"/>
    <n v="0.04"/>
    <n v="5.98"/>
    <n v="5.15"/>
    <n v="317"/>
    <x v="93"/>
    <x v="2"/>
    <x v="0"/>
    <x v="0"/>
    <x v="7"/>
    <x v="3"/>
    <x v="29"/>
    <n v="0.36"/>
    <x v="0"/>
    <x v="0"/>
    <x v="1"/>
    <x v="88"/>
    <n v="91945"/>
    <x v="77"/>
    <d v="2015-06-18T00:00:00"/>
    <x v="171"/>
    <n v="17"/>
    <n v="103.49"/>
    <n v="86041"/>
  </r>
  <r>
    <n v="18034"/>
    <x v="1"/>
    <n v="0.04"/>
    <n v="15.42"/>
    <n v="10.68"/>
    <n v="317"/>
    <x v="93"/>
    <x v="2"/>
    <x v="0"/>
    <x v="0"/>
    <x v="10"/>
    <x v="3"/>
    <x v="144"/>
    <n v="0.57999999999999996"/>
    <x v="0"/>
    <x v="0"/>
    <x v="1"/>
    <x v="88"/>
    <n v="91945"/>
    <x v="77"/>
    <d v="2015-06-18T00:00:00"/>
    <x v="172"/>
    <n v="12"/>
    <n v="192.18"/>
    <n v="86041"/>
  </r>
  <r>
    <n v="20641"/>
    <x v="4"/>
    <n v="0.04"/>
    <n v="8.33"/>
    <n v="1.99"/>
    <n v="321"/>
    <x v="94"/>
    <x v="2"/>
    <x v="3"/>
    <x v="2"/>
    <x v="13"/>
    <x v="2"/>
    <x v="140"/>
    <n v="0.52"/>
    <x v="0"/>
    <x v="1"/>
    <x v="30"/>
    <x v="89"/>
    <n v="20854"/>
    <x v="36"/>
    <d v="2015-04-09T00:00:00"/>
    <x v="173"/>
    <n v="11"/>
    <n v="89.76"/>
    <n v="91057"/>
  </r>
  <r>
    <n v="25111"/>
    <x v="1"/>
    <n v="0.06"/>
    <n v="7.99"/>
    <n v="5.03"/>
    <n v="326"/>
    <x v="95"/>
    <x v="2"/>
    <x v="3"/>
    <x v="2"/>
    <x v="5"/>
    <x v="4"/>
    <x v="145"/>
    <n v="0.6"/>
    <x v="0"/>
    <x v="2"/>
    <x v="12"/>
    <x v="90"/>
    <n v="60510"/>
    <x v="62"/>
    <d v="2015-06-10T00:00:00"/>
    <x v="174"/>
    <n v="4"/>
    <n v="28.46"/>
    <n v="90973"/>
  </r>
  <r>
    <n v="19159"/>
    <x v="3"/>
    <n v="0.06"/>
    <n v="296.18"/>
    <n v="54.12"/>
    <n v="329"/>
    <x v="96"/>
    <x v="1"/>
    <x v="1"/>
    <x v="1"/>
    <x v="11"/>
    <x v="5"/>
    <x v="37"/>
    <n v="0.76"/>
    <x v="0"/>
    <x v="1"/>
    <x v="14"/>
    <x v="91"/>
    <n v="4073"/>
    <x v="81"/>
    <d v="2015-04-15T00:00:00"/>
    <x v="39"/>
    <n v="5"/>
    <n v="1170.21"/>
    <n v="89726"/>
  </r>
  <r>
    <n v="19158"/>
    <x v="3"/>
    <n v="0.01"/>
    <n v="29.1"/>
    <n v="4"/>
    <n v="331"/>
    <x v="97"/>
    <x v="0"/>
    <x v="1"/>
    <x v="2"/>
    <x v="13"/>
    <x v="3"/>
    <x v="146"/>
    <n v="0.78"/>
    <x v="0"/>
    <x v="1"/>
    <x v="16"/>
    <x v="92"/>
    <n v="3045"/>
    <x v="81"/>
    <d v="2015-04-16T00:00:00"/>
    <x v="175"/>
    <n v="8"/>
    <n v="243.32"/>
    <n v="89726"/>
  </r>
  <r>
    <n v="18261"/>
    <x v="2"/>
    <n v="0.06"/>
    <n v="276.2"/>
    <n v="24.49"/>
    <n v="335"/>
    <x v="98"/>
    <x v="2"/>
    <x v="0"/>
    <x v="1"/>
    <x v="1"/>
    <x v="6"/>
    <x v="147"/>
    <m/>
    <x v="0"/>
    <x v="0"/>
    <x v="6"/>
    <x v="93"/>
    <n v="97504"/>
    <x v="82"/>
    <d v="2015-05-05T00:00:00"/>
    <x v="176"/>
    <n v="14"/>
    <n v="3825.32"/>
    <n v="87277"/>
  </r>
  <r>
    <n v="18262"/>
    <x v="2"/>
    <n v="0.09"/>
    <n v="6.28"/>
    <n v="5.29"/>
    <n v="335"/>
    <x v="98"/>
    <x v="2"/>
    <x v="0"/>
    <x v="1"/>
    <x v="2"/>
    <x v="3"/>
    <x v="148"/>
    <n v="0.43"/>
    <x v="0"/>
    <x v="0"/>
    <x v="6"/>
    <x v="93"/>
    <n v="97504"/>
    <x v="82"/>
    <d v="2015-05-04T00:00:00"/>
    <x v="177"/>
    <n v="1"/>
    <n v="8.5299999999999994"/>
    <n v="87277"/>
  </r>
  <r>
    <n v="23481"/>
    <x v="3"/>
    <n v="0.08"/>
    <n v="7.77"/>
    <n v="9.23"/>
    <n v="339"/>
    <x v="99"/>
    <x v="2"/>
    <x v="0"/>
    <x v="0"/>
    <x v="15"/>
    <x v="3"/>
    <x v="149"/>
    <n v="0.57999999999999996"/>
    <x v="0"/>
    <x v="1"/>
    <x v="10"/>
    <x v="94"/>
    <n v="43229"/>
    <x v="83"/>
    <d v="2015-03-18T00:00:00"/>
    <x v="178"/>
    <n v="5"/>
    <n v="40.299999999999997"/>
    <n v="90583"/>
  </r>
  <r>
    <n v="23482"/>
    <x v="3"/>
    <n v="7.0000000000000007E-2"/>
    <n v="7.59"/>
    <n v="4"/>
    <n v="339"/>
    <x v="99"/>
    <x v="2"/>
    <x v="0"/>
    <x v="1"/>
    <x v="2"/>
    <x v="0"/>
    <x v="150"/>
    <n v="0.42"/>
    <x v="0"/>
    <x v="1"/>
    <x v="10"/>
    <x v="94"/>
    <n v="43229"/>
    <x v="83"/>
    <d v="2015-03-19T00:00:00"/>
    <x v="179"/>
    <n v="15"/>
    <n v="111.88"/>
    <n v="90583"/>
  </r>
  <r>
    <n v="480"/>
    <x v="2"/>
    <n v="0.01"/>
    <n v="3.26"/>
    <n v="1.86"/>
    <n v="342"/>
    <x v="100"/>
    <x v="2"/>
    <x v="0"/>
    <x v="0"/>
    <x v="0"/>
    <x v="0"/>
    <x v="151"/>
    <n v="0.41"/>
    <x v="0"/>
    <x v="3"/>
    <x v="26"/>
    <x v="95"/>
    <n v="33181"/>
    <x v="82"/>
    <d v="2015-05-06T00:00:00"/>
    <x v="180"/>
    <n v="20"/>
    <n v="73.97"/>
    <n v="3332"/>
  </r>
  <r>
    <n v="22784"/>
    <x v="2"/>
    <n v="0.03"/>
    <n v="15.23"/>
    <n v="27.75"/>
    <n v="343"/>
    <x v="101"/>
    <x v="1"/>
    <x v="0"/>
    <x v="1"/>
    <x v="11"/>
    <x v="5"/>
    <x v="152"/>
    <n v="0.76"/>
    <x v="0"/>
    <x v="1"/>
    <x v="14"/>
    <x v="96"/>
    <n v="4401"/>
    <x v="70"/>
    <d v="2015-02-01T00:00:00"/>
    <x v="181"/>
    <n v="7"/>
    <n v="111.86"/>
    <n v="88151"/>
  </r>
  <r>
    <n v="18480"/>
    <x v="2"/>
    <n v="0.01"/>
    <n v="3.26"/>
    <n v="1.86"/>
    <n v="344"/>
    <x v="102"/>
    <x v="2"/>
    <x v="0"/>
    <x v="0"/>
    <x v="0"/>
    <x v="0"/>
    <x v="151"/>
    <n v="0.41"/>
    <x v="0"/>
    <x v="1"/>
    <x v="14"/>
    <x v="97"/>
    <n v="4101"/>
    <x v="82"/>
    <d v="2015-05-06T00:00:00"/>
    <x v="182"/>
    <n v="5"/>
    <n v="18.489999999999998"/>
    <n v="88152"/>
  </r>
  <r>
    <n v="2408"/>
    <x v="2"/>
    <n v="0"/>
    <n v="8.34"/>
    <n v="2.64"/>
    <n v="349"/>
    <x v="103"/>
    <x v="0"/>
    <x v="1"/>
    <x v="0"/>
    <x v="12"/>
    <x v="2"/>
    <x v="120"/>
    <n v="0.59"/>
    <x v="0"/>
    <x v="3"/>
    <x v="26"/>
    <x v="95"/>
    <n v="33132"/>
    <x v="62"/>
    <d v="2015-06-11T00:00:00"/>
    <x v="183"/>
    <n v="23"/>
    <n v="212.89"/>
    <n v="17446"/>
  </r>
  <r>
    <n v="1595"/>
    <x v="3"/>
    <n v="0.04"/>
    <n v="99.23"/>
    <n v="8.99"/>
    <n v="349"/>
    <x v="103"/>
    <x v="2"/>
    <x v="1"/>
    <x v="1"/>
    <x v="2"/>
    <x v="2"/>
    <x v="153"/>
    <n v="0.35"/>
    <x v="0"/>
    <x v="3"/>
    <x v="26"/>
    <x v="95"/>
    <n v="33132"/>
    <x v="22"/>
    <d v="2015-01-04T00:00:00"/>
    <x v="184"/>
    <n v="54"/>
    <n v="5555.6"/>
    <n v="11527"/>
  </r>
  <r>
    <n v="20408"/>
    <x v="2"/>
    <n v="0"/>
    <n v="8.34"/>
    <n v="2.64"/>
    <n v="351"/>
    <x v="104"/>
    <x v="0"/>
    <x v="1"/>
    <x v="0"/>
    <x v="12"/>
    <x v="2"/>
    <x v="120"/>
    <n v="0.59"/>
    <x v="0"/>
    <x v="1"/>
    <x v="4"/>
    <x v="98"/>
    <n v="13601"/>
    <x v="62"/>
    <d v="2015-06-11T00:00:00"/>
    <x v="185"/>
    <n v="6"/>
    <n v="55.54"/>
    <n v="88685"/>
  </r>
  <r>
    <n v="19595"/>
    <x v="3"/>
    <n v="0.04"/>
    <n v="99.23"/>
    <n v="8.99"/>
    <n v="351"/>
    <x v="104"/>
    <x v="2"/>
    <x v="1"/>
    <x v="1"/>
    <x v="2"/>
    <x v="2"/>
    <x v="153"/>
    <n v="0.35"/>
    <x v="0"/>
    <x v="1"/>
    <x v="4"/>
    <x v="98"/>
    <n v="13601"/>
    <x v="22"/>
    <d v="2015-01-04T00:00:00"/>
    <x v="186"/>
    <n v="14"/>
    <n v="1440.34"/>
    <n v="88686"/>
  </r>
  <r>
    <n v="19107"/>
    <x v="4"/>
    <n v="0.08"/>
    <n v="4.8899999999999997"/>
    <n v="4.93"/>
    <n v="353"/>
    <x v="105"/>
    <x v="0"/>
    <x v="1"/>
    <x v="2"/>
    <x v="13"/>
    <x v="2"/>
    <x v="154"/>
    <n v="0.66"/>
    <x v="0"/>
    <x v="0"/>
    <x v="28"/>
    <x v="99"/>
    <n v="85301"/>
    <x v="50"/>
    <d v="2015-05-14T00:00:00"/>
    <x v="187"/>
    <n v="17"/>
    <n v="84.76"/>
    <n v="89647"/>
  </r>
  <r>
    <n v="19108"/>
    <x v="4"/>
    <n v="7.0000000000000007E-2"/>
    <n v="6.68"/>
    <n v="6.92"/>
    <n v="353"/>
    <x v="105"/>
    <x v="2"/>
    <x v="1"/>
    <x v="0"/>
    <x v="7"/>
    <x v="3"/>
    <x v="155"/>
    <n v="0.37"/>
    <x v="0"/>
    <x v="0"/>
    <x v="28"/>
    <x v="99"/>
    <n v="85301"/>
    <x v="50"/>
    <d v="2015-05-21T00:00:00"/>
    <x v="188"/>
    <n v="16"/>
    <n v="104.84"/>
    <n v="89647"/>
  </r>
  <r>
    <n v="20760"/>
    <x v="2"/>
    <n v="7.0000000000000007E-2"/>
    <n v="124.49"/>
    <n v="51.94"/>
    <n v="357"/>
    <x v="106"/>
    <x v="1"/>
    <x v="0"/>
    <x v="1"/>
    <x v="11"/>
    <x v="5"/>
    <x v="156"/>
    <n v="0.63"/>
    <x v="0"/>
    <x v="0"/>
    <x v="28"/>
    <x v="100"/>
    <n v="86401"/>
    <x v="84"/>
    <d v="2015-05-25T00:00:00"/>
    <x v="189"/>
    <n v="14"/>
    <n v="1714.93"/>
    <n v="91131"/>
  </r>
  <r>
    <n v="24627"/>
    <x v="4"/>
    <n v="0.04"/>
    <n v="125.99"/>
    <n v="8.99"/>
    <n v="358"/>
    <x v="107"/>
    <x v="2"/>
    <x v="0"/>
    <x v="2"/>
    <x v="5"/>
    <x v="3"/>
    <x v="157"/>
    <n v="0.59"/>
    <x v="0"/>
    <x v="1"/>
    <x v="19"/>
    <x v="101"/>
    <n v="19406"/>
    <x v="85"/>
    <d v="2015-01-16T00:00:00"/>
    <x v="190"/>
    <n v="1"/>
    <n v="107.95"/>
    <n v="91130"/>
  </r>
  <r>
    <n v="18278"/>
    <x v="3"/>
    <n v="0.05"/>
    <n v="328.14"/>
    <n v="91.05"/>
    <n v="366"/>
    <x v="108"/>
    <x v="1"/>
    <x v="2"/>
    <x v="0"/>
    <x v="15"/>
    <x v="1"/>
    <x v="158"/>
    <n v="0.56999999999999995"/>
    <x v="0"/>
    <x v="1"/>
    <x v="31"/>
    <x v="102"/>
    <n v="2910"/>
    <x v="60"/>
    <d v="2015-01-19T00:00:00"/>
    <x v="191"/>
    <n v="6"/>
    <n v="1967.98"/>
    <n v="87347"/>
  </r>
  <r>
    <n v="24794"/>
    <x v="4"/>
    <n v="0.09"/>
    <n v="19.23"/>
    <n v="6.15"/>
    <n v="369"/>
    <x v="109"/>
    <x v="0"/>
    <x v="0"/>
    <x v="1"/>
    <x v="2"/>
    <x v="2"/>
    <x v="159"/>
    <n v="0.44"/>
    <x v="0"/>
    <x v="0"/>
    <x v="1"/>
    <x v="103"/>
    <n v="94601"/>
    <x v="86"/>
    <d v="2015-04-13T00:00:00"/>
    <x v="192"/>
    <n v="21"/>
    <n v="394.1"/>
    <n v="90292"/>
  </r>
  <r>
    <n v="20401"/>
    <x v="1"/>
    <n v="0.02"/>
    <n v="20.99"/>
    <n v="4.8099999999999996"/>
    <n v="370"/>
    <x v="110"/>
    <x v="2"/>
    <x v="0"/>
    <x v="2"/>
    <x v="5"/>
    <x v="4"/>
    <x v="160"/>
    <n v="0.57999999999999996"/>
    <x v="0"/>
    <x v="1"/>
    <x v="14"/>
    <x v="104"/>
    <n v="4240"/>
    <x v="87"/>
    <d v="2015-05-29T00:00:00"/>
    <x v="193"/>
    <n v="15"/>
    <n v="266.39"/>
    <n v="90291"/>
  </r>
  <r>
    <n v="20400"/>
    <x v="1"/>
    <n v="0.05"/>
    <n v="5.4"/>
    <n v="7.78"/>
    <n v="371"/>
    <x v="111"/>
    <x v="0"/>
    <x v="0"/>
    <x v="0"/>
    <x v="8"/>
    <x v="3"/>
    <x v="97"/>
    <n v="0.37"/>
    <x v="0"/>
    <x v="1"/>
    <x v="15"/>
    <x v="105"/>
    <n v="2149"/>
    <x v="87"/>
    <d v="2015-05-29T00:00:00"/>
    <x v="194"/>
    <n v="9"/>
    <n v="51.82"/>
    <n v="90291"/>
  </r>
  <r>
    <n v="3392"/>
    <x v="1"/>
    <n v="0.02"/>
    <n v="200.98"/>
    <n v="55.96"/>
    <n v="373"/>
    <x v="112"/>
    <x v="1"/>
    <x v="2"/>
    <x v="1"/>
    <x v="14"/>
    <x v="5"/>
    <x v="161"/>
    <n v="0.75"/>
    <x v="0"/>
    <x v="2"/>
    <x v="22"/>
    <x v="56"/>
    <n v="48234"/>
    <x v="88"/>
    <d v="2015-03-16T00:00:00"/>
    <x v="195"/>
    <n v="45"/>
    <n v="9539.6"/>
    <n v="24193"/>
  </r>
  <r>
    <n v="3393"/>
    <x v="1"/>
    <n v="0.02"/>
    <n v="4.28"/>
    <n v="5.17"/>
    <n v="373"/>
    <x v="112"/>
    <x v="2"/>
    <x v="2"/>
    <x v="0"/>
    <x v="7"/>
    <x v="3"/>
    <x v="162"/>
    <n v="0.4"/>
    <x v="0"/>
    <x v="2"/>
    <x v="22"/>
    <x v="56"/>
    <n v="48234"/>
    <x v="88"/>
    <d v="2015-03-15T00:00:00"/>
    <x v="196"/>
    <n v="24"/>
    <n v="109.86"/>
    <n v="24193"/>
  </r>
  <r>
    <n v="3394"/>
    <x v="1"/>
    <n v="0.04"/>
    <n v="85.99"/>
    <n v="0.99"/>
    <n v="373"/>
    <x v="112"/>
    <x v="2"/>
    <x v="2"/>
    <x v="2"/>
    <x v="5"/>
    <x v="0"/>
    <x v="163"/>
    <n v="0.85"/>
    <x v="0"/>
    <x v="2"/>
    <x v="22"/>
    <x v="56"/>
    <n v="48234"/>
    <x v="88"/>
    <d v="2015-03-16T00:00:00"/>
    <x v="197"/>
    <n v="19"/>
    <n v="1426.51"/>
    <n v="24193"/>
  </r>
  <r>
    <n v="21392"/>
    <x v="1"/>
    <n v="0.02"/>
    <n v="200.98"/>
    <n v="55.96"/>
    <n v="375"/>
    <x v="113"/>
    <x v="1"/>
    <x v="2"/>
    <x v="1"/>
    <x v="14"/>
    <x v="5"/>
    <x v="161"/>
    <n v="0.75"/>
    <x v="0"/>
    <x v="3"/>
    <x v="20"/>
    <x v="106"/>
    <n v="37814"/>
    <x v="88"/>
    <d v="2015-03-16T00:00:00"/>
    <x v="198"/>
    <n v="11"/>
    <n v="2331.9"/>
    <n v="90917"/>
  </r>
  <r>
    <n v="21393"/>
    <x v="1"/>
    <n v="0.02"/>
    <n v="4.28"/>
    <n v="5.17"/>
    <n v="375"/>
    <x v="113"/>
    <x v="2"/>
    <x v="2"/>
    <x v="0"/>
    <x v="7"/>
    <x v="3"/>
    <x v="162"/>
    <n v="0.4"/>
    <x v="0"/>
    <x v="3"/>
    <x v="20"/>
    <x v="106"/>
    <n v="37814"/>
    <x v="88"/>
    <d v="2015-03-15T00:00:00"/>
    <x v="199"/>
    <n v="6"/>
    <n v="27.47"/>
    <n v="90917"/>
  </r>
  <r>
    <n v="19073"/>
    <x v="3"/>
    <n v="0.03"/>
    <n v="25.98"/>
    <n v="5.37"/>
    <n v="377"/>
    <x v="114"/>
    <x v="2"/>
    <x v="3"/>
    <x v="0"/>
    <x v="15"/>
    <x v="4"/>
    <x v="164"/>
    <n v="0.5"/>
    <x v="0"/>
    <x v="2"/>
    <x v="12"/>
    <x v="90"/>
    <n v="60510"/>
    <x v="89"/>
    <d v="2015-04-17T00:00:00"/>
    <x v="200"/>
    <n v="17"/>
    <n v="460.87"/>
    <n v="89579"/>
  </r>
  <r>
    <n v="22401"/>
    <x v="1"/>
    <n v="7.0000000000000007E-2"/>
    <n v="415.88"/>
    <n v="11.37"/>
    <n v="381"/>
    <x v="115"/>
    <x v="2"/>
    <x v="0"/>
    <x v="0"/>
    <x v="10"/>
    <x v="3"/>
    <x v="165"/>
    <n v="0.56999999999999995"/>
    <x v="0"/>
    <x v="2"/>
    <x v="12"/>
    <x v="107"/>
    <n v="61701"/>
    <x v="90"/>
    <d v="2015-05-01T00:00:00"/>
    <x v="201"/>
    <n v="1"/>
    <n v="394.51"/>
    <n v="88929"/>
  </r>
  <r>
    <n v="21281"/>
    <x v="2"/>
    <n v="0.06"/>
    <n v="5.34"/>
    <n v="5.63"/>
    <n v="383"/>
    <x v="116"/>
    <x v="2"/>
    <x v="0"/>
    <x v="0"/>
    <x v="8"/>
    <x v="3"/>
    <x v="166"/>
    <n v="0.39"/>
    <x v="0"/>
    <x v="1"/>
    <x v="19"/>
    <x v="108"/>
    <n v="19026"/>
    <x v="91"/>
    <d v="2015-03-19T00:00:00"/>
    <x v="202"/>
    <n v="7"/>
    <n v="38.65"/>
    <n v="88928"/>
  </r>
  <r>
    <n v="21282"/>
    <x v="2"/>
    <n v="7.0000000000000007E-2"/>
    <n v="65.989999999999995"/>
    <n v="5.26"/>
    <n v="383"/>
    <x v="116"/>
    <x v="0"/>
    <x v="0"/>
    <x v="2"/>
    <x v="5"/>
    <x v="3"/>
    <x v="167"/>
    <n v="0.56000000000000005"/>
    <x v="0"/>
    <x v="1"/>
    <x v="19"/>
    <x v="108"/>
    <n v="19026"/>
    <x v="91"/>
    <d v="2015-03-21T00:00:00"/>
    <x v="203"/>
    <n v="5"/>
    <n v="279.83"/>
    <n v="88928"/>
  </r>
  <r>
    <n v="20919"/>
    <x v="0"/>
    <n v="0.1"/>
    <n v="8.8800000000000008"/>
    <n v="6.28"/>
    <n v="387"/>
    <x v="117"/>
    <x v="0"/>
    <x v="0"/>
    <x v="0"/>
    <x v="8"/>
    <x v="3"/>
    <x v="168"/>
    <n v="0.35"/>
    <x v="0"/>
    <x v="2"/>
    <x v="32"/>
    <x v="109"/>
    <n v="68801"/>
    <x v="20"/>
    <d v="2015-06-14T00:00:00"/>
    <x v="204"/>
    <n v="15"/>
    <n v="126.9"/>
    <n v="90339"/>
  </r>
  <r>
    <n v="22223"/>
    <x v="2"/>
    <n v="0.03"/>
    <n v="5.28"/>
    <n v="5.66"/>
    <n v="388"/>
    <x v="118"/>
    <x v="2"/>
    <x v="0"/>
    <x v="0"/>
    <x v="7"/>
    <x v="3"/>
    <x v="169"/>
    <n v="0.4"/>
    <x v="0"/>
    <x v="2"/>
    <x v="32"/>
    <x v="110"/>
    <n v="68847"/>
    <x v="35"/>
    <d v="2015-01-05T00:00:00"/>
    <x v="205"/>
    <n v="4"/>
    <n v="22.82"/>
    <n v="90337"/>
  </r>
  <r>
    <n v="22224"/>
    <x v="2"/>
    <n v="0.01"/>
    <n v="110.99"/>
    <n v="2.5"/>
    <n v="388"/>
    <x v="118"/>
    <x v="2"/>
    <x v="0"/>
    <x v="2"/>
    <x v="5"/>
    <x v="3"/>
    <x v="170"/>
    <n v="0.56999999999999995"/>
    <x v="0"/>
    <x v="2"/>
    <x v="32"/>
    <x v="110"/>
    <n v="68847"/>
    <x v="35"/>
    <d v="2015-01-06T00:00:00"/>
    <x v="206"/>
    <n v="2"/>
    <n v="188.66"/>
    <n v="90337"/>
  </r>
  <r>
    <n v="23853"/>
    <x v="4"/>
    <n v="0.03"/>
    <n v="160.97999999999999"/>
    <n v="30"/>
    <n v="389"/>
    <x v="119"/>
    <x v="1"/>
    <x v="0"/>
    <x v="1"/>
    <x v="1"/>
    <x v="1"/>
    <x v="48"/>
    <n v="0.62"/>
    <x v="0"/>
    <x v="2"/>
    <x v="32"/>
    <x v="111"/>
    <n v="68502"/>
    <x v="92"/>
    <d v="2015-02-10T00:00:00"/>
    <x v="207"/>
    <n v="11"/>
    <n v="1845.23"/>
    <n v="90338"/>
  </r>
  <r>
    <n v="25449"/>
    <x v="3"/>
    <n v="0.02"/>
    <n v="34.979999999999997"/>
    <n v="7.53"/>
    <n v="392"/>
    <x v="120"/>
    <x v="2"/>
    <x v="0"/>
    <x v="2"/>
    <x v="13"/>
    <x v="3"/>
    <x v="171"/>
    <n v="0.76"/>
    <x v="0"/>
    <x v="2"/>
    <x v="33"/>
    <x v="112"/>
    <n v="63105"/>
    <x v="93"/>
    <d v="2015-03-07T00:00:00"/>
    <x v="208"/>
    <n v="1"/>
    <n v="37.159999999999997"/>
    <n v="86383"/>
  </r>
  <r>
    <n v="25450"/>
    <x v="3"/>
    <n v="0.01"/>
    <n v="19.989999999999998"/>
    <n v="11.17"/>
    <n v="392"/>
    <x v="120"/>
    <x v="2"/>
    <x v="0"/>
    <x v="1"/>
    <x v="2"/>
    <x v="6"/>
    <x v="172"/>
    <n v="0.6"/>
    <x v="0"/>
    <x v="2"/>
    <x v="33"/>
    <x v="112"/>
    <n v="63105"/>
    <x v="93"/>
    <d v="2015-03-08T00:00:00"/>
    <x v="209"/>
    <n v="2"/>
    <n v="43.65"/>
    <n v="86383"/>
  </r>
  <r>
    <n v="22598"/>
    <x v="4"/>
    <n v="7.0000000000000007E-2"/>
    <n v="9.7100000000000009"/>
    <n v="9.4499999999999993"/>
    <n v="393"/>
    <x v="121"/>
    <x v="2"/>
    <x v="0"/>
    <x v="0"/>
    <x v="10"/>
    <x v="3"/>
    <x v="173"/>
    <n v="0.6"/>
    <x v="0"/>
    <x v="1"/>
    <x v="4"/>
    <x v="113"/>
    <n v="13021"/>
    <x v="2"/>
    <d v="2015-02-22T00:00:00"/>
    <x v="210"/>
    <n v="3"/>
    <n v="31.44"/>
    <n v="86382"/>
  </r>
  <r>
    <n v="24638"/>
    <x v="2"/>
    <n v="0.04"/>
    <n v="15.98"/>
    <n v="4"/>
    <n v="395"/>
    <x v="122"/>
    <x v="2"/>
    <x v="0"/>
    <x v="2"/>
    <x v="13"/>
    <x v="3"/>
    <x v="174"/>
    <n v="0.37"/>
    <x v="0"/>
    <x v="3"/>
    <x v="24"/>
    <x v="114"/>
    <n v="28001"/>
    <x v="49"/>
    <d v="2015-06-19T00:00:00"/>
    <x v="211"/>
    <n v="4"/>
    <n v="64.59"/>
    <n v="86384"/>
  </r>
  <r>
    <n v="24639"/>
    <x v="2"/>
    <n v="0.06"/>
    <n v="22.84"/>
    <n v="5.47"/>
    <n v="395"/>
    <x v="122"/>
    <x v="2"/>
    <x v="0"/>
    <x v="0"/>
    <x v="7"/>
    <x v="3"/>
    <x v="175"/>
    <n v="0.39"/>
    <x v="0"/>
    <x v="3"/>
    <x v="24"/>
    <x v="114"/>
    <n v="28001"/>
    <x v="49"/>
    <d v="2015-06-20T00:00:00"/>
    <x v="212"/>
    <n v="20"/>
    <n v="461.94"/>
    <n v="86384"/>
  </r>
  <r>
    <n v="20693"/>
    <x v="2"/>
    <n v="0.1"/>
    <n v="154.13"/>
    <n v="69"/>
    <n v="397"/>
    <x v="123"/>
    <x v="2"/>
    <x v="0"/>
    <x v="1"/>
    <x v="11"/>
    <x v="6"/>
    <x v="66"/>
    <n v="0.68"/>
    <x v="0"/>
    <x v="1"/>
    <x v="10"/>
    <x v="115"/>
    <n v="44221"/>
    <x v="23"/>
    <d v="2015-02-03T00:00:00"/>
    <x v="213"/>
    <n v="8"/>
    <n v="1216.32"/>
    <n v="89319"/>
  </r>
  <r>
    <n v="24471"/>
    <x v="3"/>
    <n v="0.05"/>
    <n v="63.94"/>
    <n v="14.48"/>
    <n v="398"/>
    <x v="124"/>
    <x v="2"/>
    <x v="0"/>
    <x v="1"/>
    <x v="2"/>
    <x v="3"/>
    <x v="176"/>
    <n v="0.46"/>
    <x v="0"/>
    <x v="1"/>
    <x v="10"/>
    <x v="116"/>
    <n v="45406"/>
    <x v="94"/>
    <d v="2015-05-25T00:00:00"/>
    <x v="214"/>
    <n v="31"/>
    <n v="1989.32"/>
    <n v="89320"/>
  </r>
  <r>
    <n v="21570"/>
    <x v="0"/>
    <n v="0.03"/>
    <n v="4.9800000000000004"/>
    <n v="0.8"/>
    <n v="406"/>
    <x v="125"/>
    <x v="2"/>
    <x v="2"/>
    <x v="0"/>
    <x v="7"/>
    <x v="0"/>
    <x v="177"/>
    <n v="0.36"/>
    <x v="0"/>
    <x v="1"/>
    <x v="2"/>
    <x v="117"/>
    <n v="8360"/>
    <x v="8"/>
    <d v="2015-05-22T00:00:00"/>
    <x v="215"/>
    <n v="15"/>
    <n v="72.760000000000005"/>
    <n v="87804"/>
  </r>
  <r>
    <n v="19104"/>
    <x v="4"/>
    <n v="7.0000000000000007E-2"/>
    <n v="29.17"/>
    <n v="6.27"/>
    <n v="408"/>
    <x v="126"/>
    <x v="2"/>
    <x v="0"/>
    <x v="0"/>
    <x v="8"/>
    <x v="3"/>
    <x v="178"/>
    <n v="0.37"/>
    <x v="0"/>
    <x v="2"/>
    <x v="7"/>
    <x v="118"/>
    <n v="78589"/>
    <x v="10"/>
    <d v="2015-05-06T00:00:00"/>
    <x v="216"/>
    <n v="14"/>
    <n v="400.47"/>
    <n v="89639"/>
  </r>
  <r>
    <n v="18428"/>
    <x v="0"/>
    <n v="0.05"/>
    <n v="178.47"/>
    <n v="19.989999999999998"/>
    <n v="411"/>
    <x v="127"/>
    <x v="0"/>
    <x v="3"/>
    <x v="0"/>
    <x v="10"/>
    <x v="3"/>
    <x v="179"/>
    <n v="0.55000000000000004"/>
    <x v="0"/>
    <x v="0"/>
    <x v="1"/>
    <x v="103"/>
    <n v="94601"/>
    <x v="82"/>
    <d v="2015-05-07T00:00:00"/>
    <x v="217"/>
    <n v="9"/>
    <n v="1531.31"/>
    <n v="87905"/>
  </r>
  <r>
    <n v="21739"/>
    <x v="2"/>
    <n v="0.09"/>
    <n v="999.99"/>
    <n v="13.99"/>
    <n v="421"/>
    <x v="128"/>
    <x v="2"/>
    <x v="2"/>
    <x v="2"/>
    <x v="6"/>
    <x v="4"/>
    <x v="180"/>
    <n v="0.36"/>
    <x v="0"/>
    <x v="1"/>
    <x v="2"/>
    <x v="119"/>
    <n v="7201"/>
    <x v="92"/>
    <d v="2015-02-08T00:00:00"/>
    <x v="218"/>
    <n v="1"/>
    <n v="919.09"/>
    <n v="87700"/>
  </r>
  <r>
    <n v="22355"/>
    <x v="0"/>
    <n v="0.02"/>
    <n v="15.28"/>
    <n v="1.99"/>
    <n v="428"/>
    <x v="129"/>
    <x v="2"/>
    <x v="0"/>
    <x v="2"/>
    <x v="13"/>
    <x v="2"/>
    <x v="108"/>
    <n v="0.42"/>
    <x v="0"/>
    <x v="0"/>
    <x v="34"/>
    <x v="120"/>
    <n v="89701"/>
    <x v="43"/>
    <d v="2015-01-16T00:00:00"/>
    <x v="219"/>
    <n v="15"/>
    <n v="236.46"/>
    <n v="88479"/>
  </r>
  <r>
    <n v="22356"/>
    <x v="0"/>
    <n v="0"/>
    <n v="85.99"/>
    <n v="3.3"/>
    <n v="428"/>
    <x v="129"/>
    <x v="2"/>
    <x v="0"/>
    <x v="2"/>
    <x v="5"/>
    <x v="2"/>
    <x v="181"/>
    <n v="0.37"/>
    <x v="0"/>
    <x v="0"/>
    <x v="34"/>
    <x v="120"/>
    <n v="89701"/>
    <x v="43"/>
    <d v="2015-01-16T00:00:00"/>
    <x v="220"/>
    <n v="1"/>
    <n v="73.819999999999993"/>
    <n v="88479"/>
  </r>
  <r>
    <n v="25351"/>
    <x v="1"/>
    <n v="0.05"/>
    <n v="10.98"/>
    <n v="4.8"/>
    <n v="428"/>
    <x v="129"/>
    <x v="2"/>
    <x v="0"/>
    <x v="0"/>
    <x v="4"/>
    <x v="3"/>
    <x v="182"/>
    <n v="0.36"/>
    <x v="0"/>
    <x v="0"/>
    <x v="34"/>
    <x v="120"/>
    <n v="89701"/>
    <x v="95"/>
    <d v="2015-03-05T00:00:00"/>
    <x v="221"/>
    <n v="22"/>
    <n v="243.11"/>
    <n v="88480"/>
  </r>
  <r>
    <n v="19988"/>
    <x v="4"/>
    <n v="0.05"/>
    <n v="125.99"/>
    <n v="8.08"/>
    <n v="437"/>
    <x v="130"/>
    <x v="2"/>
    <x v="2"/>
    <x v="2"/>
    <x v="5"/>
    <x v="3"/>
    <x v="89"/>
    <n v="0.56999999999999995"/>
    <x v="0"/>
    <x v="1"/>
    <x v="15"/>
    <x v="121"/>
    <n v="1462"/>
    <x v="33"/>
    <d v="2015-06-27T00:00:00"/>
    <x v="222"/>
    <n v="9"/>
    <n v="952.26"/>
    <n v="90695"/>
  </r>
  <r>
    <n v="25813"/>
    <x v="2"/>
    <n v="0"/>
    <n v="7.59"/>
    <n v="4"/>
    <n v="444"/>
    <x v="131"/>
    <x v="2"/>
    <x v="2"/>
    <x v="1"/>
    <x v="2"/>
    <x v="0"/>
    <x v="150"/>
    <n v="0.42"/>
    <x v="0"/>
    <x v="2"/>
    <x v="12"/>
    <x v="122"/>
    <n v="61801"/>
    <x v="40"/>
    <d v="2015-05-28T00:00:00"/>
    <x v="223"/>
    <n v="43"/>
    <n v="355.92"/>
    <n v="88085"/>
  </r>
  <r>
    <n v="23153"/>
    <x v="1"/>
    <n v="0.03"/>
    <n v="48.04"/>
    <n v="19.989999999999998"/>
    <n v="445"/>
    <x v="132"/>
    <x v="2"/>
    <x v="2"/>
    <x v="0"/>
    <x v="7"/>
    <x v="3"/>
    <x v="183"/>
    <n v="0.37"/>
    <x v="0"/>
    <x v="2"/>
    <x v="32"/>
    <x v="123"/>
    <n v="68701"/>
    <x v="86"/>
    <d v="2015-04-13T00:00:00"/>
    <x v="224"/>
    <n v="2"/>
    <n v="101.71"/>
    <n v="88083"/>
  </r>
  <r>
    <n v="23862"/>
    <x v="0"/>
    <n v="0.09"/>
    <n v="200.98"/>
    <n v="55.96"/>
    <n v="445"/>
    <x v="132"/>
    <x v="1"/>
    <x v="2"/>
    <x v="1"/>
    <x v="14"/>
    <x v="5"/>
    <x v="161"/>
    <n v="0.75"/>
    <x v="0"/>
    <x v="2"/>
    <x v="32"/>
    <x v="123"/>
    <n v="68701"/>
    <x v="96"/>
    <d v="2015-06-24T00:00:00"/>
    <x v="225"/>
    <n v="9"/>
    <n v="1766.68"/>
    <n v="88084"/>
  </r>
  <r>
    <n v="23863"/>
    <x v="0"/>
    <n v="0.09"/>
    <n v="2.78"/>
    <n v="0.97"/>
    <n v="445"/>
    <x v="132"/>
    <x v="2"/>
    <x v="2"/>
    <x v="0"/>
    <x v="0"/>
    <x v="0"/>
    <x v="184"/>
    <n v="0.59"/>
    <x v="0"/>
    <x v="2"/>
    <x v="32"/>
    <x v="123"/>
    <n v="68701"/>
    <x v="96"/>
    <d v="2015-06-24T00:00:00"/>
    <x v="226"/>
    <n v="11"/>
    <n v="29.02"/>
    <n v="88084"/>
  </r>
  <r>
    <n v="19694"/>
    <x v="1"/>
    <n v="0.04"/>
    <n v="130.97999999999999"/>
    <n v="30"/>
    <n v="447"/>
    <x v="133"/>
    <x v="1"/>
    <x v="0"/>
    <x v="1"/>
    <x v="1"/>
    <x v="1"/>
    <x v="185"/>
    <n v="0.78"/>
    <x v="0"/>
    <x v="2"/>
    <x v="3"/>
    <x v="124"/>
    <n v="55113"/>
    <x v="97"/>
    <d v="2015-06-28T00:00:00"/>
    <x v="227"/>
    <n v="1"/>
    <n v="159.51"/>
    <n v="90449"/>
  </r>
  <r>
    <n v="19695"/>
    <x v="1"/>
    <n v="0.05"/>
    <n v="200.99"/>
    <n v="4.2"/>
    <n v="447"/>
    <x v="133"/>
    <x v="2"/>
    <x v="0"/>
    <x v="2"/>
    <x v="5"/>
    <x v="3"/>
    <x v="186"/>
    <n v="0.59"/>
    <x v="0"/>
    <x v="2"/>
    <x v="3"/>
    <x v="124"/>
    <n v="55113"/>
    <x v="97"/>
    <d v="2015-06-25T00:00:00"/>
    <x v="228"/>
    <n v="11"/>
    <n v="1838.85"/>
    <n v="90449"/>
  </r>
  <r>
    <n v="20851"/>
    <x v="0"/>
    <n v="0.03"/>
    <n v="15.99"/>
    <n v="11.28"/>
    <n v="451"/>
    <x v="134"/>
    <x v="2"/>
    <x v="1"/>
    <x v="2"/>
    <x v="6"/>
    <x v="4"/>
    <x v="187"/>
    <n v="0.38"/>
    <x v="0"/>
    <x v="0"/>
    <x v="1"/>
    <x v="125"/>
    <n v="94024"/>
    <x v="98"/>
    <d v="2015-04-11T00:00:00"/>
    <x v="229"/>
    <n v="2"/>
    <n v="35.479999999999997"/>
    <n v="86010"/>
  </r>
  <r>
    <n v="21117"/>
    <x v="2"/>
    <n v="0.04"/>
    <n v="37.700000000000003"/>
    <n v="2.99"/>
    <n v="451"/>
    <x v="134"/>
    <x v="2"/>
    <x v="1"/>
    <x v="0"/>
    <x v="8"/>
    <x v="3"/>
    <x v="188"/>
    <n v="0.35"/>
    <x v="0"/>
    <x v="0"/>
    <x v="1"/>
    <x v="125"/>
    <n v="94024"/>
    <x v="87"/>
    <d v="2015-05-28T00:00:00"/>
    <x v="230"/>
    <n v="12"/>
    <n v="434.31"/>
    <n v="86012"/>
  </r>
  <r>
    <n v="18536"/>
    <x v="4"/>
    <n v="0.01"/>
    <n v="8.8800000000000008"/>
    <n v="6.28"/>
    <n v="451"/>
    <x v="134"/>
    <x v="2"/>
    <x v="1"/>
    <x v="0"/>
    <x v="8"/>
    <x v="3"/>
    <x v="168"/>
    <n v="0.35"/>
    <x v="0"/>
    <x v="0"/>
    <x v="1"/>
    <x v="125"/>
    <n v="94024"/>
    <x v="99"/>
    <d v="2015-01-10T00:00:00"/>
    <x v="231"/>
    <n v="2"/>
    <n v="19.86"/>
    <n v="86013"/>
  </r>
  <r>
    <n v="18537"/>
    <x v="4"/>
    <n v="0.06"/>
    <n v="2.88"/>
    <n v="0.99"/>
    <n v="451"/>
    <x v="134"/>
    <x v="2"/>
    <x v="1"/>
    <x v="0"/>
    <x v="9"/>
    <x v="3"/>
    <x v="116"/>
    <n v="0.36"/>
    <x v="0"/>
    <x v="0"/>
    <x v="1"/>
    <x v="125"/>
    <n v="94024"/>
    <x v="99"/>
    <d v="2015-01-14T00:00:00"/>
    <x v="232"/>
    <n v="8"/>
    <n v="23.26"/>
    <n v="86013"/>
  </r>
  <r>
    <n v="21118"/>
    <x v="2"/>
    <n v="0.01"/>
    <n v="55.99"/>
    <n v="5"/>
    <n v="452"/>
    <x v="135"/>
    <x v="2"/>
    <x v="1"/>
    <x v="2"/>
    <x v="5"/>
    <x v="2"/>
    <x v="134"/>
    <n v="0.83"/>
    <x v="0"/>
    <x v="0"/>
    <x v="1"/>
    <x v="126"/>
    <n v="93635"/>
    <x v="87"/>
    <d v="2015-05-28T00:00:00"/>
    <x v="233"/>
    <n v="1"/>
    <n v="51.83"/>
    <n v="86012"/>
  </r>
  <r>
    <n v="22318"/>
    <x v="1"/>
    <n v="0.03"/>
    <n v="29.34"/>
    <n v="7.87"/>
    <n v="453"/>
    <x v="136"/>
    <x v="2"/>
    <x v="0"/>
    <x v="1"/>
    <x v="2"/>
    <x v="3"/>
    <x v="189"/>
    <n v="0.54"/>
    <x v="0"/>
    <x v="0"/>
    <x v="1"/>
    <x v="127"/>
    <n v="95032"/>
    <x v="100"/>
    <d v="2015-05-10T00:00:00"/>
    <x v="234"/>
    <n v="1"/>
    <n v="32.4"/>
    <n v="86011"/>
  </r>
  <r>
    <n v="22874"/>
    <x v="4"/>
    <n v="7.0000000000000007E-2"/>
    <n v="16.91"/>
    <n v="6.25"/>
    <n v="460"/>
    <x v="137"/>
    <x v="2"/>
    <x v="1"/>
    <x v="0"/>
    <x v="10"/>
    <x v="3"/>
    <x v="190"/>
    <n v="0.57999999999999996"/>
    <x v="0"/>
    <x v="1"/>
    <x v="2"/>
    <x v="128"/>
    <n v="8332"/>
    <x v="94"/>
    <d v="2015-05-30T00:00:00"/>
    <x v="235"/>
    <n v="31"/>
    <n v="492.9"/>
    <n v="86014"/>
  </r>
  <r>
    <n v="18467"/>
    <x v="4"/>
    <n v="7.0000000000000007E-2"/>
    <n v="165.2"/>
    <n v="19.989999999999998"/>
    <n v="463"/>
    <x v="138"/>
    <x v="2"/>
    <x v="2"/>
    <x v="0"/>
    <x v="10"/>
    <x v="3"/>
    <x v="191"/>
    <n v="0.59"/>
    <x v="0"/>
    <x v="0"/>
    <x v="1"/>
    <x v="129"/>
    <n v="90069"/>
    <x v="101"/>
    <d v="2015-01-16T00:00:00"/>
    <x v="236"/>
    <n v="7"/>
    <n v="1081.54"/>
    <n v="88061"/>
  </r>
  <r>
    <n v="22754"/>
    <x v="1"/>
    <n v="0.08"/>
    <n v="297.64"/>
    <n v="14.7"/>
    <n v="466"/>
    <x v="139"/>
    <x v="1"/>
    <x v="2"/>
    <x v="2"/>
    <x v="6"/>
    <x v="1"/>
    <x v="192"/>
    <n v="0.56999999999999995"/>
    <x v="0"/>
    <x v="1"/>
    <x v="15"/>
    <x v="130"/>
    <n v="2019"/>
    <x v="52"/>
    <d v="2015-01-11T00:00:00"/>
    <x v="237"/>
    <n v="5"/>
    <n v="1132.8399999999999"/>
    <n v="88060"/>
  </r>
  <r>
    <n v="22755"/>
    <x v="1"/>
    <n v="0.02"/>
    <n v="12.99"/>
    <n v="14.37"/>
    <n v="467"/>
    <x v="140"/>
    <x v="2"/>
    <x v="2"/>
    <x v="1"/>
    <x v="2"/>
    <x v="6"/>
    <x v="193"/>
    <n v="0.73"/>
    <x v="0"/>
    <x v="1"/>
    <x v="15"/>
    <x v="131"/>
    <n v="1915"/>
    <x v="52"/>
    <d v="2015-01-12T00:00:00"/>
    <x v="238"/>
    <n v="11"/>
    <n v="143.63"/>
    <n v="88060"/>
  </r>
  <r>
    <n v="22756"/>
    <x v="1"/>
    <n v="0.06"/>
    <n v="14.42"/>
    <n v="6.75"/>
    <n v="468"/>
    <x v="141"/>
    <x v="2"/>
    <x v="2"/>
    <x v="0"/>
    <x v="15"/>
    <x v="4"/>
    <x v="194"/>
    <n v="0.52"/>
    <x v="0"/>
    <x v="1"/>
    <x v="15"/>
    <x v="132"/>
    <n v="2341"/>
    <x v="52"/>
    <d v="2015-01-12T00:00:00"/>
    <x v="239"/>
    <n v="5"/>
    <n v="73.040000000000006"/>
    <n v="88060"/>
  </r>
  <r>
    <n v="22757"/>
    <x v="1"/>
    <n v="0.05"/>
    <n v="4.1399999999999997"/>
    <n v="6.6"/>
    <n v="469"/>
    <x v="142"/>
    <x v="0"/>
    <x v="2"/>
    <x v="1"/>
    <x v="2"/>
    <x v="3"/>
    <x v="16"/>
    <n v="0.49"/>
    <x v="0"/>
    <x v="1"/>
    <x v="2"/>
    <x v="133"/>
    <n v="7506"/>
    <x v="52"/>
    <d v="2015-01-13T00:00:00"/>
    <x v="240"/>
    <n v="7"/>
    <n v="33.35"/>
    <n v="88060"/>
  </r>
  <r>
    <n v="22758"/>
    <x v="1"/>
    <n v="0.03"/>
    <n v="11.34"/>
    <n v="5.01"/>
    <n v="470"/>
    <x v="143"/>
    <x v="2"/>
    <x v="2"/>
    <x v="0"/>
    <x v="7"/>
    <x v="3"/>
    <x v="195"/>
    <n v="0.36"/>
    <x v="0"/>
    <x v="1"/>
    <x v="2"/>
    <x v="134"/>
    <n v="8601"/>
    <x v="52"/>
    <d v="2015-01-11T00:00:00"/>
    <x v="241"/>
    <n v="5"/>
    <n v="60.24"/>
    <n v="88060"/>
  </r>
  <r>
    <n v="462"/>
    <x v="1"/>
    <n v="7.0000000000000007E-2"/>
    <n v="179.99"/>
    <n v="19.989999999999998"/>
    <n v="471"/>
    <x v="144"/>
    <x v="0"/>
    <x v="3"/>
    <x v="2"/>
    <x v="13"/>
    <x v="3"/>
    <x v="196"/>
    <n v="0.48"/>
    <x v="0"/>
    <x v="3"/>
    <x v="29"/>
    <x v="135"/>
    <n v="30318"/>
    <x v="102"/>
    <d v="2015-02-08T00:00:00"/>
    <x v="242"/>
    <n v="4"/>
    <n v="718.03"/>
    <n v="3138"/>
  </r>
  <r>
    <n v="18462"/>
    <x v="1"/>
    <n v="7.0000000000000007E-2"/>
    <n v="179.99"/>
    <n v="19.989999999999998"/>
    <n v="472"/>
    <x v="145"/>
    <x v="0"/>
    <x v="3"/>
    <x v="2"/>
    <x v="13"/>
    <x v="3"/>
    <x v="196"/>
    <n v="0.48"/>
    <x v="0"/>
    <x v="1"/>
    <x v="30"/>
    <x v="136"/>
    <n v="21133"/>
    <x v="102"/>
    <d v="2015-02-08T00:00:00"/>
    <x v="243"/>
    <n v="1"/>
    <n v="179.51"/>
    <n v="88023"/>
  </r>
  <r>
    <n v="20637"/>
    <x v="2"/>
    <n v="0.03"/>
    <n v="11.97"/>
    <n v="4.9800000000000004"/>
    <n v="483"/>
    <x v="146"/>
    <x v="2"/>
    <x v="0"/>
    <x v="0"/>
    <x v="15"/>
    <x v="3"/>
    <x v="197"/>
    <n v="0.57999999999999996"/>
    <x v="0"/>
    <x v="2"/>
    <x v="12"/>
    <x v="137"/>
    <n v="60543"/>
    <x v="39"/>
    <d v="2015-01-28T00:00:00"/>
    <x v="244"/>
    <n v="6"/>
    <n v="73.180000000000007"/>
    <n v="90353"/>
  </r>
  <r>
    <n v="22864"/>
    <x v="1"/>
    <n v="0.06"/>
    <n v="3.36"/>
    <n v="6.27"/>
    <n v="483"/>
    <x v="146"/>
    <x v="2"/>
    <x v="0"/>
    <x v="0"/>
    <x v="8"/>
    <x v="3"/>
    <x v="198"/>
    <n v="0.4"/>
    <x v="0"/>
    <x v="2"/>
    <x v="12"/>
    <x v="137"/>
    <n v="60543"/>
    <x v="45"/>
    <d v="2015-04-24T00:00:00"/>
    <x v="245"/>
    <n v="2"/>
    <n v="8.82"/>
    <n v="90354"/>
  </r>
  <r>
    <n v="22865"/>
    <x v="1"/>
    <n v="7.0000000000000007E-2"/>
    <n v="699.99"/>
    <n v="24.49"/>
    <n v="483"/>
    <x v="146"/>
    <x v="2"/>
    <x v="0"/>
    <x v="2"/>
    <x v="16"/>
    <x v="6"/>
    <x v="199"/>
    <n v="0.41"/>
    <x v="0"/>
    <x v="2"/>
    <x v="12"/>
    <x v="137"/>
    <n v="60543"/>
    <x v="45"/>
    <d v="2015-04-25T00:00:00"/>
    <x v="246"/>
    <n v="9"/>
    <n v="5976.09"/>
    <n v="90354"/>
  </r>
  <r>
    <n v="20668"/>
    <x v="1"/>
    <n v="0.05"/>
    <n v="2.88"/>
    <n v="0.5"/>
    <n v="485"/>
    <x v="147"/>
    <x v="2"/>
    <x v="0"/>
    <x v="0"/>
    <x v="9"/>
    <x v="3"/>
    <x v="200"/>
    <n v="0.36"/>
    <x v="0"/>
    <x v="0"/>
    <x v="1"/>
    <x v="138"/>
    <n v="93727"/>
    <x v="103"/>
    <d v="2015-03-20T00:00:00"/>
    <x v="247"/>
    <n v="3"/>
    <n v="8.77"/>
    <n v="91062"/>
  </r>
  <r>
    <n v="23394"/>
    <x v="3"/>
    <n v="0.1"/>
    <n v="3.36"/>
    <n v="6.27"/>
    <n v="487"/>
    <x v="148"/>
    <x v="0"/>
    <x v="0"/>
    <x v="0"/>
    <x v="8"/>
    <x v="3"/>
    <x v="198"/>
    <n v="0.4"/>
    <x v="0"/>
    <x v="1"/>
    <x v="14"/>
    <x v="91"/>
    <n v="4073"/>
    <x v="73"/>
    <d v="2015-05-19T00:00:00"/>
    <x v="248"/>
    <n v="5"/>
    <n v="20.87"/>
    <n v="91063"/>
  </r>
  <r>
    <n v="23395"/>
    <x v="3"/>
    <n v="7.0000000000000007E-2"/>
    <n v="12.28"/>
    <n v="4.8600000000000003"/>
    <n v="488"/>
    <x v="149"/>
    <x v="2"/>
    <x v="0"/>
    <x v="0"/>
    <x v="7"/>
    <x v="3"/>
    <x v="94"/>
    <n v="0.38"/>
    <x v="0"/>
    <x v="1"/>
    <x v="14"/>
    <x v="139"/>
    <n v="4106"/>
    <x v="73"/>
    <d v="2015-05-20T00:00:00"/>
    <x v="249"/>
    <n v="2"/>
    <n v="25.7"/>
    <n v="91063"/>
  </r>
  <r>
    <n v="23393"/>
    <x v="3"/>
    <n v="0.09"/>
    <n v="20.99"/>
    <n v="0.99"/>
    <n v="489"/>
    <x v="150"/>
    <x v="2"/>
    <x v="0"/>
    <x v="2"/>
    <x v="5"/>
    <x v="0"/>
    <x v="201"/>
    <n v="0.56999999999999995"/>
    <x v="0"/>
    <x v="1"/>
    <x v="15"/>
    <x v="140"/>
    <n v="2062"/>
    <x v="73"/>
    <d v="2015-05-18T00:00:00"/>
    <x v="250"/>
    <n v="14"/>
    <n v="229.57"/>
    <n v="91063"/>
  </r>
  <r>
    <n v="1147"/>
    <x v="3"/>
    <n v="0.08"/>
    <n v="2.94"/>
    <n v="0.96"/>
    <n v="491"/>
    <x v="151"/>
    <x v="2"/>
    <x v="3"/>
    <x v="0"/>
    <x v="0"/>
    <x v="0"/>
    <x v="202"/>
    <n v="0.57999999999999996"/>
    <x v="0"/>
    <x v="1"/>
    <x v="4"/>
    <x v="8"/>
    <n v="10154"/>
    <x v="7"/>
    <d v="2015-05-17T00:00:00"/>
    <x v="251"/>
    <n v="23"/>
    <n v="66.7"/>
    <n v="8353"/>
  </r>
  <r>
    <n v="1450"/>
    <x v="2"/>
    <n v="0.01"/>
    <n v="4.9800000000000004"/>
    <n v="6.07"/>
    <n v="491"/>
    <x v="151"/>
    <x v="2"/>
    <x v="3"/>
    <x v="0"/>
    <x v="7"/>
    <x v="3"/>
    <x v="46"/>
    <n v="0.36"/>
    <x v="0"/>
    <x v="1"/>
    <x v="4"/>
    <x v="8"/>
    <n v="10154"/>
    <x v="104"/>
    <d v="2015-02-11T00:00:00"/>
    <x v="252"/>
    <n v="41"/>
    <n v="217"/>
    <n v="10464"/>
  </r>
  <r>
    <n v="914"/>
    <x v="2"/>
    <n v="0.02"/>
    <n v="1360.14"/>
    <n v="14.7"/>
    <n v="491"/>
    <x v="151"/>
    <x v="1"/>
    <x v="3"/>
    <x v="2"/>
    <x v="6"/>
    <x v="1"/>
    <x v="203"/>
    <n v="0.59"/>
    <x v="0"/>
    <x v="1"/>
    <x v="4"/>
    <x v="8"/>
    <n v="10154"/>
    <x v="105"/>
    <d v="2015-06-22T00:00:00"/>
    <x v="253"/>
    <n v="22"/>
    <n v="31670.6"/>
    <n v="6562"/>
  </r>
  <r>
    <n v="6046"/>
    <x v="1"/>
    <n v="0.02"/>
    <n v="9.06"/>
    <n v="9.86"/>
    <n v="491"/>
    <x v="151"/>
    <x v="2"/>
    <x v="3"/>
    <x v="0"/>
    <x v="7"/>
    <x v="3"/>
    <x v="204"/>
    <n v="0.4"/>
    <x v="0"/>
    <x v="1"/>
    <x v="4"/>
    <x v="8"/>
    <n v="10154"/>
    <x v="105"/>
    <d v="2015-06-22T00:00:00"/>
    <x v="254"/>
    <n v="24"/>
    <n v="239.82"/>
    <n v="42852"/>
  </r>
  <r>
    <n v="18757"/>
    <x v="1"/>
    <n v="0.02"/>
    <n v="6.48"/>
    <n v="6.6"/>
    <n v="493"/>
    <x v="152"/>
    <x v="2"/>
    <x v="3"/>
    <x v="0"/>
    <x v="7"/>
    <x v="3"/>
    <x v="205"/>
    <n v="0.37"/>
    <x v="0"/>
    <x v="0"/>
    <x v="0"/>
    <x v="141"/>
    <n v="98158"/>
    <x v="13"/>
    <d v="2015-01-22T00:00:00"/>
    <x v="255"/>
    <n v="10"/>
    <n v="66.709999999999994"/>
    <n v="88906"/>
  </r>
  <r>
    <n v="18758"/>
    <x v="1"/>
    <n v="0.04"/>
    <n v="17.149999999999999"/>
    <n v="4.96"/>
    <n v="493"/>
    <x v="152"/>
    <x v="2"/>
    <x v="3"/>
    <x v="0"/>
    <x v="10"/>
    <x v="3"/>
    <x v="206"/>
    <n v="0.57999999999999996"/>
    <x v="0"/>
    <x v="0"/>
    <x v="0"/>
    <x v="141"/>
    <n v="98158"/>
    <x v="13"/>
    <d v="2015-01-21T00:00:00"/>
    <x v="256"/>
    <n v="5"/>
    <n v="87.16"/>
    <n v="88906"/>
  </r>
  <r>
    <n v="19146"/>
    <x v="3"/>
    <n v="0.06"/>
    <n v="8.32"/>
    <n v="2.38"/>
    <n v="494"/>
    <x v="153"/>
    <x v="2"/>
    <x v="3"/>
    <x v="2"/>
    <x v="13"/>
    <x v="2"/>
    <x v="207"/>
    <n v="0.74"/>
    <x v="0"/>
    <x v="0"/>
    <x v="0"/>
    <x v="33"/>
    <n v="98115"/>
    <x v="7"/>
    <d v="2015-05-17T00:00:00"/>
    <x v="257"/>
    <n v="12"/>
    <n v="101.26"/>
    <n v="88905"/>
  </r>
  <r>
    <n v="19147"/>
    <x v="3"/>
    <n v="0.08"/>
    <n v="2.94"/>
    <n v="0.96"/>
    <n v="494"/>
    <x v="153"/>
    <x v="2"/>
    <x v="3"/>
    <x v="0"/>
    <x v="0"/>
    <x v="0"/>
    <x v="202"/>
    <n v="0.57999999999999996"/>
    <x v="0"/>
    <x v="0"/>
    <x v="0"/>
    <x v="33"/>
    <n v="98115"/>
    <x v="7"/>
    <d v="2015-05-17T00:00:00"/>
    <x v="251"/>
    <n v="6"/>
    <n v="17.399999999999999"/>
    <n v="88905"/>
  </r>
  <r>
    <n v="19450"/>
    <x v="2"/>
    <n v="0.01"/>
    <n v="4.9800000000000004"/>
    <n v="6.07"/>
    <n v="494"/>
    <x v="153"/>
    <x v="2"/>
    <x v="3"/>
    <x v="0"/>
    <x v="7"/>
    <x v="3"/>
    <x v="46"/>
    <n v="0.36"/>
    <x v="0"/>
    <x v="0"/>
    <x v="0"/>
    <x v="33"/>
    <n v="98115"/>
    <x v="104"/>
    <d v="2015-02-11T00:00:00"/>
    <x v="258"/>
    <n v="10"/>
    <n v="52.93"/>
    <n v="88907"/>
  </r>
  <r>
    <n v="18914"/>
    <x v="2"/>
    <n v="0.02"/>
    <n v="1360.14"/>
    <n v="14.7"/>
    <n v="494"/>
    <x v="153"/>
    <x v="1"/>
    <x v="3"/>
    <x v="2"/>
    <x v="6"/>
    <x v="1"/>
    <x v="203"/>
    <n v="0.59"/>
    <x v="0"/>
    <x v="0"/>
    <x v="0"/>
    <x v="33"/>
    <n v="98115"/>
    <x v="105"/>
    <d v="2015-06-22T00:00:00"/>
    <x v="259"/>
    <n v="6"/>
    <n v="8637.44"/>
    <n v="88908"/>
  </r>
  <r>
    <n v="24046"/>
    <x v="1"/>
    <n v="0.02"/>
    <n v="9.06"/>
    <n v="9.86"/>
    <n v="494"/>
    <x v="153"/>
    <x v="2"/>
    <x v="3"/>
    <x v="0"/>
    <x v="7"/>
    <x v="3"/>
    <x v="204"/>
    <n v="0.4"/>
    <x v="0"/>
    <x v="0"/>
    <x v="0"/>
    <x v="33"/>
    <n v="98115"/>
    <x v="105"/>
    <d v="2015-06-22T00:00:00"/>
    <x v="260"/>
    <n v="6"/>
    <n v="59.95"/>
    <n v="88908"/>
  </r>
  <r>
    <n v="26315"/>
    <x v="2"/>
    <n v="7.0000000000000007E-2"/>
    <n v="152.47999999999999"/>
    <n v="6.5"/>
    <n v="497"/>
    <x v="154"/>
    <x v="2"/>
    <x v="2"/>
    <x v="2"/>
    <x v="13"/>
    <x v="3"/>
    <x v="208"/>
    <n v="0.74"/>
    <x v="0"/>
    <x v="3"/>
    <x v="20"/>
    <x v="142"/>
    <n v="37130"/>
    <x v="50"/>
    <d v="2015-05-16T00:00:00"/>
    <x v="261"/>
    <n v="35"/>
    <n v="5062.49"/>
    <n v="90706"/>
  </r>
  <r>
    <n v="18303"/>
    <x v="2"/>
    <n v="0.01"/>
    <n v="55.98"/>
    <n v="4.8600000000000003"/>
    <n v="507"/>
    <x v="155"/>
    <x v="0"/>
    <x v="0"/>
    <x v="0"/>
    <x v="7"/>
    <x v="3"/>
    <x v="209"/>
    <n v="0.36"/>
    <x v="0"/>
    <x v="3"/>
    <x v="35"/>
    <x v="143"/>
    <n v="42104"/>
    <x v="106"/>
    <d v="2015-04-20T00:00:00"/>
    <x v="262"/>
    <n v="11"/>
    <n v="646.97"/>
    <n v="87357"/>
  </r>
  <r>
    <n v="18304"/>
    <x v="2"/>
    <n v="0.04"/>
    <n v="65.989999999999995"/>
    <n v="8.99"/>
    <n v="507"/>
    <x v="155"/>
    <x v="2"/>
    <x v="0"/>
    <x v="2"/>
    <x v="5"/>
    <x v="3"/>
    <x v="210"/>
    <n v="0.56000000000000005"/>
    <x v="0"/>
    <x v="3"/>
    <x v="35"/>
    <x v="143"/>
    <n v="42104"/>
    <x v="106"/>
    <d v="2015-04-19T00:00:00"/>
    <x v="263"/>
    <n v="17"/>
    <n v="946.29"/>
    <n v="87357"/>
  </r>
  <r>
    <n v="21958"/>
    <x v="0"/>
    <n v="0.01"/>
    <n v="20.98"/>
    <n v="53.03"/>
    <n v="508"/>
    <x v="156"/>
    <x v="1"/>
    <x v="0"/>
    <x v="0"/>
    <x v="10"/>
    <x v="1"/>
    <x v="211"/>
    <n v="0.78"/>
    <x v="0"/>
    <x v="3"/>
    <x v="35"/>
    <x v="144"/>
    <n v="41011"/>
    <x v="67"/>
    <d v="2015-02-23T00:00:00"/>
    <x v="264"/>
    <n v="5"/>
    <n v="123"/>
    <n v="87356"/>
  </r>
  <r>
    <n v="18305"/>
    <x v="2"/>
    <n v="0.01"/>
    <n v="128.24"/>
    <n v="12.65"/>
    <n v="508"/>
    <x v="156"/>
    <x v="2"/>
    <x v="0"/>
    <x v="1"/>
    <x v="1"/>
    <x v="4"/>
    <x v="212"/>
    <m/>
    <x v="0"/>
    <x v="3"/>
    <x v="35"/>
    <x v="144"/>
    <n v="41011"/>
    <x v="106"/>
    <d v="2015-04-21T00:00:00"/>
    <x v="265"/>
    <n v="4"/>
    <n v="554.08000000000004"/>
    <n v="87357"/>
  </r>
  <r>
    <n v="19895"/>
    <x v="4"/>
    <n v="0.02"/>
    <n v="48.04"/>
    <n v="5.09"/>
    <n v="510"/>
    <x v="157"/>
    <x v="2"/>
    <x v="0"/>
    <x v="0"/>
    <x v="7"/>
    <x v="3"/>
    <x v="213"/>
    <n v="0.37"/>
    <x v="0"/>
    <x v="0"/>
    <x v="1"/>
    <x v="145"/>
    <n v="95336"/>
    <x v="107"/>
    <d v="2015-01-13T00:00:00"/>
    <x v="266"/>
    <n v="3"/>
    <n v="152.54"/>
    <n v="90058"/>
  </r>
  <r>
    <n v="20007"/>
    <x v="2"/>
    <n v="0.03"/>
    <n v="6.37"/>
    <n v="5.19"/>
    <n v="510"/>
    <x v="157"/>
    <x v="2"/>
    <x v="0"/>
    <x v="0"/>
    <x v="8"/>
    <x v="3"/>
    <x v="214"/>
    <n v="0.38"/>
    <x v="0"/>
    <x v="0"/>
    <x v="1"/>
    <x v="145"/>
    <n v="95336"/>
    <x v="108"/>
    <d v="2015-02-02T00:00:00"/>
    <x v="267"/>
    <n v="14"/>
    <n v="89.79"/>
    <n v="90059"/>
  </r>
  <r>
    <n v="20216"/>
    <x v="4"/>
    <n v="7.0000000000000007E-2"/>
    <n v="12.64"/>
    <n v="4.9800000000000004"/>
    <n v="518"/>
    <x v="158"/>
    <x v="2"/>
    <x v="1"/>
    <x v="1"/>
    <x v="2"/>
    <x v="2"/>
    <x v="215"/>
    <n v="0.48"/>
    <x v="0"/>
    <x v="2"/>
    <x v="33"/>
    <x v="112"/>
    <n v="63105"/>
    <x v="75"/>
    <d v="2015-06-12T00:00:00"/>
    <x v="268"/>
    <n v="16"/>
    <n v="199.76"/>
    <n v="90867"/>
  </r>
  <r>
    <n v="23200"/>
    <x v="3"/>
    <n v="0.02"/>
    <n v="150.97999999999999"/>
    <n v="13.99"/>
    <n v="522"/>
    <x v="159"/>
    <x v="0"/>
    <x v="2"/>
    <x v="2"/>
    <x v="6"/>
    <x v="4"/>
    <x v="216"/>
    <n v="0.38"/>
    <x v="0"/>
    <x v="0"/>
    <x v="6"/>
    <x v="13"/>
    <n v="97756"/>
    <x v="33"/>
    <d v="2015-06-24T00:00:00"/>
    <x v="269"/>
    <n v="3"/>
    <n v="480.37"/>
    <n v="89327"/>
  </r>
  <r>
    <n v="23201"/>
    <x v="3"/>
    <n v="0.1"/>
    <n v="5.43"/>
    <n v="0.95"/>
    <n v="522"/>
    <x v="159"/>
    <x v="2"/>
    <x v="2"/>
    <x v="0"/>
    <x v="7"/>
    <x v="0"/>
    <x v="217"/>
    <n v="0.36"/>
    <x v="0"/>
    <x v="0"/>
    <x v="6"/>
    <x v="13"/>
    <n v="97756"/>
    <x v="33"/>
    <d v="2015-06-24T00:00:00"/>
    <x v="270"/>
    <n v="1"/>
    <n v="5.76"/>
    <n v="89327"/>
  </r>
  <r>
    <n v="23202"/>
    <x v="3"/>
    <n v="0.01"/>
    <n v="179.29"/>
    <n v="29.21"/>
    <n v="522"/>
    <x v="159"/>
    <x v="1"/>
    <x v="2"/>
    <x v="1"/>
    <x v="11"/>
    <x v="5"/>
    <x v="218"/>
    <n v="0.74"/>
    <x v="0"/>
    <x v="0"/>
    <x v="6"/>
    <x v="13"/>
    <n v="97756"/>
    <x v="33"/>
    <d v="2015-06-23T00:00:00"/>
    <x v="271"/>
    <n v="21"/>
    <n v="3112.13"/>
    <n v="89327"/>
  </r>
  <r>
    <n v="21517"/>
    <x v="1"/>
    <n v="0.03"/>
    <n v="1270.99"/>
    <n v="19.989999999999998"/>
    <n v="524"/>
    <x v="160"/>
    <x v="2"/>
    <x v="3"/>
    <x v="0"/>
    <x v="8"/>
    <x v="3"/>
    <x v="219"/>
    <n v="0.35"/>
    <x v="0"/>
    <x v="3"/>
    <x v="20"/>
    <x v="146"/>
    <n v="37922"/>
    <x v="13"/>
    <d v="2015-01-22T00:00:00"/>
    <x v="272"/>
    <n v="2"/>
    <n v="2589.0100000000002"/>
    <n v="91127"/>
  </r>
  <r>
    <n v="21518"/>
    <x v="1"/>
    <n v="7.0000000000000007E-2"/>
    <n v="2036.48"/>
    <n v="14.7"/>
    <n v="524"/>
    <x v="160"/>
    <x v="1"/>
    <x v="3"/>
    <x v="2"/>
    <x v="6"/>
    <x v="1"/>
    <x v="220"/>
    <n v="0.55000000000000004"/>
    <x v="0"/>
    <x v="3"/>
    <x v="20"/>
    <x v="146"/>
    <n v="37922"/>
    <x v="13"/>
    <d v="2015-01-22T00:00:00"/>
    <x v="273"/>
    <n v="1"/>
    <n v="1893.93"/>
    <n v="91127"/>
  </r>
  <r>
    <n v="22176"/>
    <x v="0"/>
    <n v="0.09"/>
    <n v="17.98"/>
    <n v="8.51"/>
    <n v="526"/>
    <x v="161"/>
    <x v="2"/>
    <x v="1"/>
    <x v="2"/>
    <x v="6"/>
    <x v="4"/>
    <x v="18"/>
    <n v="0.4"/>
    <x v="0"/>
    <x v="0"/>
    <x v="28"/>
    <x v="147"/>
    <n v="85204"/>
    <x v="40"/>
    <d v="2015-05-27T00:00:00"/>
    <x v="274"/>
    <n v="12"/>
    <n v="211.13"/>
    <n v="90026"/>
  </r>
  <r>
    <n v="20494"/>
    <x v="1"/>
    <n v="0"/>
    <n v="1.88"/>
    <n v="1.49"/>
    <n v="526"/>
    <x v="161"/>
    <x v="2"/>
    <x v="1"/>
    <x v="0"/>
    <x v="8"/>
    <x v="3"/>
    <x v="83"/>
    <n v="0.37"/>
    <x v="0"/>
    <x v="0"/>
    <x v="28"/>
    <x v="147"/>
    <n v="85204"/>
    <x v="60"/>
    <d v="2015-01-18T00:00:00"/>
    <x v="275"/>
    <n v="13"/>
    <n v="25.39"/>
    <n v="90027"/>
  </r>
  <r>
    <n v="20495"/>
    <x v="1"/>
    <n v="0.06"/>
    <n v="5.78"/>
    <n v="5.67"/>
    <n v="526"/>
    <x v="161"/>
    <x v="2"/>
    <x v="1"/>
    <x v="0"/>
    <x v="7"/>
    <x v="3"/>
    <x v="221"/>
    <n v="0.36"/>
    <x v="0"/>
    <x v="0"/>
    <x v="28"/>
    <x v="147"/>
    <n v="85204"/>
    <x v="60"/>
    <d v="2015-01-18T00:00:00"/>
    <x v="276"/>
    <n v="15"/>
    <n v="87.27"/>
    <n v="90027"/>
  </r>
  <r>
    <n v="26210"/>
    <x v="4"/>
    <n v="0"/>
    <n v="15.99"/>
    <n v="13.18"/>
    <n v="535"/>
    <x v="162"/>
    <x v="2"/>
    <x v="0"/>
    <x v="0"/>
    <x v="8"/>
    <x v="3"/>
    <x v="222"/>
    <n v="0.37"/>
    <x v="0"/>
    <x v="3"/>
    <x v="8"/>
    <x v="148"/>
    <n v="22025"/>
    <x v="109"/>
    <d v="2015-04-25T00:00:00"/>
    <x v="277"/>
    <n v="23"/>
    <n v="403.25"/>
    <n v="88511"/>
  </r>
  <r>
    <n v="20811"/>
    <x v="3"/>
    <n v="0.05"/>
    <n v="59.78"/>
    <n v="10.29"/>
    <n v="539"/>
    <x v="163"/>
    <x v="2"/>
    <x v="2"/>
    <x v="0"/>
    <x v="8"/>
    <x v="3"/>
    <x v="223"/>
    <n v="0.39"/>
    <x v="0"/>
    <x v="2"/>
    <x v="12"/>
    <x v="122"/>
    <n v="61801"/>
    <x v="50"/>
    <d v="2015-05-15T00:00:00"/>
    <x v="278"/>
    <n v="7"/>
    <n v="414.49"/>
    <n v="91174"/>
  </r>
  <r>
    <n v="20812"/>
    <x v="3"/>
    <n v="0.08"/>
    <n v="20.99"/>
    <n v="1.25"/>
    <n v="540"/>
    <x v="164"/>
    <x v="2"/>
    <x v="2"/>
    <x v="2"/>
    <x v="5"/>
    <x v="2"/>
    <x v="224"/>
    <n v="0.83"/>
    <x v="0"/>
    <x v="2"/>
    <x v="12"/>
    <x v="149"/>
    <n v="60061"/>
    <x v="50"/>
    <d v="2015-05-16T00:00:00"/>
    <x v="279"/>
    <n v="28"/>
    <n v="469.69"/>
    <n v="91174"/>
  </r>
  <r>
    <n v="24783"/>
    <x v="3"/>
    <n v="0.05"/>
    <n v="204.1"/>
    <n v="13.99"/>
    <n v="540"/>
    <x v="164"/>
    <x v="2"/>
    <x v="2"/>
    <x v="2"/>
    <x v="6"/>
    <x v="4"/>
    <x v="225"/>
    <n v="0.37"/>
    <x v="0"/>
    <x v="2"/>
    <x v="12"/>
    <x v="149"/>
    <n v="60061"/>
    <x v="94"/>
    <d v="2015-05-25T00:00:00"/>
    <x v="280"/>
    <n v="41"/>
    <n v="8585.67"/>
    <n v="91175"/>
  </r>
  <r>
    <n v="23401"/>
    <x v="1"/>
    <n v="0.03"/>
    <n v="13.73"/>
    <n v="6.85"/>
    <n v="547"/>
    <x v="165"/>
    <x v="0"/>
    <x v="0"/>
    <x v="1"/>
    <x v="2"/>
    <x v="0"/>
    <x v="226"/>
    <n v="0.54"/>
    <x v="0"/>
    <x v="1"/>
    <x v="36"/>
    <x v="150"/>
    <n v="26501"/>
    <x v="110"/>
    <d v="2015-06-15T00:00:00"/>
    <x v="281"/>
    <n v="4"/>
    <n v="57.37"/>
    <n v="86250"/>
  </r>
  <r>
    <n v="25806"/>
    <x v="1"/>
    <n v="0.02"/>
    <n v="7.1"/>
    <n v="6.05"/>
    <n v="549"/>
    <x v="166"/>
    <x v="2"/>
    <x v="0"/>
    <x v="0"/>
    <x v="8"/>
    <x v="3"/>
    <x v="227"/>
    <n v="0.39"/>
    <x v="0"/>
    <x v="0"/>
    <x v="27"/>
    <x v="151"/>
    <n v="88201"/>
    <x v="13"/>
    <d v="2015-01-20T00:00:00"/>
    <x v="282"/>
    <n v="9"/>
    <n v="66.319999999999993"/>
    <n v="90908"/>
  </r>
  <r>
    <n v="24132"/>
    <x v="0"/>
    <n v="0.05"/>
    <n v="1.68"/>
    <n v="1.57"/>
    <n v="550"/>
    <x v="167"/>
    <x v="2"/>
    <x v="0"/>
    <x v="0"/>
    <x v="0"/>
    <x v="0"/>
    <x v="15"/>
    <n v="0.59"/>
    <x v="0"/>
    <x v="2"/>
    <x v="7"/>
    <x v="152"/>
    <n v="78155"/>
    <x v="111"/>
    <d v="2015-01-31T00:00:00"/>
    <x v="283"/>
    <n v="11"/>
    <n v="18.75"/>
    <n v="90909"/>
  </r>
  <r>
    <n v="24133"/>
    <x v="0"/>
    <n v="0.1"/>
    <n v="218.75"/>
    <n v="69.64"/>
    <n v="550"/>
    <x v="167"/>
    <x v="1"/>
    <x v="0"/>
    <x v="1"/>
    <x v="11"/>
    <x v="5"/>
    <x v="228"/>
    <n v="0.77"/>
    <x v="0"/>
    <x v="2"/>
    <x v="7"/>
    <x v="152"/>
    <n v="78155"/>
    <x v="111"/>
    <d v="2015-02-01T00:00:00"/>
    <x v="284"/>
    <n v="1"/>
    <n v="188.51"/>
    <n v="90909"/>
  </r>
  <r>
    <n v="23209"/>
    <x v="3"/>
    <n v="0.06"/>
    <n v="549.99"/>
    <n v="49"/>
    <n v="550"/>
    <x v="167"/>
    <x v="1"/>
    <x v="0"/>
    <x v="2"/>
    <x v="16"/>
    <x v="1"/>
    <x v="229"/>
    <n v="0.35"/>
    <x v="0"/>
    <x v="2"/>
    <x v="7"/>
    <x v="152"/>
    <n v="78155"/>
    <x v="20"/>
    <d v="2015-06-13T00:00:00"/>
    <x v="285"/>
    <n v="13"/>
    <n v="6720.88"/>
    <n v="90910"/>
  </r>
  <r>
    <n v="23210"/>
    <x v="3"/>
    <n v="0.08"/>
    <n v="115.99"/>
    <n v="5.99"/>
    <n v="550"/>
    <x v="167"/>
    <x v="0"/>
    <x v="0"/>
    <x v="2"/>
    <x v="5"/>
    <x v="3"/>
    <x v="230"/>
    <n v="0.56999999999999995"/>
    <x v="0"/>
    <x v="2"/>
    <x v="7"/>
    <x v="152"/>
    <n v="78155"/>
    <x v="20"/>
    <d v="2015-06-13T00:00:00"/>
    <x v="286"/>
    <n v="1"/>
    <n v="102.21"/>
    <n v="90910"/>
  </r>
  <r>
    <n v="24134"/>
    <x v="0"/>
    <n v="0"/>
    <n v="15.04"/>
    <n v="1.97"/>
    <n v="551"/>
    <x v="168"/>
    <x v="2"/>
    <x v="0"/>
    <x v="0"/>
    <x v="7"/>
    <x v="0"/>
    <x v="231"/>
    <n v="0.39"/>
    <x v="0"/>
    <x v="2"/>
    <x v="7"/>
    <x v="153"/>
    <n v="75090"/>
    <x v="111"/>
    <d v="2015-02-01T00:00:00"/>
    <x v="287"/>
    <n v="2"/>
    <n v="31.18"/>
    <n v="90909"/>
  </r>
  <r>
    <n v="2368"/>
    <x v="3"/>
    <n v="0"/>
    <n v="6.88"/>
    <n v="2"/>
    <n v="553"/>
    <x v="169"/>
    <x v="0"/>
    <x v="1"/>
    <x v="0"/>
    <x v="7"/>
    <x v="0"/>
    <x v="232"/>
    <n v="0.39"/>
    <x v="0"/>
    <x v="0"/>
    <x v="1"/>
    <x v="154"/>
    <n v="90008"/>
    <x v="9"/>
    <d v="2015-01-29T00:00:00"/>
    <x v="288"/>
    <n v="36"/>
    <n v="267.52999999999997"/>
    <n v="17155"/>
  </r>
  <r>
    <n v="349"/>
    <x v="1"/>
    <n v="7.0000000000000007E-2"/>
    <n v="2036.48"/>
    <n v="14.7"/>
    <n v="553"/>
    <x v="169"/>
    <x v="1"/>
    <x v="0"/>
    <x v="2"/>
    <x v="6"/>
    <x v="1"/>
    <x v="220"/>
    <n v="0.55000000000000004"/>
    <x v="0"/>
    <x v="0"/>
    <x v="1"/>
    <x v="154"/>
    <n v="90008"/>
    <x v="54"/>
    <d v="2015-02-21T00:00:00"/>
    <x v="289"/>
    <n v="25"/>
    <n v="43046.2"/>
    <n v="2433"/>
  </r>
  <r>
    <n v="1115"/>
    <x v="4"/>
    <n v="0.01"/>
    <n v="4.9800000000000004"/>
    <n v="7.44"/>
    <n v="553"/>
    <x v="169"/>
    <x v="2"/>
    <x v="0"/>
    <x v="0"/>
    <x v="7"/>
    <x v="3"/>
    <x v="130"/>
    <n v="0.36"/>
    <x v="0"/>
    <x v="0"/>
    <x v="1"/>
    <x v="154"/>
    <n v="90008"/>
    <x v="112"/>
    <d v="2015-04-24T00:00:00"/>
    <x v="290"/>
    <n v="63"/>
    <n v="330.21"/>
    <n v="8165"/>
  </r>
  <r>
    <n v="64"/>
    <x v="3"/>
    <n v="0.08"/>
    <n v="124.49"/>
    <n v="51.94"/>
    <n v="553"/>
    <x v="169"/>
    <x v="1"/>
    <x v="0"/>
    <x v="1"/>
    <x v="11"/>
    <x v="5"/>
    <x v="156"/>
    <n v="0.63"/>
    <x v="0"/>
    <x v="0"/>
    <x v="1"/>
    <x v="154"/>
    <n v="90008"/>
    <x v="49"/>
    <d v="2015-06-19T00:00:00"/>
    <x v="291"/>
    <n v="56"/>
    <n v="6831.37"/>
    <n v="359"/>
  </r>
  <r>
    <n v="18349"/>
    <x v="1"/>
    <n v="7.0000000000000007E-2"/>
    <n v="2036.48"/>
    <n v="14.7"/>
    <n v="555"/>
    <x v="170"/>
    <x v="1"/>
    <x v="0"/>
    <x v="2"/>
    <x v="6"/>
    <x v="1"/>
    <x v="220"/>
    <n v="0.55000000000000004"/>
    <x v="0"/>
    <x v="0"/>
    <x v="17"/>
    <x v="155"/>
    <n v="84062"/>
    <x v="54"/>
    <d v="2015-02-21T00:00:00"/>
    <x v="292"/>
    <n v="6"/>
    <n v="10331.09"/>
    <n v="86190"/>
  </r>
  <r>
    <n v="19115"/>
    <x v="4"/>
    <n v="0.01"/>
    <n v="4.9800000000000004"/>
    <n v="7.44"/>
    <n v="555"/>
    <x v="170"/>
    <x v="2"/>
    <x v="0"/>
    <x v="0"/>
    <x v="7"/>
    <x v="3"/>
    <x v="130"/>
    <n v="0.36"/>
    <x v="0"/>
    <x v="0"/>
    <x v="17"/>
    <x v="155"/>
    <n v="84062"/>
    <x v="112"/>
    <d v="2015-04-24T00:00:00"/>
    <x v="293"/>
    <n v="16"/>
    <n v="83.86"/>
    <n v="86191"/>
  </r>
  <r>
    <n v="18064"/>
    <x v="3"/>
    <n v="0.08"/>
    <n v="124.49"/>
    <n v="51.94"/>
    <n v="555"/>
    <x v="170"/>
    <x v="1"/>
    <x v="0"/>
    <x v="1"/>
    <x v="11"/>
    <x v="5"/>
    <x v="156"/>
    <n v="0.63"/>
    <x v="0"/>
    <x v="0"/>
    <x v="17"/>
    <x v="155"/>
    <n v="84062"/>
    <x v="49"/>
    <d v="2015-06-19T00:00:00"/>
    <x v="294"/>
    <n v="14"/>
    <n v="1707.84"/>
    <n v="86192"/>
  </r>
  <r>
    <n v="20368"/>
    <x v="3"/>
    <n v="0"/>
    <n v="6.88"/>
    <n v="2"/>
    <n v="556"/>
    <x v="171"/>
    <x v="0"/>
    <x v="1"/>
    <x v="0"/>
    <x v="7"/>
    <x v="0"/>
    <x v="232"/>
    <n v="0.39"/>
    <x v="0"/>
    <x v="0"/>
    <x v="17"/>
    <x v="156"/>
    <n v="84604"/>
    <x v="9"/>
    <d v="2015-01-29T00:00:00"/>
    <x v="295"/>
    <n v="9"/>
    <n v="66.88"/>
    <n v="86189"/>
  </r>
  <r>
    <n v="20369"/>
    <x v="3"/>
    <n v="0.03"/>
    <n v="32.479999999999997"/>
    <n v="35"/>
    <n v="556"/>
    <x v="171"/>
    <x v="0"/>
    <x v="1"/>
    <x v="0"/>
    <x v="10"/>
    <x v="6"/>
    <x v="233"/>
    <n v="0.81"/>
    <x v="0"/>
    <x v="0"/>
    <x v="17"/>
    <x v="156"/>
    <n v="84604"/>
    <x v="9"/>
    <d v="2015-01-28T00:00:00"/>
    <x v="296"/>
    <n v="8"/>
    <n v="274.91000000000003"/>
    <n v="86189"/>
  </r>
  <r>
    <n v="21966"/>
    <x v="2"/>
    <n v="0.02"/>
    <n v="280.98"/>
    <n v="57"/>
    <n v="568"/>
    <x v="172"/>
    <x v="1"/>
    <x v="3"/>
    <x v="1"/>
    <x v="1"/>
    <x v="1"/>
    <x v="234"/>
    <n v="0.78"/>
    <x v="0"/>
    <x v="3"/>
    <x v="37"/>
    <x v="94"/>
    <n v="39701"/>
    <x v="30"/>
    <d v="2015-03-05T00:00:00"/>
    <x v="297"/>
    <n v="4"/>
    <n v="1128.74"/>
    <n v="88879"/>
  </r>
  <r>
    <n v="22667"/>
    <x v="1"/>
    <n v="0.09"/>
    <n v="70.97"/>
    <n v="3.5"/>
    <n v="568"/>
    <x v="172"/>
    <x v="2"/>
    <x v="3"/>
    <x v="0"/>
    <x v="15"/>
    <x v="3"/>
    <x v="235"/>
    <n v="0.59"/>
    <x v="0"/>
    <x v="3"/>
    <x v="37"/>
    <x v="94"/>
    <n v="39701"/>
    <x v="112"/>
    <d v="2015-04-15T00:00:00"/>
    <x v="298"/>
    <n v="12"/>
    <n v="805.99"/>
    <n v="88880"/>
  </r>
  <r>
    <n v="22736"/>
    <x v="3"/>
    <n v="0.08"/>
    <n v="67.28"/>
    <n v="19.989999999999998"/>
    <n v="568"/>
    <x v="172"/>
    <x v="0"/>
    <x v="3"/>
    <x v="0"/>
    <x v="8"/>
    <x v="3"/>
    <x v="236"/>
    <n v="0.4"/>
    <x v="0"/>
    <x v="3"/>
    <x v="37"/>
    <x v="94"/>
    <n v="39701"/>
    <x v="113"/>
    <d v="2015-04-03T00:00:00"/>
    <x v="299"/>
    <n v="16"/>
    <n v="1066.54"/>
    <n v="88882"/>
  </r>
  <r>
    <n v="26038"/>
    <x v="4"/>
    <n v="0.06"/>
    <n v="7.99"/>
    <n v="5.03"/>
    <n v="570"/>
    <x v="173"/>
    <x v="2"/>
    <x v="3"/>
    <x v="2"/>
    <x v="5"/>
    <x v="4"/>
    <x v="145"/>
    <n v="0.6"/>
    <x v="0"/>
    <x v="0"/>
    <x v="34"/>
    <x v="157"/>
    <n v="89015"/>
    <x v="107"/>
    <d v="2015-01-13T00:00:00"/>
    <x v="300"/>
    <n v="10"/>
    <n v="65.739999999999995"/>
    <n v="88881"/>
  </r>
  <r>
    <n v="23719"/>
    <x v="2"/>
    <n v="0.05"/>
    <n v="4.13"/>
    <n v="5.04"/>
    <n v="573"/>
    <x v="174"/>
    <x v="2"/>
    <x v="1"/>
    <x v="0"/>
    <x v="8"/>
    <x v="3"/>
    <x v="237"/>
    <n v="0.38"/>
    <x v="0"/>
    <x v="2"/>
    <x v="12"/>
    <x v="158"/>
    <n v="61554"/>
    <x v="114"/>
    <d v="2015-03-14T00:00:00"/>
    <x v="301"/>
    <n v="1"/>
    <n v="5.84"/>
    <n v="86555"/>
  </r>
  <r>
    <n v="21992"/>
    <x v="0"/>
    <n v="0.08"/>
    <n v="415.88"/>
    <n v="11.37"/>
    <n v="573"/>
    <x v="174"/>
    <x v="2"/>
    <x v="0"/>
    <x v="0"/>
    <x v="10"/>
    <x v="3"/>
    <x v="165"/>
    <n v="0.56999999999999995"/>
    <x v="0"/>
    <x v="2"/>
    <x v="12"/>
    <x v="158"/>
    <n v="61554"/>
    <x v="115"/>
    <d v="2015-02-27T00:00:00"/>
    <x v="302"/>
    <n v="1"/>
    <n v="405.57"/>
    <n v="86556"/>
  </r>
  <r>
    <n v="21325"/>
    <x v="4"/>
    <n v="0.06"/>
    <n v="4.4800000000000004"/>
    <n v="49"/>
    <n v="576"/>
    <x v="175"/>
    <x v="2"/>
    <x v="0"/>
    <x v="0"/>
    <x v="15"/>
    <x v="6"/>
    <x v="238"/>
    <n v="0.6"/>
    <x v="0"/>
    <x v="0"/>
    <x v="1"/>
    <x v="159"/>
    <n v="91767"/>
    <x v="107"/>
    <d v="2015-01-17T00:00:00"/>
    <x v="303"/>
    <n v="4"/>
    <n v="32.6"/>
    <n v="88645"/>
  </r>
  <r>
    <n v="18664"/>
    <x v="3"/>
    <n v="0.03"/>
    <n v="162.93"/>
    <n v="19.989999999999998"/>
    <n v="578"/>
    <x v="176"/>
    <x v="2"/>
    <x v="0"/>
    <x v="0"/>
    <x v="4"/>
    <x v="3"/>
    <x v="239"/>
    <n v="0.39"/>
    <x v="0"/>
    <x v="1"/>
    <x v="18"/>
    <x v="160"/>
    <n v="6770"/>
    <x v="116"/>
    <d v="2015-05-14T00:00:00"/>
    <x v="304"/>
    <n v="3"/>
    <n v="515.88"/>
    <n v="88644"/>
  </r>
  <r>
    <n v="18665"/>
    <x v="3"/>
    <n v="0.01"/>
    <n v="11.58"/>
    <n v="5.72"/>
    <n v="579"/>
    <x v="177"/>
    <x v="2"/>
    <x v="0"/>
    <x v="0"/>
    <x v="4"/>
    <x v="3"/>
    <x v="240"/>
    <n v="0.35"/>
    <x v="0"/>
    <x v="1"/>
    <x v="18"/>
    <x v="161"/>
    <n v="6478"/>
    <x v="116"/>
    <d v="2015-05-15T00:00:00"/>
    <x v="305"/>
    <n v="2"/>
    <n v="25.06"/>
    <n v="88644"/>
  </r>
  <r>
    <n v="18662"/>
    <x v="3"/>
    <n v="0.01"/>
    <n v="55.99"/>
    <n v="5"/>
    <n v="580"/>
    <x v="178"/>
    <x v="2"/>
    <x v="0"/>
    <x v="2"/>
    <x v="5"/>
    <x v="2"/>
    <x v="241"/>
    <n v="0.8"/>
    <x v="0"/>
    <x v="1"/>
    <x v="14"/>
    <x v="113"/>
    <n v="4210"/>
    <x v="116"/>
    <d v="2015-05-14T00:00:00"/>
    <x v="306"/>
    <n v="12"/>
    <n v="578.24"/>
    <n v="88644"/>
  </r>
  <r>
    <n v="24180"/>
    <x v="1"/>
    <n v="0.04"/>
    <n v="15.51"/>
    <n v="17.78"/>
    <n v="584"/>
    <x v="179"/>
    <x v="2"/>
    <x v="0"/>
    <x v="0"/>
    <x v="10"/>
    <x v="3"/>
    <x v="242"/>
    <n v="0.59"/>
    <x v="0"/>
    <x v="1"/>
    <x v="15"/>
    <x v="162"/>
    <n v="1801"/>
    <x v="72"/>
    <d v="2015-01-23T00:00:00"/>
    <x v="307"/>
    <n v="7"/>
    <n v="116.93"/>
    <n v="88646"/>
  </r>
  <r>
    <n v="18663"/>
    <x v="3"/>
    <n v="0.06"/>
    <n v="13.9"/>
    <n v="7.59"/>
    <n v="585"/>
    <x v="180"/>
    <x v="2"/>
    <x v="0"/>
    <x v="0"/>
    <x v="12"/>
    <x v="2"/>
    <x v="243"/>
    <n v="0.56000000000000005"/>
    <x v="0"/>
    <x v="1"/>
    <x v="16"/>
    <x v="163"/>
    <n v="3301"/>
    <x v="116"/>
    <d v="2015-05-14T00:00:00"/>
    <x v="308"/>
    <n v="12"/>
    <n v="170.45"/>
    <n v="88644"/>
  </r>
  <r>
    <n v="19781"/>
    <x v="2"/>
    <n v="0.08"/>
    <n v="30.53"/>
    <n v="19.989999999999998"/>
    <n v="592"/>
    <x v="181"/>
    <x v="2"/>
    <x v="2"/>
    <x v="0"/>
    <x v="9"/>
    <x v="3"/>
    <x v="244"/>
    <n v="0.39"/>
    <x v="0"/>
    <x v="2"/>
    <x v="12"/>
    <x v="164"/>
    <n v="60091"/>
    <x v="60"/>
    <d v="2015-01-17T00:00:00"/>
    <x v="309"/>
    <n v="10"/>
    <n v="285.87"/>
    <n v="86307"/>
  </r>
  <r>
    <n v="19782"/>
    <x v="2"/>
    <n v="0.01"/>
    <n v="1.68"/>
    <n v="1.57"/>
    <n v="593"/>
    <x v="182"/>
    <x v="2"/>
    <x v="2"/>
    <x v="0"/>
    <x v="0"/>
    <x v="0"/>
    <x v="15"/>
    <n v="0.59"/>
    <x v="0"/>
    <x v="2"/>
    <x v="12"/>
    <x v="165"/>
    <n v="60517"/>
    <x v="60"/>
    <d v="2015-01-19T00:00:00"/>
    <x v="310"/>
    <n v="12"/>
    <n v="20.37"/>
    <n v="86307"/>
  </r>
  <r>
    <n v="22996"/>
    <x v="2"/>
    <n v="0.09"/>
    <n v="13.79"/>
    <n v="8.7799999999999994"/>
    <n v="594"/>
    <x v="183"/>
    <x v="2"/>
    <x v="3"/>
    <x v="1"/>
    <x v="2"/>
    <x v="3"/>
    <x v="245"/>
    <n v="0.43"/>
    <x v="0"/>
    <x v="2"/>
    <x v="38"/>
    <x v="166"/>
    <n v="46016"/>
    <x v="24"/>
    <d v="2015-03-17T00:00:00"/>
    <x v="311"/>
    <n v="1"/>
    <n v="17.440000000000001"/>
    <n v="86309"/>
  </r>
  <r>
    <n v="21662"/>
    <x v="2"/>
    <n v="0.04"/>
    <n v="39.479999999999997"/>
    <n v="1.99"/>
    <n v="594"/>
    <x v="183"/>
    <x v="2"/>
    <x v="3"/>
    <x v="2"/>
    <x v="13"/>
    <x v="2"/>
    <x v="246"/>
    <n v="0.54"/>
    <x v="0"/>
    <x v="2"/>
    <x v="38"/>
    <x v="166"/>
    <n v="46016"/>
    <x v="117"/>
    <d v="2015-06-22T00:00:00"/>
    <x v="312"/>
    <n v="18"/>
    <n v="702.68"/>
    <n v="86311"/>
  </r>
  <r>
    <n v="21663"/>
    <x v="2"/>
    <n v="0.04"/>
    <n v="3.7"/>
    <n v="1.61"/>
    <n v="594"/>
    <x v="183"/>
    <x v="2"/>
    <x v="3"/>
    <x v="1"/>
    <x v="2"/>
    <x v="0"/>
    <x v="247"/>
    <n v="0.44"/>
    <x v="0"/>
    <x v="2"/>
    <x v="38"/>
    <x v="166"/>
    <n v="46016"/>
    <x v="117"/>
    <d v="2015-06-20T00:00:00"/>
    <x v="313"/>
    <n v="18"/>
    <n v="67.239999999999995"/>
    <n v="86311"/>
  </r>
  <r>
    <n v="24480"/>
    <x v="2"/>
    <n v="0.03"/>
    <n v="3.8"/>
    <n v="1.49"/>
    <n v="596"/>
    <x v="184"/>
    <x v="2"/>
    <x v="3"/>
    <x v="0"/>
    <x v="8"/>
    <x v="3"/>
    <x v="27"/>
    <n v="0.38"/>
    <x v="0"/>
    <x v="2"/>
    <x v="38"/>
    <x v="167"/>
    <n v="46032"/>
    <x v="2"/>
    <d v="2015-02-17T00:00:00"/>
    <x v="314"/>
    <n v="6"/>
    <n v="24.27"/>
    <n v="86308"/>
  </r>
  <r>
    <n v="24481"/>
    <x v="2"/>
    <n v="7.0000000000000007E-2"/>
    <n v="7.98"/>
    <n v="1.25"/>
    <n v="596"/>
    <x v="184"/>
    <x v="2"/>
    <x v="3"/>
    <x v="0"/>
    <x v="7"/>
    <x v="0"/>
    <x v="248"/>
    <n v="0.35"/>
    <x v="0"/>
    <x v="2"/>
    <x v="38"/>
    <x v="167"/>
    <n v="46032"/>
    <x v="2"/>
    <d v="2015-02-17T00:00:00"/>
    <x v="315"/>
    <n v="5"/>
    <n v="38.53"/>
    <n v="86308"/>
  </r>
  <r>
    <n v="24482"/>
    <x v="2"/>
    <n v="7.0000000000000007E-2"/>
    <n v="417.4"/>
    <n v="75.23"/>
    <n v="596"/>
    <x v="184"/>
    <x v="1"/>
    <x v="3"/>
    <x v="1"/>
    <x v="11"/>
    <x v="5"/>
    <x v="249"/>
    <n v="0.79"/>
    <x v="0"/>
    <x v="2"/>
    <x v="38"/>
    <x v="167"/>
    <n v="46032"/>
    <x v="2"/>
    <d v="2015-02-16T00:00:00"/>
    <x v="316"/>
    <n v="12"/>
    <n v="4910.72"/>
    <n v="86308"/>
  </r>
  <r>
    <n v="25949"/>
    <x v="1"/>
    <n v="0.1"/>
    <n v="6.48"/>
    <n v="5.9"/>
    <n v="597"/>
    <x v="185"/>
    <x v="2"/>
    <x v="2"/>
    <x v="0"/>
    <x v="7"/>
    <x v="3"/>
    <x v="250"/>
    <n v="0.37"/>
    <x v="0"/>
    <x v="2"/>
    <x v="38"/>
    <x v="94"/>
    <n v="47201"/>
    <x v="69"/>
    <d v="2015-06-10T00:00:00"/>
    <x v="317"/>
    <n v="19"/>
    <n v="116.8"/>
    <n v="86310"/>
  </r>
  <r>
    <n v="21274"/>
    <x v="3"/>
    <n v="0.06"/>
    <n v="6.48"/>
    <n v="7.37"/>
    <n v="600"/>
    <x v="186"/>
    <x v="2"/>
    <x v="0"/>
    <x v="0"/>
    <x v="7"/>
    <x v="3"/>
    <x v="251"/>
    <n v="0.37"/>
    <x v="0"/>
    <x v="1"/>
    <x v="30"/>
    <x v="168"/>
    <n v="21136"/>
    <x v="114"/>
    <d v="2015-03-14T00:00:00"/>
    <x v="318"/>
    <n v="5"/>
    <n v="32.39"/>
    <n v="87579"/>
  </r>
  <r>
    <n v="20929"/>
    <x v="1"/>
    <n v="0.02"/>
    <n v="35.99"/>
    <n v="5"/>
    <n v="603"/>
    <x v="187"/>
    <x v="2"/>
    <x v="1"/>
    <x v="2"/>
    <x v="5"/>
    <x v="3"/>
    <x v="252"/>
    <n v="0.85"/>
    <x v="0"/>
    <x v="0"/>
    <x v="21"/>
    <x v="169"/>
    <n v="81001"/>
    <x v="118"/>
    <d v="2015-02-05T00:00:00"/>
    <x v="319"/>
    <n v="7"/>
    <n v="227.79"/>
    <n v="87020"/>
  </r>
  <r>
    <n v="4015"/>
    <x v="2"/>
    <n v="0.09"/>
    <n v="154.13"/>
    <n v="69"/>
    <n v="604"/>
    <x v="188"/>
    <x v="0"/>
    <x v="0"/>
    <x v="1"/>
    <x v="11"/>
    <x v="6"/>
    <x v="66"/>
    <n v="0.68"/>
    <x v="0"/>
    <x v="0"/>
    <x v="1"/>
    <x v="154"/>
    <n v="90045"/>
    <x v="88"/>
    <d v="2015-03-15T00:00:00"/>
    <x v="320"/>
    <n v="38"/>
    <n v="5679.59"/>
    <n v="28647"/>
  </r>
  <r>
    <n v="4903"/>
    <x v="2"/>
    <n v="0.03"/>
    <n v="1.88"/>
    <n v="1.49"/>
    <n v="604"/>
    <x v="188"/>
    <x v="2"/>
    <x v="1"/>
    <x v="0"/>
    <x v="8"/>
    <x v="3"/>
    <x v="83"/>
    <n v="0.37"/>
    <x v="0"/>
    <x v="0"/>
    <x v="1"/>
    <x v="154"/>
    <n v="90045"/>
    <x v="76"/>
    <d v="2015-01-25T00:00:00"/>
    <x v="321"/>
    <n v="52"/>
    <n v="102.32"/>
    <n v="34882"/>
  </r>
  <r>
    <n v="22015"/>
    <x v="2"/>
    <n v="0.09"/>
    <n v="154.13"/>
    <n v="69"/>
    <n v="605"/>
    <x v="189"/>
    <x v="0"/>
    <x v="0"/>
    <x v="1"/>
    <x v="11"/>
    <x v="6"/>
    <x v="66"/>
    <n v="0.68"/>
    <x v="0"/>
    <x v="1"/>
    <x v="4"/>
    <x v="170"/>
    <n v="11795"/>
    <x v="88"/>
    <d v="2015-03-15T00:00:00"/>
    <x v="320"/>
    <n v="10"/>
    <n v="1494.63"/>
    <n v="91144"/>
  </r>
  <r>
    <n v="18492"/>
    <x v="1"/>
    <n v="0.02"/>
    <n v="15.57"/>
    <n v="1.39"/>
    <n v="617"/>
    <x v="190"/>
    <x v="2"/>
    <x v="3"/>
    <x v="0"/>
    <x v="4"/>
    <x v="3"/>
    <x v="253"/>
    <n v="0.38"/>
    <x v="0"/>
    <x v="0"/>
    <x v="21"/>
    <x v="169"/>
    <n v="81001"/>
    <x v="119"/>
    <d v="2015-04-30T00:00:00"/>
    <x v="322"/>
    <n v="3"/>
    <n v="46.23"/>
    <n v="88198"/>
  </r>
  <r>
    <n v="18493"/>
    <x v="1"/>
    <n v="0.02"/>
    <n v="20.89"/>
    <n v="11.52"/>
    <n v="617"/>
    <x v="190"/>
    <x v="2"/>
    <x v="3"/>
    <x v="0"/>
    <x v="10"/>
    <x v="3"/>
    <x v="254"/>
    <n v="0.83"/>
    <x v="0"/>
    <x v="0"/>
    <x v="21"/>
    <x v="169"/>
    <n v="81001"/>
    <x v="119"/>
    <d v="2015-04-30T00:00:00"/>
    <x v="323"/>
    <n v="13"/>
    <n v="279.27999999999997"/>
    <n v="88198"/>
  </r>
  <r>
    <n v="22196"/>
    <x v="2"/>
    <n v="0.06"/>
    <n v="17.98"/>
    <n v="4"/>
    <n v="618"/>
    <x v="191"/>
    <x v="2"/>
    <x v="3"/>
    <x v="2"/>
    <x v="13"/>
    <x v="3"/>
    <x v="49"/>
    <n v="0.79"/>
    <x v="0"/>
    <x v="0"/>
    <x v="21"/>
    <x v="171"/>
    <n v="81007"/>
    <x v="120"/>
    <d v="2015-03-25T00:00:00"/>
    <x v="324"/>
    <n v="4"/>
    <n v="70.06"/>
    <n v="88197"/>
  </r>
  <r>
    <n v="18490"/>
    <x v="1"/>
    <n v="0.06"/>
    <n v="5.38"/>
    <n v="5.24"/>
    <n v="618"/>
    <x v="191"/>
    <x v="0"/>
    <x v="3"/>
    <x v="0"/>
    <x v="8"/>
    <x v="3"/>
    <x v="255"/>
    <n v="0.36"/>
    <x v="0"/>
    <x v="0"/>
    <x v="21"/>
    <x v="171"/>
    <n v="81007"/>
    <x v="119"/>
    <d v="2015-04-30T00:00:00"/>
    <x v="325"/>
    <n v="14"/>
    <n v="81.819999999999993"/>
    <n v="88198"/>
  </r>
  <r>
    <n v="18491"/>
    <x v="1"/>
    <n v="0.03"/>
    <n v="7.35"/>
    <n v="5.96"/>
    <n v="618"/>
    <x v="191"/>
    <x v="2"/>
    <x v="3"/>
    <x v="0"/>
    <x v="7"/>
    <x v="3"/>
    <x v="256"/>
    <n v="0.38"/>
    <x v="0"/>
    <x v="0"/>
    <x v="21"/>
    <x v="171"/>
    <n v="81007"/>
    <x v="119"/>
    <d v="2015-04-30T00:00:00"/>
    <x v="326"/>
    <n v="1"/>
    <n v="13.16"/>
    <n v="88198"/>
  </r>
  <r>
    <n v="25539"/>
    <x v="2"/>
    <n v="0.03"/>
    <n v="14.2"/>
    <n v="5.3"/>
    <n v="619"/>
    <x v="192"/>
    <x v="2"/>
    <x v="3"/>
    <x v="1"/>
    <x v="2"/>
    <x v="0"/>
    <x v="257"/>
    <n v="0.46"/>
    <x v="0"/>
    <x v="2"/>
    <x v="22"/>
    <x v="172"/>
    <n v="48195"/>
    <x v="0"/>
    <d v="2015-01-08T00:00:00"/>
    <x v="327"/>
    <n v="14"/>
    <n v="205.98"/>
    <n v="88196"/>
  </r>
  <r>
    <n v="22248"/>
    <x v="3"/>
    <n v="0.1"/>
    <n v="6.88"/>
    <n v="2"/>
    <n v="621"/>
    <x v="193"/>
    <x v="2"/>
    <x v="1"/>
    <x v="0"/>
    <x v="7"/>
    <x v="0"/>
    <x v="232"/>
    <n v="0.39"/>
    <x v="0"/>
    <x v="1"/>
    <x v="18"/>
    <x v="80"/>
    <n v="6111"/>
    <x v="115"/>
    <d v="2015-02-27T00:00:00"/>
    <x v="328"/>
    <n v="5"/>
    <n v="31.46"/>
    <n v="91432"/>
  </r>
  <r>
    <n v="22247"/>
    <x v="3"/>
    <n v="0.06"/>
    <n v="195.99"/>
    <n v="8.99"/>
    <n v="622"/>
    <x v="194"/>
    <x v="2"/>
    <x v="1"/>
    <x v="2"/>
    <x v="5"/>
    <x v="3"/>
    <x v="258"/>
    <n v="0.6"/>
    <x v="0"/>
    <x v="1"/>
    <x v="14"/>
    <x v="113"/>
    <n v="4210"/>
    <x v="115"/>
    <d v="2015-02-28T00:00:00"/>
    <x v="329"/>
    <n v="6"/>
    <n v="948.97"/>
    <n v="91432"/>
  </r>
  <r>
    <n v="24880"/>
    <x v="0"/>
    <n v="0.05"/>
    <n v="6.48"/>
    <n v="8.4"/>
    <n v="623"/>
    <x v="195"/>
    <x v="2"/>
    <x v="1"/>
    <x v="0"/>
    <x v="7"/>
    <x v="3"/>
    <x v="259"/>
    <n v="0.37"/>
    <x v="0"/>
    <x v="1"/>
    <x v="16"/>
    <x v="173"/>
    <n v="3101"/>
    <x v="113"/>
    <d v="2015-04-03T00:00:00"/>
    <x v="330"/>
    <n v="21"/>
    <n v="136.99"/>
    <n v="91433"/>
  </r>
  <r>
    <n v="24881"/>
    <x v="0"/>
    <n v="0.05"/>
    <n v="55.99"/>
    <n v="5"/>
    <n v="624"/>
    <x v="196"/>
    <x v="2"/>
    <x v="1"/>
    <x v="2"/>
    <x v="5"/>
    <x v="2"/>
    <x v="241"/>
    <n v="0.8"/>
    <x v="0"/>
    <x v="1"/>
    <x v="9"/>
    <x v="174"/>
    <n v="5701"/>
    <x v="113"/>
    <d v="2015-04-01T00:00:00"/>
    <x v="331"/>
    <n v="2"/>
    <n v="99.36"/>
    <n v="91433"/>
  </r>
  <r>
    <n v="21718"/>
    <x v="3"/>
    <n v="0.02"/>
    <n v="419.19"/>
    <n v="19.989999999999998"/>
    <n v="627"/>
    <x v="197"/>
    <x v="2"/>
    <x v="0"/>
    <x v="0"/>
    <x v="10"/>
    <x v="3"/>
    <x v="260"/>
    <n v="0.57999999999999996"/>
    <x v="0"/>
    <x v="1"/>
    <x v="10"/>
    <x v="175"/>
    <n v="43952"/>
    <x v="109"/>
    <d v="2015-04-22T00:00:00"/>
    <x v="332"/>
    <n v="22"/>
    <n v="9580"/>
    <n v="90469"/>
  </r>
  <r>
    <n v="19364"/>
    <x v="0"/>
    <n v="0.01"/>
    <n v="2.08"/>
    <n v="5.33"/>
    <n v="635"/>
    <x v="198"/>
    <x v="2"/>
    <x v="0"/>
    <x v="1"/>
    <x v="2"/>
    <x v="3"/>
    <x v="261"/>
    <n v="0.43"/>
    <x v="0"/>
    <x v="2"/>
    <x v="3"/>
    <x v="176"/>
    <n v="55106"/>
    <x v="121"/>
    <d v="2015-04-05T00:00:00"/>
    <x v="333"/>
    <n v="12"/>
    <n v="28.32"/>
    <n v="89284"/>
  </r>
  <r>
    <n v="19365"/>
    <x v="0"/>
    <n v="0.03"/>
    <n v="370.98"/>
    <n v="99"/>
    <n v="635"/>
    <x v="198"/>
    <x v="1"/>
    <x v="0"/>
    <x v="0"/>
    <x v="10"/>
    <x v="1"/>
    <x v="262"/>
    <n v="0.65"/>
    <x v="0"/>
    <x v="2"/>
    <x v="3"/>
    <x v="176"/>
    <n v="55106"/>
    <x v="121"/>
    <d v="2015-04-06T00:00:00"/>
    <x v="334"/>
    <n v="6"/>
    <n v="2309.4899999999998"/>
    <n v="89284"/>
  </r>
  <r>
    <n v="19539"/>
    <x v="4"/>
    <n v="0.06"/>
    <n v="160.97999999999999"/>
    <n v="35.020000000000003"/>
    <n v="637"/>
    <x v="199"/>
    <x v="1"/>
    <x v="3"/>
    <x v="1"/>
    <x v="14"/>
    <x v="5"/>
    <x v="263"/>
    <n v="0.72"/>
    <x v="0"/>
    <x v="0"/>
    <x v="1"/>
    <x v="177"/>
    <n v="95051"/>
    <x v="80"/>
    <d v="2015-03-24T00:00:00"/>
    <x v="335"/>
    <n v="8"/>
    <n v="1232.01"/>
    <n v="87953"/>
  </r>
  <r>
    <n v="24387"/>
    <x v="2"/>
    <n v="0.06"/>
    <n v="65.989999999999995"/>
    <n v="8.8000000000000007"/>
    <n v="638"/>
    <x v="200"/>
    <x v="0"/>
    <x v="3"/>
    <x v="2"/>
    <x v="5"/>
    <x v="3"/>
    <x v="264"/>
    <n v="0.57999999999999996"/>
    <x v="0"/>
    <x v="0"/>
    <x v="1"/>
    <x v="178"/>
    <n v="95062"/>
    <x v="122"/>
    <d v="2015-05-01T00:00:00"/>
    <x v="336"/>
    <n v="9"/>
    <n v="506.38"/>
    <n v="87954"/>
  </r>
  <r>
    <n v="24388"/>
    <x v="2"/>
    <n v="0"/>
    <n v="195.99"/>
    <n v="4.2"/>
    <n v="638"/>
    <x v="200"/>
    <x v="0"/>
    <x v="3"/>
    <x v="2"/>
    <x v="5"/>
    <x v="3"/>
    <x v="265"/>
    <n v="0.56999999999999995"/>
    <x v="0"/>
    <x v="0"/>
    <x v="1"/>
    <x v="178"/>
    <n v="95062"/>
    <x v="122"/>
    <d v="2015-05-02T00:00:00"/>
    <x v="337"/>
    <n v="6"/>
    <n v="1042.72"/>
    <n v="87954"/>
  </r>
  <r>
    <n v="25893"/>
    <x v="1"/>
    <n v="0"/>
    <n v="236.97"/>
    <n v="59.24"/>
    <n v="639"/>
    <x v="201"/>
    <x v="1"/>
    <x v="3"/>
    <x v="1"/>
    <x v="11"/>
    <x v="5"/>
    <x v="266"/>
    <n v="0.61"/>
    <x v="0"/>
    <x v="0"/>
    <x v="1"/>
    <x v="179"/>
    <n v="93454"/>
    <x v="79"/>
    <d v="2015-02-15T00:00:00"/>
    <x v="338"/>
    <n v="9"/>
    <n v="1769.91"/>
    <n v="87952"/>
  </r>
  <r>
    <n v="7893"/>
    <x v="1"/>
    <n v="0"/>
    <n v="236.97"/>
    <n v="59.24"/>
    <n v="640"/>
    <x v="202"/>
    <x v="1"/>
    <x v="3"/>
    <x v="1"/>
    <x v="11"/>
    <x v="5"/>
    <x v="266"/>
    <n v="0.61"/>
    <x v="0"/>
    <x v="0"/>
    <x v="0"/>
    <x v="33"/>
    <n v="98119"/>
    <x v="79"/>
    <d v="2015-02-15T00:00:00"/>
    <x v="338"/>
    <n v="34"/>
    <n v="6686.34"/>
    <n v="56452"/>
  </r>
  <r>
    <n v="1539"/>
    <x v="4"/>
    <n v="0.06"/>
    <n v="160.97999999999999"/>
    <n v="35.020000000000003"/>
    <n v="640"/>
    <x v="202"/>
    <x v="1"/>
    <x v="3"/>
    <x v="1"/>
    <x v="14"/>
    <x v="5"/>
    <x v="263"/>
    <n v="0.72"/>
    <x v="0"/>
    <x v="0"/>
    <x v="0"/>
    <x v="33"/>
    <n v="98119"/>
    <x v="80"/>
    <d v="2015-03-24T00:00:00"/>
    <x v="335"/>
    <n v="30"/>
    <n v="4620.05"/>
    <n v="11077"/>
  </r>
  <r>
    <n v="6387"/>
    <x v="2"/>
    <n v="0.06"/>
    <n v="65.989999999999995"/>
    <n v="8.8000000000000007"/>
    <n v="640"/>
    <x v="202"/>
    <x v="0"/>
    <x v="3"/>
    <x v="2"/>
    <x v="5"/>
    <x v="3"/>
    <x v="264"/>
    <n v="0.57999999999999996"/>
    <x v="0"/>
    <x v="0"/>
    <x v="0"/>
    <x v="33"/>
    <n v="98119"/>
    <x v="122"/>
    <d v="2015-05-01T00:00:00"/>
    <x v="336"/>
    <n v="34"/>
    <n v="1912.98"/>
    <n v="45380"/>
  </r>
  <r>
    <n v="6388"/>
    <x v="2"/>
    <n v="0"/>
    <n v="195.99"/>
    <n v="4.2"/>
    <n v="640"/>
    <x v="202"/>
    <x v="0"/>
    <x v="3"/>
    <x v="2"/>
    <x v="5"/>
    <x v="3"/>
    <x v="265"/>
    <n v="0.56999999999999995"/>
    <x v="0"/>
    <x v="0"/>
    <x v="0"/>
    <x v="33"/>
    <n v="98119"/>
    <x v="122"/>
    <d v="2015-05-02T00:00:00"/>
    <x v="339"/>
    <n v="24"/>
    <n v="4170.87"/>
    <n v="45380"/>
  </r>
  <r>
    <n v="24869"/>
    <x v="4"/>
    <n v="0.03"/>
    <n v="51.75"/>
    <n v="19.989999999999998"/>
    <n v="646"/>
    <x v="203"/>
    <x v="2"/>
    <x v="0"/>
    <x v="1"/>
    <x v="2"/>
    <x v="3"/>
    <x v="267"/>
    <n v="0.55000000000000004"/>
    <x v="0"/>
    <x v="2"/>
    <x v="3"/>
    <x v="180"/>
    <n v="55379"/>
    <x v="77"/>
    <d v="2015-06-22T00:00:00"/>
    <x v="340"/>
    <n v="16"/>
    <n v="818.81"/>
    <n v="90735"/>
  </r>
  <r>
    <n v="21760"/>
    <x v="1"/>
    <n v="0.02"/>
    <n v="25.38"/>
    <n v="8.99"/>
    <n v="648"/>
    <x v="204"/>
    <x v="2"/>
    <x v="1"/>
    <x v="1"/>
    <x v="2"/>
    <x v="2"/>
    <x v="268"/>
    <n v="0.5"/>
    <x v="0"/>
    <x v="2"/>
    <x v="12"/>
    <x v="181"/>
    <n v="60440"/>
    <x v="123"/>
    <d v="2015-06-22T00:00:00"/>
    <x v="341"/>
    <n v="1"/>
    <n v="34.11"/>
    <n v="91365"/>
  </r>
  <r>
    <n v="23154"/>
    <x v="3"/>
    <n v="0.02"/>
    <n v="3.78"/>
    <n v="0.71"/>
    <n v="649"/>
    <x v="205"/>
    <x v="2"/>
    <x v="1"/>
    <x v="0"/>
    <x v="3"/>
    <x v="0"/>
    <x v="269"/>
    <n v="0.39"/>
    <x v="0"/>
    <x v="2"/>
    <x v="12"/>
    <x v="182"/>
    <n v="60089"/>
    <x v="124"/>
    <d v="2015-05-30T00:00:00"/>
    <x v="342"/>
    <n v="40"/>
    <n v="154.71"/>
    <n v="91366"/>
  </r>
  <r>
    <n v="24199"/>
    <x v="0"/>
    <n v="0.08"/>
    <n v="15.99"/>
    <n v="13.18"/>
    <n v="651"/>
    <x v="206"/>
    <x v="2"/>
    <x v="3"/>
    <x v="0"/>
    <x v="8"/>
    <x v="3"/>
    <x v="222"/>
    <n v="0.37"/>
    <x v="0"/>
    <x v="0"/>
    <x v="34"/>
    <x v="183"/>
    <n v="89115"/>
    <x v="0"/>
    <d v="2015-01-08T00:00:00"/>
    <x v="343"/>
    <n v="12"/>
    <n v="192.33"/>
    <n v="91575"/>
  </r>
  <r>
    <n v="23433"/>
    <x v="4"/>
    <n v="0.04"/>
    <n v="880.98"/>
    <n v="44.55"/>
    <n v="651"/>
    <x v="206"/>
    <x v="1"/>
    <x v="3"/>
    <x v="1"/>
    <x v="14"/>
    <x v="5"/>
    <x v="270"/>
    <n v="0.62"/>
    <x v="0"/>
    <x v="0"/>
    <x v="34"/>
    <x v="183"/>
    <n v="89115"/>
    <x v="2"/>
    <d v="2015-02-19T00:00:00"/>
    <x v="344"/>
    <n v="8"/>
    <n v="6901.25"/>
    <n v="91576"/>
  </r>
  <r>
    <n v="23434"/>
    <x v="4"/>
    <n v="7.0000000000000007E-2"/>
    <n v="13.4"/>
    <n v="4.95"/>
    <n v="651"/>
    <x v="206"/>
    <x v="2"/>
    <x v="3"/>
    <x v="1"/>
    <x v="2"/>
    <x v="2"/>
    <x v="271"/>
    <n v="0.37"/>
    <x v="0"/>
    <x v="0"/>
    <x v="34"/>
    <x v="183"/>
    <n v="89115"/>
    <x v="2"/>
    <d v="2015-02-20T00:00:00"/>
    <x v="345"/>
    <n v="11"/>
    <n v="148.94"/>
    <n v="91576"/>
  </r>
  <r>
    <n v="23435"/>
    <x v="4"/>
    <n v="0.01"/>
    <n v="15.99"/>
    <n v="11.28"/>
    <n v="651"/>
    <x v="206"/>
    <x v="2"/>
    <x v="3"/>
    <x v="2"/>
    <x v="6"/>
    <x v="4"/>
    <x v="187"/>
    <n v="0.38"/>
    <x v="0"/>
    <x v="0"/>
    <x v="34"/>
    <x v="183"/>
    <n v="89115"/>
    <x v="2"/>
    <d v="2015-02-22T00:00:00"/>
    <x v="346"/>
    <n v="12"/>
    <n v="200.68"/>
    <n v="91576"/>
  </r>
  <r>
    <n v="25055"/>
    <x v="1"/>
    <n v="0"/>
    <n v="2.78"/>
    <n v="1.49"/>
    <n v="653"/>
    <x v="207"/>
    <x v="0"/>
    <x v="3"/>
    <x v="0"/>
    <x v="8"/>
    <x v="3"/>
    <x v="272"/>
    <n v="0.36"/>
    <x v="0"/>
    <x v="0"/>
    <x v="1"/>
    <x v="184"/>
    <n v="91730"/>
    <x v="125"/>
    <d v="2015-04-17T00:00:00"/>
    <x v="347"/>
    <n v="9"/>
    <n v="29.92"/>
    <n v="91213"/>
  </r>
  <r>
    <n v="20874"/>
    <x v="2"/>
    <n v="0.1"/>
    <n v="18.97"/>
    <n v="9.0299999999999994"/>
    <n v="657"/>
    <x v="208"/>
    <x v="2"/>
    <x v="3"/>
    <x v="0"/>
    <x v="7"/>
    <x v="3"/>
    <x v="273"/>
    <n v="0.37"/>
    <x v="0"/>
    <x v="1"/>
    <x v="15"/>
    <x v="185"/>
    <n v="1540"/>
    <x v="71"/>
    <d v="2015-01-21T00:00:00"/>
    <x v="348"/>
    <n v="1"/>
    <n v="19.73"/>
    <n v="91212"/>
  </r>
  <r>
    <n v="20875"/>
    <x v="2"/>
    <n v="0"/>
    <n v="119.99"/>
    <n v="56.14"/>
    <n v="659"/>
    <x v="209"/>
    <x v="1"/>
    <x v="3"/>
    <x v="2"/>
    <x v="6"/>
    <x v="5"/>
    <x v="102"/>
    <n v="0.39"/>
    <x v="0"/>
    <x v="1"/>
    <x v="9"/>
    <x v="186"/>
    <n v="5403"/>
    <x v="71"/>
    <d v="2015-01-20T00:00:00"/>
    <x v="349"/>
    <n v="5"/>
    <n v="615.54"/>
    <n v="91212"/>
  </r>
  <r>
    <n v="23487"/>
    <x v="2"/>
    <n v="0.02"/>
    <n v="14.58"/>
    <n v="7.4"/>
    <n v="663"/>
    <x v="210"/>
    <x v="2"/>
    <x v="1"/>
    <x v="1"/>
    <x v="2"/>
    <x v="3"/>
    <x v="274"/>
    <n v="0.48"/>
    <x v="0"/>
    <x v="1"/>
    <x v="10"/>
    <x v="175"/>
    <n v="43952"/>
    <x v="124"/>
    <d v="2015-06-01T00:00:00"/>
    <x v="350"/>
    <n v="17"/>
    <n v="261.33999999999997"/>
    <n v="90922"/>
  </r>
  <r>
    <n v="21086"/>
    <x v="4"/>
    <n v="0.04"/>
    <n v="22.72"/>
    <n v="8.99"/>
    <n v="665"/>
    <x v="211"/>
    <x v="2"/>
    <x v="0"/>
    <x v="1"/>
    <x v="2"/>
    <x v="2"/>
    <x v="275"/>
    <n v="0.44"/>
    <x v="0"/>
    <x v="3"/>
    <x v="20"/>
    <x v="142"/>
    <n v="37130"/>
    <x v="59"/>
    <d v="2015-01-20T00:00:00"/>
    <x v="351"/>
    <n v="9"/>
    <n v="202.41"/>
    <n v="88677"/>
  </r>
  <r>
    <n v="18667"/>
    <x v="2"/>
    <n v="0.02"/>
    <n v="130.97999999999999"/>
    <n v="30"/>
    <n v="665"/>
    <x v="211"/>
    <x v="1"/>
    <x v="0"/>
    <x v="1"/>
    <x v="1"/>
    <x v="1"/>
    <x v="185"/>
    <n v="0.78"/>
    <x v="0"/>
    <x v="3"/>
    <x v="20"/>
    <x v="142"/>
    <n v="37130"/>
    <x v="106"/>
    <d v="2015-04-19T00:00:00"/>
    <x v="352"/>
    <n v="6"/>
    <n v="793.39"/>
    <n v="88678"/>
  </r>
  <r>
    <n v="24776"/>
    <x v="4"/>
    <n v="0.02"/>
    <n v="4.57"/>
    <n v="5.42"/>
    <n v="666"/>
    <x v="212"/>
    <x v="2"/>
    <x v="0"/>
    <x v="0"/>
    <x v="8"/>
    <x v="3"/>
    <x v="276"/>
    <n v="0.37"/>
    <x v="0"/>
    <x v="3"/>
    <x v="20"/>
    <x v="187"/>
    <n v="37211"/>
    <x v="126"/>
    <d v="2015-04-26T00:00:00"/>
    <x v="353"/>
    <n v="11"/>
    <n v="54.04"/>
    <n v="88679"/>
  </r>
  <r>
    <n v="3086"/>
    <x v="4"/>
    <n v="0.04"/>
    <n v="22.72"/>
    <n v="8.99"/>
    <n v="667"/>
    <x v="213"/>
    <x v="2"/>
    <x v="0"/>
    <x v="1"/>
    <x v="2"/>
    <x v="2"/>
    <x v="275"/>
    <n v="0.44"/>
    <x v="0"/>
    <x v="2"/>
    <x v="7"/>
    <x v="188"/>
    <n v="75203"/>
    <x v="59"/>
    <d v="2015-01-20T00:00:00"/>
    <x v="354"/>
    <n v="37"/>
    <n v="832.14"/>
    <n v="22147"/>
  </r>
  <r>
    <n v="6776"/>
    <x v="4"/>
    <n v="0.02"/>
    <n v="4.57"/>
    <n v="5.42"/>
    <n v="667"/>
    <x v="213"/>
    <x v="2"/>
    <x v="0"/>
    <x v="0"/>
    <x v="8"/>
    <x v="3"/>
    <x v="276"/>
    <n v="0.37"/>
    <x v="0"/>
    <x v="2"/>
    <x v="7"/>
    <x v="188"/>
    <n v="75203"/>
    <x v="126"/>
    <d v="2015-04-26T00:00:00"/>
    <x v="355"/>
    <n v="45"/>
    <n v="221.06"/>
    <n v="48257"/>
  </r>
  <r>
    <n v="24882"/>
    <x v="3"/>
    <n v="0.09"/>
    <n v="2.89"/>
    <n v="0.5"/>
    <n v="669"/>
    <x v="214"/>
    <x v="2"/>
    <x v="1"/>
    <x v="0"/>
    <x v="9"/>
    <x v="3"/>
    <x v="277"/>
    <n v="0.38"/>
    <x v="0"/>
    <x v="2"/>
    <x v="25"/>
    <x v="189"/>
    <n v="52501"/>
    <x v="80"/>
    <d v="2015-03-22T00:00:00"/>
    <x v="356"/>
    <n v="22"/>
    <n v="58.67"/>
    <n v="88475"/>
  </r>
  <r>
    <n v="24883"/>
    <x v="3"/>
    <n v="0.02"/>
    <n v="48.91"/>
    <n v="5.81"/>
    <n v="669"/>
    <x v="214"/>
    <x v="2"/>
    <x v="1"/>
    <x v="0"/>
    <x v="7"/>
    <x v="3"/>
    <x v="278"/>
    <n v="0.38"/>
    <x v="0"/>
    <x v="2"/>
    <x v="25"/>
    <x v="189"/>
    <n v="52501"/>
    <x v="80"/>
    <d v="2015-03-21T00:00:00"/>
    <x v="357"/>
    <n v="2"/>
    <n v="101.06"/>
    <n v="88475"/>
  </r>
  <r>
    <n v="18808"/>
    <x v="4"/>
    <n v="0.08"/>
    <n v="296.18"/>
    <n v="54.12"/>
    <n v="670"/>
    <x v="215"/>
    <x v="1"/>
    <x v="1"/>
    <x v="1"/>
    <x v="11"/>
    <x v="5"/>
    <x v="37"/>
    <n v="0.76"/>
    <x v="0"/>
    <x v="3"/>
    <x v="8"/>
    <x v="148"/>
    <n v="22025"/>
    <x v="93"/>
    <d v="2015-03-12T00:00:00"/>
    <x v="358"/>
    <n v="5"/>
    <n v="1429.81"/>
    <n v="88474"/>
  </r>
  <r>
    <n v="19423"/>
    <x v="4"/>
    <n v="7.0000000000000007E-2"/>
    <n v="2.88"/>
    <n v="1.01"/>
    <n v="672"/>
    <x v="216"/>
    <x v="2"/>
    <x v="2"/>
    <x v="0"/>
    <x v="0"/>
    <x v="0"/>
    <x v="279"/>
    <n v="0.55000000000000004"/>
    <x v="0"/>
    <x v="2"/>
    <x v="25"/>
    <x v="63"/>
    <n v="50208"/>
    <x v="64"/>
    <d v="2015-02-09T00:00:00"/>
    <x v="359"/>
    <n v="12"/>
    <n v="34.97"/>
    <n v="88173"/>
  </r>
  <r>
    <n v="19424"/>
    <x v="4"/>
    <n v="0.1"/>
    <n v="195.99"/>
    <n v="3.99"/>
    <n v="672"/>
    <x v="216"/>
    <x v="2"/>
    <x v="2"/>
    <x v="2"/>
    <x v="5"/>
    <x v="3"/>
    <x v="280"/>
    <n v="0.57999999999999996"/>
    <x v="0"/>
    <x v="2"/>
    <x v="25"/>
    <x v="63"/>
    <n v="50208"/>
    <x v="64"/>
    <d v="2015-02-12T00:00:00"/>
    <x v="360"/>
    <n v="2"/>
    <n v="308.86"/>
    <n v="88173"/>
  </r>
  <r>
    <n v="25059"/>
    <x v="2"/>
    <n v="0.06"/>
    <n v="161.55000000000001"/>
    <n v="19.989999999999998"/>
    <n v="674"/>
    <x v="217"/>
    <x v="2"/>
    <x v="2"/>
    <x v="0"/>
    <x v="10"/>
    <x v="3"/>
    <x v="40"/>
    <n v="0.66"/>
    <x v="0"/>
    <x v="2"/>
    <x v="33"/>
    <x v="190"/>
    <n v="64133"/>
    <x v="22"/>
    <d v="2015-01-03T00:00:00"/>
    <x v="361"/>
    <n v="3"/>
    <n v="485.01"/>
    <n v="88174"/>
  </r>
  <r>
    <n v="19326"/>
    <x v="3"/>
    <n v="0.04"/>
    <n v="15.42"/>
    <n v="10.68"/>
    <n v="678"/>
    <x v="218"/>
    <x v="0"/>
    <x v="0"/>
    <x v="0"/>
    <x v="10"/>
    <x v="3"/>
    <x v="144"/>
    <n v="0.57999999999999996"/>
    <x v="0"/>
    <x v="3"/>
    <x v="8"/>
    <x v="191"/>
    <n v="24281"/>
    <x v="126"/>
    <d v="2015-04-23T00:00:00"/>
    <x v="362"/>
    <n v="5"/>
    <n v="81.14"/>
    <n v="88889"/>
  </r>
  <r>
    <n v="21609"/>
    <x v="3"/>
    <n v="0.01"/>
    <n v="3.95"/>
    <n v="5.13"/>
    <n v="679"/>
    <x v="219"/>
    <x v="2"/>
    <x v="0"/>
    <x v="0"/>
    <x v="15"/>
    <x v="3"/>
    <x v="281"/>
    <n v="0.59"/>
    <x v="0"/>
    <x v="0"/>
    <x v="0"/>
    <x v="192"/>
    <n v="98387"/>
    <x v="30"/>
    <d v="2015-03-05T00:00:00"/>
    <x v="363"/>
    <n v="2"/>
    <n v="10.11"/>
    <n v="88890"/>
  </r>
  <r>
    <n v="21610"/>
    <x v="3"/>
    <n v="0.02"/>
    <n v="367.99"/>
    <n v="19.989999999999998"/>
    <n v="679"/>
    <x v="219"/>
    <x v="2"/>
    <x v="0"/>
    <x v="0"/>
    <x v="8"/>
    <x v="3"/>
    <x v="282"/>
    <n v="0.4"/>
    <x v="0"/>
    <x v="0"/>
    <x v="0"/>
    <x v="192"/>
    <n v="98387"/>
    <x v="30"/>
    <d v="2015-03-05T00:00:00"/>
    <x v="364"/>
    <n v="17"/>
    <n v="6621.17"/>
    <n v="88890"/>
  </r>
  <r>
    <n v="21612"/>
    <x v="3"/>
    <n v="0.04"/>
    <n v="95.99"/>
    <n v="4.9000000000000004"/>
    <n v="680"/>
    <x v="220"/>
    <x v="2"/>
    <x v="0"/>
    <x v="2"/>
    <x v="5"/>
    <x v="3"/>
    <x v="75"/>
    <n v="0.56000000000000005"/>
    <x v="0"/>
    <x v="0"/>
    <x v="0"/>
    <x v="193"/>
    <n v="99207"/>
    <x v="30"/>
    <d v="2015-03-06T00:00:00"/>
    <x v="365"/>
    <n v="3"/>
    <n v="253.78"/>
    <n v="88890"/>
  </r>
  <r>
    <n v="18555"/>
    <x v="3"/>
    <n v="0.06"/>
    <n v="17.670000000000002"/>
    <n v="8.99"/>
    <n v="683"/>
    <x v="221"/>
    <x v="0"/>
    <x v="2"/>
    <x v="1"/>
    <x v="2"/>
    <x v="2"/>
    <x v="283"/>
    <n v="0.47"/>
    <x v="0"/>
    <x v="2"/>
    <x v="32"/>
    <x v="194"/>
    <n v="68046"/>
    <x v="74"/>
    <d v="2015-04-08T00:00:00"/>
    <x v="366"/>
    <n v="4"/>
    <n v="69.959999999999994"/>
    <n v="87765"/>
  </r>
  <r>
    <n v="21411"/>
    <x v="2"/>
    <n v="7.0000000000000007E-2"/>
    <n v="279.48"/>
    <n v="35"/>
    <n v="688"/>
    <x v="222"/>
    <x v="2"/>
    <x v="2"/>
    <x v="0"/>
    <x v="10"/>
    <x v="6"/>
    <x v="284"/>
    <n v="0.8"/>
    <x v="0"/>
    <x v="2"/>
    <x v="33"/>
    <x v="195"/>
    <n v="63116"/>
    <x v="41"/>
    <d v="2015-05-16T00:00:00"/>
    <x v="367"/>
    <n v="10"/>
    <n v="2716.09"/>
    <n v="88503"/>
  </r>
  <r>
    <n v="19325"/>
    <x v="4"/>
    <n v="0.06"/>
    <n v="4.18"/>
    <n v="2.99"/>
    <n v="688"/>
    <x v="222"/>
    <x v="2"/>
    <x v="2"/>
    <x v="0"/>
    <x v="8"/>
    <x v="3"/>
    <x v="285"/>
    <n v="0.37"/>
    <x v="0"/>
    <x v="2"/>
    <x v="33"/>
    <x v="195"/>
    <n v="63116"/>
    <x v="127"/>
    <d v="2015-03-08T00:00:00"/>
    <x v="368"/>
    <n v="5"/>
    <n v="21.34"/>
    <n v="88504"/>
  </r>
  <r>
    <n v="26321"/>
    <x v="3"/>
    <n v="7.0000000000000007E-2"/>
    <n v="1.7"/>
    <n v="1.99"/>
    <n v="689"/>
    <x v="223"/>
    <x v="2"/>
    <x v="2"/>
    <x v="2"/>
    <x v="13"/>
    <x v="2"/>
    <x v="286"/>
    <n v="0.51"/>
    <x v="0"/>
    <x v="2"/>
    <x v="33"/>
    <x v="196"/>
    <n v="63376"/>
    <x v="128"/>
    <d v="2015-02-05T00:00:00"/>
    <x v="369"/>
    <n v="10"/>
    <n v="17.420000000000002"/>
    <n v="88502"/>
  </r>
  <r>
    <n v="19933"/>
    <x v="0"/>
    <n v="0.09"/>
    <n v="6.48"/>
    <n v="6.35"/>
    <n v="691"/>
    <x v="224"/>
    <x v="2"/>
    <x v="1"/>
    <x v="0"/>
    <x v="7"/>
    <x v="3"/>
    <x v="287"/>
    <n v="0.37"/>
    <x v="0"/>
    <x v="0"/>
    <x v="0"/>
    <x v="197"/>
    <n v="98408"/>
    <x v="68"/>
    <d v="2015-03-22T00:00:00"/>
    <x v="370"/>
    <n v="8"/>
    <n v="49.81"/>
    <n v="89915"/>
  </r>
  <r>
    <n v="19400"/>
    <x v="4"/>
    <n v="0.02"/>
    <n v="500.98"/>
    <n v="41.44"/>
    <n v="693"/>
    <x v="225"/>
    <x v="1"/>
    <x v="2"/>
    <x v="1"/>
    <x v="14"/>
    <x v="5"/>
    <x v="288"/>
    <n v="0.66"/>
    <x v="0"/>
    <x v="0"/>
    <x v="21"/>
    <x v="198"/>
    <n v="80229"/>
    <x v="78"/>
    <d v="2015-03-25T00:00:00"/>
    <x v="371"/>
    <n v="7"/>
    <n v="3722.41"/>
    <n v="87811"/>
  </r>
  <r>
    <n v="18736"/>
    <x v="4"/>
    <n v="0.09"/>
    <n v="5.34"/>
    <n v="2.99"/>
    <n v="693"/>
    <x v="225"/>
    <x v="0"/>
    <x v="2"/>
    <x v="0"/>
    <x v="8"/>
    <x v="3"/>
    <x v="289"/>
    <n v="0.38"/>
    <x v="0"/>
    <x v="0"/>
    <x v="21"/>
    <x v="198"/>
    <n v="80229"/>
    <x v="129"/>
    <d v="2015-03-15T00:00:00"/>
    <x v="372"/>
    <n v="17"/>
    <n v="95.1"/>
    <n v="87812"/>
  </r>
  <r>
    <n v="18737"/>
    <x v="4"/>
    <n v="7.0000000000000007E-2"/>
    <n v="140.97999999999999"/>
    <n v="53.48"/>
    <n v="693"/>
    <x v="225"/>
    <x v="1"/>
    <x v="2"/>
    <x v="1"/>
    <x v="14"/>
    <x v="5"/>
    <x v="290"/>
    <n v="0.65"/>
    <x v="0"/>
    <x v="0"/>
    <x v="21"/>
    <x v="198"/>
    <n v="80229"/>
    <x v="129"/>
    <d v="2015-03-15T00:00:00"/>
    <x v="373"/>
    <n v="5"/>
    <n v="734.74"/>
    <n v="87812"/>
  </r>
  <r>
    <n v="18738"/>
    <x v="4"/>
    <n v="0.06"/>
    <n v="205.99"/>
    <n v="5.26"/>
    <n v="693"/>
    <x v="225"/>
    <x v="2"/>
    <x v="2"/>
    <x v="2"/>
    <x v="5"/>
    <x v="3"/>
    <x v="291"/>
    <n v="0.56000000000000005"/>
    <x v="0"/>
    <x v="0"/>
    <x v="21"/>
    <x v="198"/>
    <n v="80229"/>
    <x v="129"/>
    <d v="2015-03-15T00:00:00"/>
    <x v="374"/>
    <n v="11"/>
    <n v="1882.87"/>
    <n v="87812"/>
  </r>
  <r>
    <n v="18810"/>
    <x v="0"/>
    <n v="0"/>
    <n v="230.98"/>
    <n v="23.78"/>
    <n v="693"/>
    <x v="225"/>
    <x v="1"/>
    <x v="2"/>
    <x v="1"/>
    <x v="11"/>
    <x v="5"/>
    <x v="292"/>
    <n v="0.6"/>
    <x v="0"/>
    <x v="0"/>
    <x v="21"/>
    <x v="198"/>
    <n v="80229"/>
    <x v="130"/>
    <d v="2015-05-07T00:00:00"/>
    <x v="375"/>
    <n v="36"/>
    <n v="8834.58"/>
    <n v="87813"/>
  </r>
  <r>
    <n v="22613"/>
    <x v="3"/>
    <n v="0.06"/>
    <n v="8.1199999999999992"/>
    <n v="2.83"/>
    <n v="696"/>
    <x v="226"/>
    <x v="2"/>
    <x v="0"/>
    <x v="2"/>
    <x v="13"/>
    <x v="2"/>
    <x v="293"/>
    <n v="0.77"/>
    <x v="0"/>
    <x v="2"/>
    <x v="38"/>
    <x v="199"/>
    <n v="46307"/>
    <x v="12"/>
    <d v="2015-03-28T00:00:00"/>
    <x v="376"/>
    <n v="10"/>
    <n v="78.540000000000006"/>
    <n v="89847"/>
  </r>
  <r>
    <n v="22614"/>
    <x v="3"/>
    <n v="0.05"/>
    <n v="51.65"/>
    <n v="18.45"/>
    <n v="696"/>
    <x v="226"/>
    <x v="2"/>
    <x v="0"/>
    <x v="1"/>
    <x v="2"/>
    <x v="4"/>
    <x v="294"/>
    <n v="0.65"/>
    <x v="0"/>
    <x v="2"/>
    <x v="38"/>
    <x v="199"/>
    <n v="46307"/>
    <x v="12"/>
    <d v="2015-03-28T00:00:00"/>
    <x v="377"/>
    <n v="12"/>
    <n v="605.1"/>
    <n v="89847"/>
  </r>
  <r>
    <n v="19225"/>
    <x v="4"/>
    <n v="0.1"/>
    <n v="40.479999999999997"/>
    <n v="19.989999999999998"/>
    <n v="696"/>
    <x v="226"/>
    <x v="2"/>
    <x v="0"/>
    <x v="2"/>
    <x v="13"/>
    <x v="3"/>
    <x v="295"/>
    <n v="0.77"/>
    <x v="0"/>
    <x v="2"/>
    <x v="38"/>
    <x v="199"/>
    <n v="46307"/>
    <x v="74"/>
    <d v="2015-04-09T00:00:00"/>
    <x v="378"/>
    <n v="9"/>
    <n v="355.84"/>
    <n v="89848"/>
  </r>
  <r>
    <n v="22616"/>
    <x v="3"/>
    <n v="0.1"/>
    <n v="175.99"/>
    <n v="8.99"/>
    <n v="697"/>
    <x v="227"/>
    <x v="2"/>
    <x v="0"/>
    <x v="2"/>
    <x v="5"/>
    <x v="3"/>
    <x v="44"/>
    <n v="0.56999999999999995"/>
    <x v="0"/>
    <x v="2"/>
    <x v="38"/>
    <x v="200"/>
    <n v="46312"/>
    <x v="12"/>
    <d v="2015-03-28T00:00:00"/>
    <x v="379"/>
    <n v="10"/>
    <n v="1346.32"/>
    <n v="89847"/>
  </r>
  <r>
    <n v="25480"/>
    <x v="2"/>
    <n v="0.08"/>
    <n v="14.81"/>
    <n v="13.32"/>
    <n v="697"/>
    <x v="227"/>
    <x v="2"/>
    <x v="0"/>
    <x v="0"/>
    <x v="15"/>
    <x v="3"/>
    <x v="296"/>
    <n v="0.43"/>
    <x v="0"/>
    <x v="2"/>
    <x v="38"/>
    <x v="200"/>
    <n v="46312"/>
    <x v="131"/>
    <d v="2015-02-09T00:00:00"/>
    <x v="380"/>
    <n v="20"/>
    <n v="292.18"/>
    <n v="89849"/>
  </r>
  <r>
    <n v="4613"/>
    <x v="3"/>
    <n v="0.06"/>
    <n v="8.1199999999999992"/>
    <n v="2.83"/>
    <n v="698"/>
    <x v="228"/>
    <x v="2"/>
    <x v="0"/>
    <x v="2"/>
    <x v="13"/>
    <x v="2"/>
    <x v="293"/>
    <n v="0.77"/>
    <x v="0"/>
    <x v="0"/>
    <x v="0"/>
    <x v="33"/>
    <n v="98105"/>
    <x v="12"/>
    <d v="2015-03-28T00:00:00"/>
    <x v="376"/>
    <n v="41"/>
    <n v="322.02999999999997"/>
    <n v="32869"/>
  </r>
  <r>
    <n v="4614"/>
    <x v="3"/>
    <n v="0.05"/>
    <n v="51.65"/>
    <n v="18.45"/>
    <n v="698"/>
    <x v="228"/>
    <x v="2"/>
    <x v="0"/>
    <x v="1"/>
    <x v="2"/>
    <x v="4"/>
    <x v="294"/>
    <n v="0.65"/>
    <x v="0"/>
    <x v="0"/>
    <x v="0"/>
    <x v="33"/>
    <n v="98105"/>
    <x v="12"/>
    <d v="2015-03-28T00:00:00"/>
    <x v="377"/>
    <n v="49"/>
    <n v="2470.84"/>
    <n v="32869"/>
  </r>
  <r>
    <n v="4616"/>
    <x v="3"/>
    <n v="0.1"/>
    <n v="175.99"/>
    <n v="8.99"/>
    <n v="698"/>
    <x v="228"/>
    <x v="2"/>
    <x v="0"/>
    <x v="2"/>
    <x v="5"/>
    <x v="3"/>
    <x v="44"/>
    <n v="0.56999999999999995"/>
    <x v="0"/>
    <x v="0"/>
    <x v="0"/>
    <x v="33"/>
    <n v="98105"/>
    <x v="12"/>
    <d v="2015-03-28T00:00:00"/>
    <x v="381"/>
    <n v="39"/>
    <n v="5250.66"/>
    <n v="32869"/>
  </r>
  <r>
    <n v="1225"/>
    <x v="4"/>
    <n v="0.1"/>
    <n v="40.479999999999997"/>
    <n v="19.989999999999998"/>
    <n v="698"/>
    <x v="228"/>
    <x v="2"/>
    <x v="0"/>
    <x v="2"/>
    <x v="13"/>
    <x v="3"/>
    <x v="295"/>
    <n v="0.77"/>
    <x v="0"/>
    <x v="0"/>
    <x v="0"/>
    <x v="33"/>
    <n v="98105"/>
    <x v="74"/>
    <d v="2015-04-09T00:00:00"/>
    <x v="378"/>
    <n v="36"/>
    <n v="1423.35"/>
    <n v="8994"/>
  </r>
  <r>
    <n v="7480"/>
    <x v="2"/>
    <n v="0.08"/>
    <n v="14.81"/>
    <n v="13.32"/>
    <n v="698"/>
    <x v="228"/>
    <x v="2"/>
    <x v="0"/>
    <x v="0"/>
    <x v="15"/>
    <x v="3"/>
    <x v="296"/>
    <n v="0.43"/>
    <x v="0"/>
    <x v="0"/>
    <x v="0"/>
    <x v="33"/>
    <n v="98105"/>
    <x v="131"/>
    <d v="2015-02-09T00:00:00"/>
    <x v="382"/>
    <n v="79"/>
    <n v="1154.1199999999999"/>
    <n v="53410"/>
  </r>
  <r>
    <n v="6289"/>
    <x v="3"/>
    <n v="0.03"/>
    <n v="5.28"/>
    <n v="5.61"/>
    <n v="699"/>
    <x v="229"/>
    <x v="2"/>
    <x v="3"/>
    <x v="0"/>
    <x v="7"/>
    <x v="3"/>
    <x v="297"/>
    <n v="0.4"/>
    <x v="0"/>
    <x v="0"/>
    <x v="1"/>
    <x v="154"/>
    <n v="90041"/>
    <x v="45"/>
    <d v="2015-04-24T00:00:00"/>
    <x v="383"/>
    <n v="5"/>
    <n v="32.5"/>
    <n v="44517"/>
  </r>
  <r>
    <n v="7733"/>
    <x v="2"/>
    <n v="0.02"/>
    <n v="6.47"/>
    <n v="1.22"/>
    <n v="699"/>
    <x v="229"/>
    <x v="2"/>
    <x v="3"/>
    <x v="0"/>
    <x v="0"/>
    <x v="0"/>
    <x v="298"/>
    <n v="0.4"/>
    <x v="0"/>
    <x v="0"/>
    <x v="1"/>
    <x v="154"/>
    <n v="90041"/>
    <x v="132"/>
    <d v="2015-06-07T00:00:00"/>
    <x v="384"/>
    <n v="30"/>
    <n v="193.95"/>
    <n v="55392"/>
  </r>
  <r>
    <n v="7734"/>
    <x v="2"/>
    <n v="7.0000000000000007E-2"/>
    <n v="2.84"/>
    <n v="0.93"/>
    <n v="699"/>
    <x v="229"/>
    <x v="2"/>
    <x v="3"/>
    <x v="0"/>
    <x v="0"/>
    <x v="0"/>
    <x v="0"/>
    <n v="0.54"/>
    <x v="0"/>
    <x v="0"/>
    <x v="1"/>
    <x v="154"/>
    <n v="90041"/>
    <x v="132"/>
    <d v="2015-06-08T00:00:00"/>
    <x v="385"/>
    <n v="59"/>
    <n v="158.80000000000001"/>
    <n v="55392"/>
  </r>
  <r>
    <n v="5140"/>
    <x v="0"/>
    <n v="0.01"/>
    <n v="7.89"/>
    <n v="2.82"/>
    <n v="699"/>
    <x v="229"/>
    <x v="2"/>
    <x v="3"/>
    <x v="0"/>
    <x v="3"/>
    <x v="0"/>
    <x v="299"/>
    <n v="0.4"/>
    <x v="0"/>
    <x v="0"/>
    <x v="1"/>
    <x v="154"/>
    <n v="90041"/>
    <x v="133"/>
    <d v="2015-07-01T00:00:00"/>
    <x v="386"/>
    <n v="32"/>
    <n v="274.26"/>
    <n v="36647"/>
  </r>
  <r>
    <n v="5141"/>
    <x v="0"/>
    <n v="0.09"/>
    <n v="3.68"/>
    <n v="1.32"/>
    <n v="699"/>
    <x v="229"/>
    <x v="2"/>
    <x v="3"/>
    <x v="0"/>
    <x v="12"/>
    <x v="0"/>
    <x v="300"/>
    <n v="0.83"/>
    <x v="0"/>
    <x v="0"/>
    <x v="1"/>
    <x v="154"/>
    <n v="90041"/>
    <x v="133"/>
    <d v="2015-07-01T00:00:00"/>
    <x v="387"/>
    <n v="24"/>
    <n v="83.16"/>
    <n v="36647"/>
  </r>
  <r>
    <n v="5142"/>
    <x v="0"/>
    <n v="0.1"/>
    <n v="9.7100000000000009"/>
    <n v="9.4499999999999993"/>
    <n v="699"/>
    <x v="229"/>
    <x v="2"/>
    <x v="3"/>
    <x v="0"/>
    <x v="10"/>
    <x v="3"/>
    <x v="173"/>
    <n v="0.6"/>
    <x v="0"/>
    <x v="0"/>
    <x v="1"/>
    <x v="154"/>
    <n v="90041"/>
    <x v="133"/>
    <d v="2015-07-03T00:00:00"/>
    <x v="388"/>
    <n v="27"/>
    <n v="261.93"/>
    <n v="36647"/>
  </r>
  <r>
    <n v="4556"/>
    <x v="3"/>
    <n v="7.0000000000000007E-2"/>
    <n v="5.0199999999999996"/>
    <n v="5.14"/>
    <n v="699"/>
    <x v="229"/>
    <x v="2"/>
    <x v="3"/>
    <x v="2"/>
    <x v="13"/>
    <x v="2"/>
    <x v="301"/>
    <n v="0.79"/>
    <x v="0"/>
    <x v="0"/>
    <x v="1"/>
    <x v="154"/>
    <n v="90041"/>
    <x v="134"/>
    <d v="2015-01-31T00:00:00"/>
    <x v="389"/>
    <n v="42"/>
    <n v="210.1"/>
    <n v="32420"/>
  </r>
  <r>
    <n v="4557"/>
    <x v="3"/>
    <n v="7.0000000000000007E-2"/>
    <n v="280.98"/>
    <n v="57"/>
    <n v="699"/>
    <x v="229"/>
    <x v="1"/>
    <x v="3"/>
    <x v="1"/>
    <x v="1"/>
    <x v="1"/>
    <x v="234"/>
    <n v="0.78"/>
    <x v="0"/>
    <x v="0"/>
    <x v="1"/>
    <x v="154"/>
    <n v="90041"/>
    <x v="134"/>
    <d v="2015-01-31T00:00:00"/>
    <x v="390"/>
    <n v="23"/>
    <n v="6499.87"/>
    <n v="32420"/>
  </r>
  <r>
    <n v="448"/>
    <x v="3"/>
    <n v="0.1"/>
    <n v="4.26"/>
    <n v="1.2"/>
    <n v="699"/>
    <x v="229"/>
    <x v="2"/>
    <x v="3"/>
    <x v="0"/>
    <x v="0"/>
    <x v="0"/>
    <x v="54"/>
    <n v="0.44"/>
    <x v="0"/>
    <x v="0"/>
    <x v="1"/>
    <x v="154"/>
    <n v="90041"/>
    <x v="135"/>
    <d v="2015-05-21T00:00:00"/>
    <x v="391"/>
    <n v="88"/>
    <n v="351.56"/>
    <n v="3042"/>
  </r>
  <r>
    <n v="18448"/>
    <x v="3"/>
    <n v="0.1"/>
    <n v="4.26"/>
    <n v="1.2"/>
    <n v="700"/>
    <x v="230"/>
    <x v="2"/>
    <x v="3"/>
    <x v="0"/>
    <x v="0"/>
    <x v="0"/>
    <x v="54"/>
    <n v="0.44"/>
    <x v="0"/>
    <x v="0"/>
    <x v="1"/>
    <x v="179"/>
    <n v="93454"/>
    <x v="135"/>
    <d v="2015-05-21T00:00:00"/>
    <x v="392"/>
    <n v="22"/>
    <n v="87.89"/>
    <n v="87980"/>
  </r>
  <r>
    <n v="24289"/>
    <x v="3"/>
    <n v="0.03"/>
    <n v="5.28"/>
    <n v="5.61"/>
    <n v="702"/>
    <x v="231"/>
    <x v="2"/>
    <x v="3"/>
    <x v="0"/>
    <x v="7"/>
    <x v="3"/>
    <x v="297"/>
    <n v="0.4"/>
    <x v="0"/>
    <x v="0"/>
    <x v="1"/>
    <x v="201"/>
    <n v="95404"/>
    <x v="45"/>
    <d v="2015-04-24T00:00:00"/>
    <x v="383"/>
    <n v="1"/>
    <n v="6.5"/>
    <n v="87977"/>
  </r>
  <r>
    <n v="23140"/>
    <x v="0"/>
    <n v="0.01"/>
    <n v="7.89"/>
    <n v="2.82"/>
    <n v="702"/>
    <x v="231"/>
    <x v="2"/>
    <x v="3"/>
    <x v="0"/>
    <x v="3"/>
    <x v="0"/>
    <x v="299"/>
    <n v="0.4"/>
    <x v="0"/>
    <x v="0"/>
    <x v="1"/>
    <x v="201"/>
    <n v="95404"/>
    <x v="133"/>
    <d v="2015-07-01T00:00:00"/>
    <x v="393"/>
    <n v="8"/>
    <n v="68.56"/>
    <n v="87979"/>
  </r>
  <r>
    <n v="23141"/>
    <x v="0"/>
    <n v="0.09"/>
    <n v="3.68"/>
    <n v="1.32"/>
    <n v="702"/>
    <x v="231"/>
    <x v="2"/>
    <x v="3"/>
    <x v="0"/>
    <x v="12"/>
    <x v="0"/>
    <x v="300"/>
    <n v="0.83"/>
    <x v="0"/>
    <x v="0"/>
    <x v="1"/>
    <x v="201"/>
    <n v="95404"/>
    <x v="133"/>
    <d v="2015-07-01T00:00:00"/>
    <x v="394"/>
    <n v="6"/>
    <n v="20.79"/>
    <n v="87979"/>
  </r>
  <r>
    <n v="23142"/>
    <x v="0"/>
    <n v="0.1"/>
    <n v="9.7100000000000009"/>
    <n v="9.4499999999999993"/>
    <n v="702"/>
    <x v="231"/>
    <x v="2"/>
    <x v="3"/>
    <x v="0"/>
    <x v="10"/>
    <x v="3"/>
    <x v="173"/>
    <n v="0.6"/>
    <x v="0"/>
    <x v="0"/>
    <x v="1"/>
    <x v="201"/>
    <n v="95404"/>
    <x v="133"/>
    <d v="2015-07-03T00:00:00"/>
    <x v="395"/>
    <n v="7"/>
    <n v="67.91"/>
    <n v="87979"/>
  </r>
  <r>
    <n v="25734"/>
    <x v="2"/>
    <n v="7.0000000000000007E-2"/>
    <n v="2.84"/>
    <n v="0.93"/>
    <n v="711"/>
    <x v="232"/>
    <x v="2"/>
    <x v="3"/>
    <x v="0"/>
    <x v="0"/>
    <x v="0"/>
    <x v="0"/>
    <n v="0.54"/>
    <x v="0"/>
    <x v="1"/>
    <x v="15"/>
    <x v="202"/>
    <n v="2152"/>
    <x v="132"/>
    <d v="2015-06-08T00:00:00"/>
    <x v="396"/>
    <n v="15"/>
    <n v="40.369999999999997"/>
    <n v="87978"/>
  </r>
  <r>
    <n v="20789"/>
    <x v="1"/>
    <n v="0"/>
    <n v="8.5"/>
    <n v="1.99"/>
    <n v="719"/>
    <x v="233"/>
    <x v="2"/>
    <x v="0"/>
    <x v="2"/>
    <x v="13"/>
    <x v="2"/>
    <x v="302"/>
    <n v="0.49"/>
    <x v="0"/>
    <x v="0"/>
    <x v="34"/>
    <x v="203"/>
    <n v="89041"/>
    <x v="136"/>
    <d v="2015-03-02T00:00:00"/>
    <x v="397"/>
    <n v="14"/>
    <n v="122.25"/>
    <n v="89344"/>
  </r>
  <r>
    <n v="20790"/>
    <x v="1"/>
    <n v="0.03"/>
    <n v="95.43"/>
    <n v="19.989999999999998"/>
    <n v="719"/>
    <x v="233"/>
    <x v="2"/>
    <x v="0"/>
    <x v="0"/>
    <x v="10"/>
    <x v="3"/>
    <x v="303"/>
    <n v="0.79"/>
    <x v="0"/>
    <x v="0"/>
    <x v="34"/>
    <x v="203"/>
    <n v="89041"/>
    <x v="136"/>
    <d v="2015-03-02T00:00:00"/>
    <x v="398"/>
    <n v="2"/>
    <n v="206.09"/>
    <n v="89344"/>
  </r>
  <r>
    <n v="20633"/>
    <x v="1"/>
    <n v="0.04"/>
    <n v="10.64"/>
    <n v="5.16"/>
    <n v="721"/>
    <x v="234"/>
    <x v="2"/>
    <x v="0"/>
    <x v="1"/>
    <x v="2"/>
    <x v="3"/>
    <x v="304"/>
    <n v="0.56999999999999995"/>
    <x v="0"/>
    <x v="2"/>
    <x v="38"/>
    <x v="204"/>
    <n v="46041"/>
    <x v="137"/>
    <d v="2015-06-25T00:00:00"/>
    <x v="399"/>
    <n v="6"/>
    <n v="66.900000000000006"/>
    <n v="91053"/>
  </r>
  <r>
    <n v="20634"/>
    <x v="1"/>
    <n v="0.03"/>
    <n v="2.78"/>
    <n v="1.34"/>
    <n v="721"/>
    <x v="234"/>
    <x v="0"/>
    <x v="0"/>
    <x v="0"/>
    <x v="0"/>
    <x v="0"/>
    <x v="305"/>
    <n v="0.45"/>
    <x v="0"/>
    <x v="2"/>
    <x v="38"/>
    <x v="204"/>
    <n v="46041"/>
    <x v="137"/>
    <d v="2015-06-26T00:00:00"/>
    <x v="400"/>
    <n v="15"/>
    <n v="43.13"/>
    <n v="91053"/>
  </r>
  <r>
    <n v="24574"/>
    <x v="3"/>
    <n v="0.01"/>
    <n v="7.28"/>
    <n v="11.15"/>
    <n v="721"/>
    <x v="234"/>
    <x v="2"/>
    <x v="0"/>
    <x v="0"/>
    <x v="7"/>
    <x v="3"/>
    <x v="306"/>
    <n v="0.37"/>
    <x v="0"/>
    <x v="2"/>
    <x v="38"/>
    <x v="204"/>
    <n v="46041"/>
    <x v="86"/>
    <d v="2015-04-13T00:00:00"/>
    <x v="401"/>
    <n v="1"/>
    <n v="11.21"/>
    <n v="91054"/>
  </r>
  <r>
    <n v="19601"/>
    <x v="3"/>
    <n v="0.09"/>
    <n v="125.99"/>
    <n v="8.99"/>
    <n v="724"/>
    <x v="235"/>
    <x v="2"/>
    <x v="3"/>
    <x v="2"/>
    <x v="5"/>
    <x v="3"/>
    <x v="307"/>
    <n v="0.55000000000000004"/>
    <x v="0"/>
    <x v="1"/>
    <x v="18"/>
    <x v="205"/>
    <n v="6614"/>
    <x v="24"/>
    <d v="2015-03-16T00:00:00"/>
    <x v="402"/>
    <n v="1"/>
    <n v="100.38"/>
    <n v="90359"/>
  </r>
  <r>
    <n v="19600"/>
    <x v="3"/>
    <n v="0.1"/>
    <n v="17.98"/>
    <n v="4"/>
    <n v="727"/>
    <x v="236"/>
    <x v="2"/>
    <x v="3"/>
    <x v="2"/>
    <x v="13"/>
    <x v="3"/>
    <x v="49"/>
    <n v="0.79"/>
    <x v="0"/>
    <x v="1"/>
    <x v="14"/>
    <x v="104"/>
    <n v="4240"/>
    <x v="24"/>
    <d v="2015-03-16T00:00:00"/>
    <x v="403"/>
    <n v="4"/>
    <n v="66.319999999999993"/>
    <n v="90359"/>
  </r>
  <r>
    <n v="23436"/>
    <x v="0"/>
    <n v="0.09"/>
    <n v="101.41"/>
    <n v="35"/>
    <n v="731"/>
    <x v="237"/>
    <x v="2"/>
    <x v="3"/>
    <x v="0"/>
    <x v="10"/>
    <x v="6"/>
    <x v="308"/>
    <n v="0.82"/>
    <x v="0"/>
    <x v="1"/>
    <x v="15"/>
    <x v="19"/>
    <n v="1803"/>
    <x v="138"/>
    <d v="2015-04-27T00:00:00"/>
    <x v="404"/>
    <n v="12"/>
    <n v="1178.32"/>
    <n v="90362"/>
  </r>
  <r>
    <n v="21950"/>
    <x v="1"/>
    <n v="0.06"/>
    <n v="350.98"/>
    <n v="30"/>
    <n v="736"/>
    <x v="238"/>
    <x v="1"/>
    <x v="3"/>
    <x v="1"/>
    <x v="1"/>
    <x v="1"/>
    <x v="309"/>
    <n v="0.61"/>
    <x v="0"/>
    <x v="1"/>
    <x v="16"/>
    <x v="17"/>
    <n v="3079"/>
    <x v="15"/>
    <d v="2015-06-17T00:00:00"/>
    <x v="405"/>
    <n v="6"/>
    <n v="2016.32"/>
    <n v="90361"/>
  </r>
  <r>
    <n v="23613"/>
    <x v="4"/>
    <n v="0.02"/>
    <n v="48.04"/>
    <n v="5.79"/>
    <n v="737"/>
    <x v="239"/>
    <x v="2"/>
    <x v="3"/>
    <x v="0"/>
    <x v="7"/>
    <x v="3"/>
    <x v="310"/>
    <n v="0.37"/>
    <x v="0"/>
    <x v="1"/>
    <x v="2"/>
    <x v="206"/>
    <n v="7003"/>
    <x v="31"/>
    <d v="2015-06-14T00:00:00"/>
    <x v="406"/>
    <n v="12"/>
    <n v="612.25"/>
    <n v="90360"/>
  </r>
  <r>
    <n v="21949"/>
    <x v="1"/>
    <n v="0.02"/>
    <n v="70.98"/>
    <n v="46.74"/>
    <n v="738"/>
    <x v="240"/>
    <x v="1"/>
    <x v="3"/>
    <x v="1"/>
    <x v="14"/>
    <x v="5"/>
    <x v="311"/>
    <n v="0.56000000000000005"/>
    <x v="0"/>
    <x v="1"/>
    <x v="2"/>
    <x v="207"/>
    <n v="7016"/>
    <x v="15"/>
    <d v="2015-06-16T00:00:00"/>
    <x v="407"/>
    <n v="4"/>
    <n v="313.63"/>
    <n v="90361"/>
  </r>
  <r>
    <n v="21951"/>
    <x v="1"/>
    <n v="0.04"/>
    <n v="27.48"/>
    <n v="4"/>
    <n v="741"/>
    <x v="241"/>
    <x v="2"/>
    <x v="3"/>
    <x v="2"/>
    <x v="13"/>
    <x v="3"/>
    <x v="312"/>
    <n v="0.75"/>
    <x v="0"/>
    <x v="1"/>
    <x v="2"/>
    <x v="208"/>
    <n v="7901"/>
    <x v="15"/>
    <d v="2015-06-17T00:00:00"/>
    <x v="408"/>
    <n v="15"/>
    <n v="397.17"/>
    <n v="90361"/>
  </r>
  <r>
    <n v="19209"/>
    <x v="4"/>
    <n v="0.02"/>
    <n v="59.98"/>
    <n v="3.99"/>
    <n v="744"/>
    <x v="242"/>
    <x v="2"/>
    <x v="0"/>
    <x v="0"/>
    <x v="15"/>
    <x v="3"/>
    <x v="313"/>
    <n v="0.56999999999999995"/>
    <x v="0"/>
    <x v="0"/>
    <x v="28"/>
    <x v="209"/>
    <n v="85737"/>
    <x v="9"/>
    <d v="2015-02-06T00:00:00"/>
    <x v="409"/>
    <n v="1"/>
    <n v="63.48"/>
    <n v="87725"/>
  </r>
  <r>
    <n v="19210"/>
    <x v="4"/>
    <n v="0.03"/>
    <n v="5.18"/>
    <n v="5.74"/>
    <n v="744"/>
    <x v="242"/>
    <x v="2"/>
    <x v="0"/>
    <x v="0"/>
    <x v="8"/>
    <x v="3"/>
    <x v="314"/>
    <n v="0.36"/>
    <x v="0"/>
    <x v="0"/>
    <x v="28"/>
    <x v="209"/>
    <n v="85737"/>
    <x v="9"/>
    <d v="2015-02-01T00:00:00"/>
    <x v="410"/>
    <n v="9"/>
    <n v="47.64"/>
    <n v="87725"/>
  </r>
  <r>
    <n v="19638"/>
    <x v="3"/>
    <n v="0.03"/>
    <n v="119.99"/>
    <n v="56.14"/>
    <n v="744"/>
    <x v="242"/>
    <x v="1"/>
    <x v="3"/>
    <x v="2"/>
    <x v="6"/>
    <x v="5"/>
    <x v="102"/>
    <n v="0.39"/>
    <x v="0"/>
    <x v="0"/>
    <x v="28"/>
    <x v="209"/>
    <n v="85737"/>
    <x v="60"/>
    <d v="2015-01-19T00:00:00"/>
    <x v="411"/>
    <n v="13"/>
    <n v="1545.58"/>
    <n v="87726"/>
  </r>
  <r>
    <n v="19505"/>
    <x v="4"/>
    <n v="0.09"/>
    <n v="125.99"/>
    <n v="8.99"/>
    <n v="744"/>
    <x v="242"/>
    <x v="2"/>
    <x v="3"/>
    <x v="2"/>
    <x v="5"/>
    <x v="3"/>
    <x v="307"/>
    <n v="0.55000000000000004"/>
    <x v="0"/>
    <x v="0"/>
    <x v="28"/>
    <x v="209"/>
    <n v="85737"/>
    <x v="40"/>
    <d v="2015-06-02T00:00:00"/>
    <x v="412"/>
    <n v="20"/>
    <n v="2104.9899999999998"/>
    <n v="87727"/>
  </r>
  <r>
    <n v="19639"/>
    <x v="3"/>
    <n v="0.05"/>
    <n v="115.79"/>
    <n v="1.99"/>
    <n v="745"/>
    <x v="243"/>
    <x v="2"/>
    <x v="3"/>
    <x v="2"/>
    <x v="13"/>
    <x v="2"/>
    <x v="315"/>
    <n v="0.49"/>
    <x v="0"/>
    <x v="0"/>
    <x v="28"/>
    <x v="210"/>
    <n v="85345"/>
    <x v="60"/>
    <d v="2015-01-19T00:00:00"/>
    <x v="413"/>
    <n v="3"/>
    <n v="353.1"/>
    <n v="87726"/>
  </r>
  <r>
    <n v="20855"/>
    <x v="1"/>
    <n v="0.09"/>
    <n v="27.75"/>
    <n v="19.989999999999998"/>
    <n v="750"/>
    <x v="244"/>
    <x v="2"/>
    <x v="0"/>
    <x v="0"/>
    <x v="10"/>
    <x v="3"/>
    <x v="316"/>
    <n v="0.67"/>
    <x v="0"/>
    <x v="3"/>
    <x v="35"/>
    <x v="211"/>
    <n v="41042"/>
    <x v="38"/>
    <d v="2015-01-13T00:00:00"/>
    <x v="414"/>
    <n v="10"/>
    <n v="257.52"/>
    <n v="91200"/>
  </r>
  <r>
    <n v="23629"/>
    <x v="4"/>
    <n v="0.06"/>
    <n v="130.97999999999999"/>
    <n v="54.74"/>
    <n v="751"/>
    <x v="245"/>
    <x v="1"/>
    <x v="0"/>
    <x v="1"/>
    <x v="14"/>
    <x v="5"/>
    <x v="136"/>
    <n v="0.69"/>
    <x v="0"/>
    <x v="3"/>
    <x v="35"/>
    <x v="212"/>
    <n v="40324"/>
    <x v="139"/>
    <d v="2015-03-06T00:00:00"/>
    <x v="415"/>
    <n v="3"/>
    <n v="411.64"/>
    <n v="91201"/>
  </r>
  <r>
    <n v="19679"/>
    <x v="2"/>
    <n v="0.06"/>
    <n v="2.61"/>
    <n v="0.5"/>
    <n v="753"/>
    <x v="246"/>
    <x v="0"/>
    <x v="0"/>
    <x v="0"/>
    <x v="9"/>
    <x v="3"/>
    <x v="317"/>
    <n v="0.39"/>
    <x v="0"/>
    <x v="0"/>
    <x v="28"/>
    <x v="213"/>
    <n v="86301"/>
    <x v="140"/>
    <d v="2015-03-11T00:00:00"/>
    <x v="416"/>
    <n v="1"/>
    <n v="17.59"/>
    <n v="90438"/>
  </r>
  <r>
    <n v="19680"/>
    <x v="2"/>
    <n v="0.01"/>
    <n v="6.35"/>
    <n v="1.02"/>
    <n v="753"/>
    <x v="246"/>
    <x v="2"/>
    <x v="0"/>
    <x v="0"/>
    <x v="7"/>
    <x v="0"/>
    <x v="318"/>
    <n v="0.39"/>
    <x v="0"/>
    <x v="0"/>
    <x v="28"/>
    <x v="213"/>
    <n v="86301"/>
    <x v="140"/>
    <d v="2015-03-13T00:00:00"/>
    <x v="417"/>
    <n v="22"/>
    <n v="141.54"/>
    <n v="90438"/>
  </r>
  <r>
    <n v="25291"/>
    <x v="0"/>
    <n v="0.06"/>
    <n v="218.75"/>
    <n v="69.64"/>
    <n v="754"/>
    <x v="247"/>
    <x v="1"/>
    <x v="0"/>
    <x v="1"/>
    <x v="11"/>
    <x v="5"/>
    <x v="228"/>
    <n v="0.77"/>
    <x v="0"/>
    <x v="0"/>
    <x v="28"/>
    <x v="214"/>
    <n v="86314"/>
    <x v="141"/>
    <d v="2015-06-05T00:00:00"/>
    <x v="418"/>
    <n v="4"/>
    <n v="905.4"/>
    <n v="90437"/>
  </r>
  <r>
    <n v="25117"/>
    <x v="4"/>
    <n v="0.06"/>
    <n v="119.99"/>
    <n v="14"/>
    <n v="754"/>
    <x v="247"/>
    <x v="1"/>
    <x v="3"/>
    <x v="2"/>
    <x v="6"/>
    <x v="1"/>
    <x v="319"/>
    <n v="0.36"/>
    <x v="0"/>
    <x v="0"/>
    <x v="28"/>
    <x v="214"/>
    <n v="86314"/>
    <x v="142"/>
    <d v="2015-04-19T00:00:00"/>
    <x v="419"/>
    <n v="2"/>
    <n v="243.86"/>
    <n v="90439"/>
  </r>
  <r>
    <n v="25856"/>
    <x v="1"/>
    <n v="0.03"/>
    <n v="37.94"/>
    <n v="5.08"/>
    <n v="757"/>
    <x v="248"/>
    <x v="2"/>
    <x v="1"/>
    <x v="0"/>
    <x v="7"/>
    <x v="0"/>
    <x v="320"/>
    <n v="0.38"/>
    <x v="0"/>
    <x v="0"/>
    <x v="6"/>
    <x v="215"/>
    <n v="97062"/>
    <x v="143"/>
    <d v="2015-02-13T00:00:00"/>
    <x v="420"/>
    <n v="1"/>
    <n v="39.97"/>
    <n v="90258"/>
  </r>
  <r>
    <n v="21110"/>
    <x v="4"/>
    <n v="0"/>
    <n v="20.99"/>
    <n v="3.3"/>
    <n v="759"/>
    <x v="249"/>
    <x v="2"/>
    <x v="2"/>
    <x v="2"/>
    <x v="5"/>
    <x v="2"/>
    <x v="321"/>
    <n v="0.81"/>
    <x v="0"/>
    <x v="2"/>
    <x v="12"/>
    <x v="216"/>
    <n v="62301"/>
    <x v="124"/>
    <d v="2015-06-05T00:00:00"/>
    <x v="421"/>
    <n v="5"/>
    <n v="92.96"/>
    <n v="86639"/>
  </r>
  <r>
    <n v="20377"/>
    <x v="1"/>
    <n v="0"/>
    <n v="125.99"/>
    <n v="8.99"/>
    <n v="762"/>
    <x v="250"/>
    <x v="2"/>
    <x v="2"/>
    <x v="2"/>
    <x v="5"/>
    <x v="3"/>
    <x v="322"/>
    <n v="0.56999999999999995"/>
    <x v="0"/>
    <x v="0"/>
    <x v="0"/>
    <x v="217"/>
    <n v="98661"/>
    <x v="58"/>
    <d v="2015-04-29T00:00:00"/>
    <x v="422"/>
    <n v="12"/>
    <n v="1362.2"/>
    <n v="87525"/>
  </r>
  <r>
    <n v="18735"/>
    <x v="2"/>
    <n v="0.1"/>
    <n v="31.78"/>
    <n v="1.99"/>
    <n v="767"/>
    <x v="251"/>
    <x v="2"/>
    <x v="0"/>
    <x v="2"/>
    <x v="13"/>
    <x v="2"/>
    <x v="323"/>
    <n v="0.42"/>
    <x v="0"/>
    <x v="2"/>
    <x v="12"/>
    <x v="218"/>
    <n v="61201"/>
    <x v="111"/>
    <d v="2015-02-01T00:00:00"/>
    <x v="423"/>
    <n v="11"/>
    <n v="336.64"/>
    <n v="86279"/>
  </r>
  <r>
    <n v="18659"/>
    <x v="2"/>
    <n v="0.08"/>
    <n v="30.73"/>
    <n v="4"/>
    <n v="770"/>
    <x v="252"/>
    <x v="2"/>
    <x v="2"/>
    <x v="2"/>
    <x v="13"/>
    <x v="3"/>
    <x v="88"/>
    <n v="0.75"/>
    <x v="0"/>
    <x v="0"/>
    <x v="6"/>
    <x v="215"/>
    <n v="97062"/>
    <x v="91"/>
    <d v="2015-03-19T00:00:00"/>
    <x v="424"/>
    <n v="14"/>
    <n v="429.33"/>
    <n v="88667"/>
  </r>
  <r>
    <n v="18660"/>
    <x v="2"/>
    <n v="0.05"/>
    <n v="14.56"/>
    <n v="3.5"/>
    <n v="771"/>
    <x v="253"/>
    <x v="2"/>
    <x v="2"/>
    <x v="0"/>
    <x v="15"/>
    <x v="3"/>
    <x v="324"/>
    <n v="0.57999999999999996"/>
    <x v="0"/>
    <x v="0"/>
    <x v="6"/>
    <x v="219"/>
    <n v="97068"/>
    <x v="91"/>
    <d v="2015-03-21T00:00:00"/>
    <x v="425"/>
    <n v="3"/>
    <n v="44.66"/>
    <n v="88667"/>
  </r>
  <r>
    <n v="18661"/>
    <x v="2"/>
    <n v="0"/>
    <n v="299.99"/>
    <n v="11.64"/>
    <n v="771"/>
    <x v="253"/>
    <x v="2"/>
    <x v="2"/>
    <x v="2"/>
    <x v="16"/>
    <x v="6"/>
    <x v="325"/>
    <n v="0.5"/>
    <x v="0"/>
    <x v="0"/>
    <x v="6"/>
    <x v="219"/>
    <n v="97068"/>
    <x v="91"/>
    <d v="2015-03-21T00:00:00"/>
    <x v="426"/>
    <n v="5"/>
    <n v="1619.95"/>
    <n v="88667"/>
  </r>
  <r>
    <n v="22875"/>
    <x v="2"/>
    <n v="0.08"/>
    <n v="7.77"/>
    <n v="9.23"/>
    <n v="772"/>
    <x v="254"/>
    <x v="2"/>
    <x v="2"/>
    <x v="0"/>
    <x v="15"/>
    <x v="3"/>
    <x v="149"/>
    <n v="0.57999999999999996"/>
    <x v="0"/>
    <x v="1"/>
    <x v="19"/>
    <x v="220"/>
    <n v="18103"/>
    <x v="101"/>
    <d v="2015-01-16T00:00:00"/>
    <x v="427"/>
    <n v="7"/>
    <n v="56.44"/>
    <n v="88666"/>
  </r>
  <r>
    <n v="22877"/>
    <x v="2"/>
    <n v="0.1"/>
    <n v="18.97"/>
    <n v="9.5399999999999991"/>
    <n v="772"/>
    <x v="254"/>
    <x v="0"/>
    <x v="2"/>
    <x v="0"/>
    <x v="7"/>
    <x v="3"/>
    <x v="62"/>
    <n v="0.37"/>
    <x v="0"/>
    <x v="1"/>
    <x v="19"/>
    <x v="220"/>
    <n v="18103"/>
    <x v="101"/>
    <d v="2015-01-16T00:00:00"/>
    <x v="428"/>
    <n v="3"/>
    <n v="56.73"/>
    <n v="88666"/>
  </r>
  <r>
    <n v="20967"/>
    <x v="4"/>
    <n v="0.02"/>
    <n v="4.0599999999999996"/>
    <n v="6.89"/>
    <n v="772"/>
    <x v="254"/>
    <x v="0"/>
    <x v="2"/>
    <x v="0"/>
    <x v="15"/>
    <x v="3"/>
    <x v="326"/>
    <n v="0.6"/>
    <x v="0"/>
    <x v="1"/>
    <x v="19"/>
    <x v="220"/>
    <n v="18103"/>
    <x v="28"/>
    <d v="2015-05-21T00:00:00"/>
    <x v="429"/>
    <n v="12"/>
    <n v="64.41"/>
    <n v="88668"/>
  </r>
  <r>
    <n v="20968"/>
    <x v="4"/>
    <n v="7.0000000000000007E-2"/>
    <n v="9.49"/>
    <n v="5.76"/>
    <n v="772"/>
    <x v="254"/>
    <x v="2"/>
    <x v="2"/>
    <x v="2"/>
    <x v="6"/>
    <x v="4"/>
    <x v="327"/>
    <n v="0.39"/>
    <x v="0"/>
    <x v="1"/>
    <x v="19"/>
    <x v="220"/>
    <n v="18103"/>
    <x v="28"/>
    <d v="2015-05-21T00:00:00"/>
    <x v="430"/>
    <n v="37"/>
    <n v="344.57"/>
    <n v="88668"/>
  </r>
  <r>
    <n v="20434"/>
    <x v="0"/>
    <n v="0.04"/>
    <n v="34.76"/>
    <n v="5.49"/>
    <n v="782"/>
    <x v="255"/>
    <x v="2"/>
    <x v="2"/>
    <x v="0"/>
    <x v="10"/>
    <x v="3"/>
    <x v="328"/>
    <n v="0.6"/>
    <x v="0"/>
    <x v="0"/>
    <x v="1"/>
    <x v="221"/>
    <n v="90604"/>
    <x v="119"/>
    <d v="2015-04-30T00:00:00"/>
    <x v="431"/>
    <n v="8"/>
    <n v="279.01"/>
    <n v="90962"/>
  </r>
  <r>
    <n v="24773"/>
    <x v="4"/>
    <n v="0.02"/>
    <n v="100.98"/>
    <n v="35.840000000000003"/>
    <n v="783"/>
    <x v="256"/>
    <x v="1"/>
    <x v="2"/>
    <x v="1"/>
    <x v="14"/>
    <x v="5"/>
    <x v="77"/>
    <n v="0.62"/>
    <x v="0"/>
    <x v="1"/>
    <x v="18"/>
    <x v="222"/>
    <n v="6010"/>
    <x v="61"/>
    <d v="2015-01-06T00:00:00"/>
    <x v="432"/>
    <n v="6"/>
    <n v="614.99"/>
    <n v="90961"/>
  </r>
  <r>
    <n v="22969"/>
    <x v="3"/>
    <n v="0"/>
    <n v="8.34"/>
    <n v="4.82"/>
    <n v="786"/>
    <x v="257"/>
    <x v="2"/>
    <x v="1"/>
    <x v="0"/>
    <x v="7"/>
    <x v="3"/>
    <x v="329"/>
    <n v="0.4"/>
    <x v="0"/>
    <x v="0"/>
    <x v="1"/>
    <x v="223"/>
    <n v="92691"/>
    <x v="34"/>
    <d v="2015-04-07T00:00:00"/>
    <x v="433"/>
    <n v="9"/>
    <n v="76.23"/>
    <n v="91513"/>
  </r>
  <r>
    <n v="24629"/>
    <x v="1"/>
    <n v="0.09"/>
    <n v="6.48"/>
    <n v="9.68"/>
    <n v="792"/>
    <x v="258"/>
    <x v="2"/>
    <x v="0"/>
    <x v="0"/>
    <x v="7"/>
    <x v="3"/>
    <x v="330"/>
    <n v="0.36"/>
    <x v="0"/>
    <x v="2"/>
    <x v="23"/>
    <x v="224"/>
    <n v="73064"/>
    <x v="123"/>
    <d v="2015-06-22T00:00:00"/>
    <x v="434"/>
    <n v="16"/>
    <n v="99.92"/>
    <n v="88753"/>
  </r>
  <r>
    <n v="18347"/>
    <x v="1"/>
    <n v="0.06"/>
    <n v="8.6"/>
    <n v="6.19"/>
    <n v="796"/>
    <x v="259"/>
    <x v="2"/>
    <x v="0"/>
    <x v="0"/>
    <x v="8"/>
    <x v="3"/>
    <x v="331"/>
    <n v="0.38"/>
    <x v="0"/>
    <x v="2"/>
    <x v="32"/>
    <x v="194"/>
    <n v="68046"/>
    <x v="140"/>
    <d v="2015-03-12T00:00:00"/>
    <x v="435"/>
    <n v="9"/>
    <n v="79.400000000000006"/>
    <n v="86867"/>
  </r>
  <r>
    <n v="18184"/>
    <x v="1"/>
    <n v="0.1"/>
    <n v="14.42"/>
    <n v="6.75"/>
    <n v="796"/>
    <x v="259"/>
    <x v="2"/>
    <x v="0"/>
    <x v="0"/>
    <x v="15"/>
    <x v="4"/>
    <x v="194"/>
    <n v="0.52"/>
    <x v="0"/>
    <x v="2"/>
    <x v="32"/>
    <x v="194"/>
    <n v="68046"/>
    <x v="117"/>
    <d v="2015-06-22T00:00:00"/>
    <x v="436"/>
    <n v="1"/>
    <n v="15.49"/>
    <n v="86869"/>
  </r>
  <r>
    <n v="19011"/>
    <x v="1"/>
    <n v="0.04"/>
    <n v="9.11"/>
    <n v="2.25"/>
    <n v="797"/>
    <x v="260"/>
    <x v="2"/>
    <x v="0"/>
    <x v="0"/>
    <x v="0"/>
    <x v="0"/>
    <x v="332"/>
    <n v="0.52"/>
    <x v="0"/>
    <x v="0"/>
    <x v="17"/>
    <x v="225"/>
    <n v="84067"/>
    <x v="144"/>
    <d v="2015-06-04T00:00:00"/>
    <x v="437"/>
    <n v="2"/>
    <n v="18.59"/>
    <n v="86868"/>
  </r>
  <r>
    <n v="19012"/>
    <x v="1"/>
    <n v="7.0000000000000007E-2"/>
    <n v="64.650000000000006"/>
    <n v="35"/>
    <n v="797"/>
    <x v="260"/>
    <x v="2"/>
    <x v="0"/>
    <x v="0"/>
    <x v="10"/>
    <x v="6"/>
    <x v="333"/>
    <n v="0.8"/>
    <x v="0"/>
    <x v="0"/>
    <x v="17"/>
    <x v="225"/>
    <n v="84067"/>
    <x v="144"/>
    <d v="2015-06-03T00:00:00"/>
    <x v="438"/>
    <n v="13"/>
    <n v="834.08"/>
    <n v="86868"/>
  </r>
  <r>
    <n v="24851"/>
    <x v="4"/>
    <n v="0.09"/>
    <n v="6.48"/>
    <n v="6.86"/>
    <n v="797"/>
    <x v="260"/>
    <x v="2"/>
    <x v="0"/>
    <x v="0"/>
    <x v="7"/>
    <x v="3"/>
    <x v="334"/>
    <n v="0.37"/>
    <x v="0"/>
    <x v="0"/>
    <x v="17"/>
    <x v="225"/>
    <n v="84067"/>
    <x v="127"/>
    <d v="2015-03-08T00:00:00"/>
    <x v="439"/>
    <n v="8"/>
    <n v="50.88"/>
    <n v="86870"/>
  </r>
  <r>
    <n v="20001"/>
    <x v="1"/>
    <n v="0.01"/>
    <n v="150.97999999999999"/>
    <n v="30"/>
    <n v="799"/>
    <x v="261"/>
    <x v="1"/>
    <x v="3"/>
    <x v="1"/>
    <x v="1"/>
    <x v="1"/>
    <x v="335"/>
    <n v="0.74"/>
    <x v="0"/>
    <x v="3"/>
    <x v="39"/>
    <x v="226"/>
    <n v="29915"/>
    <x v="61"/>
    <d v="2015-01-08T00:00:00"/>
    <x v="440"/>
    <n v="6"/>
    <n v="958.46"/>
    <n v="89909"/>
  </r>
  <r>
    <n v="20002"/>
    <x v="1"/>
    <n v="0.01"/>
    <n v="28.28"/>
    <n v="13.99"/>
    <n v="799"/>
    <x v="261"/>
    <x v="0"/>
    <x v="3"/>
    <x v="0"/>
    <x v="10"/>
    <x v="4"/>
    <x v="336"/>
    <n v="0.57999999999999996"/>
    <x v="0"/>
    <x v="3"/>
    <x v="39"/>
    <x v="226"/>
    <n v="29915"/>
    <x v="61"/>
    <d v="2015-01-08T00:00:00"/>
    <x v="441"/>
    <n v="12"/>
    <n v="368.84"/>
    <n v="89909"/>
  </r>
  <r>
    <n v="20003"/>
    <x v="1"/>
    <n v="0.03"/>
    <n v="35.99"/>
    <n v="1.1000000000000001"/>
    <n v="799"/>
    <x v="261"/>
    <x v="2"/>
    <x v="3"/>
    <x v="2"/>
    <x v="5"/>
    <x v="3"/>
    <x v="337"/>
    <n v="0.55000000000000004"/>
    <x v="0"/>
    <x v="3"/>
    <x v="39"/>
    <x v="226"/>
    <n v="29915"/>
    <x v="61"/>
    <d v="2015-01-07T00:00:00"/>
    <x v="442"/>
    <n v="1"/>
    <n v="30.86"/>
    <n v="89909"/>
  </r>
  <r>
    <n v="19265"/>
    <x v="4"/>
    <n v="0.04"/>
    <n v="50.98"/>
    <n v="6.5"/>
    <n v="800"/>
    <x v="262"/>
    <x v="2"/>
    <x v="3"/>
    <x v="2"/>
    <x v="13"/>
    <x v="3"/>
    <x v="338"/>
    <n v="0.73"/>
    <x v="0"/>
    <x v="0"/>
    <x v="17"/>
    <x v="225"/>
    <n v="84067"/>
    <x v="145"/>
    <d v="2015-04-03T00:00:00"/>
    <x v="443"/>
    <n v="11"/>
    <n v="568.25"/>
    <n v="89910"/>
  </r>
  <r>
    <n v="19266"/>
    <x v="4"/>
    <n v="0.02"/>
    <n v="6.48"/>
    <n v="5.14"/>
    <n v="800"/>
    <x v="262"/>
    <x v="2"/>
    <x v="3"/>
    <x v="0"/>
    <x v="7"/>
    <x v="3"/>
    <x v="339"/>
    <n v="0.37"/>
    <x v="0"/>
    <x v="0"/>
    <x v="17"/>
    <x v="225"/>
    <n v="84067"/>
    <x v="145"/>
    <d v="2015-03-30T00:00:00"/>
    <x v="444"/>
    <n v="19"/>
    <n v="126.66"/>
    <n v="89910"/>
  </r>
  <r>
    <n v="22484"/>
    <x v="3"/>
    <n v="0.03"/>
    <n v="35.99"/>
    <n v="5"/>
    <n v="803"/>
    <x v="263"/>
    <x v="2"/>
    <x v="2"/>
    <x v="2"/>
    <x v="5"/>
    <x v="3"/>
    <x v="252"/>
    <n v="0.85"/>
    <x v="0"/>
    <x v="3"/>
    <x v="26"/>
    <x v="227"/>
    <n v="32168"/>
    <x v="119"/>
    <d v="2015-04-30T00:00:00"/>
    <x v="445"/>
    <n v="3"/>
    <n v="93.82"/>
    <n v="90048"/>
  </r>
  <r>
    <n v="5722"/>
    <x v="2"/>
    <n v="0.06"/>
    <n v="179.99"/>
    <n v="13.99"/>
    <n v="806"/>
    <x v="264"/>
    <x v="0"/>
    <x v="2"/>
    <x v="2"/>
    <x v="5"/>
    <x v="4"/>
    <x v="340"/>
    <n v="0.56999999999999995"/>
    <x v="0"/>
    <x v="3"/>
    <x v="26"/>
    <x v="95"/>
    <n v="33132"/>
    <x v="85"/>
    <d v="2015-01-11T00:00:00"/>
    <x v="446"/>
    <n v="54"/>
    <n v="8332.91"/>
    <n v="40547"/>
  </r>
  <r>
    <n v="21942"/>
    <x v="4"/>
    <n v="0.09"/>
    <n v="5.84"/>
    <n v="0.83"/>
    <n v="820"/>
    <x v="265"/>
    <x v="2"/>
    <x v="2"/>
    <x v="0"/>
    <x v="0"/>
    <x v="0"/>
    <x v="341"/>
    <n v="0.49"/>
    <x v="0"/>
    <x v="0"/>
    <x v="0"/>
    <x v="228"/>
    <n v="99362"/>
    <x v="8"/>
    <d v="2015-05-25T00:00:00"/>
    <x v="447"/>
    <n v="1"/>
    <n v="5.9"/>
    <n v="90244"/>
  </r>
  <r>
    <n v="20661"/>
    <x v="4"/>
    <n v="0.04"/>
    <n v="6.24"/>
    <n v="5.22"/>
    <n v="823"/>
    <x v="266"/>
    <x v="2"/>
    <x v="2"/>
    <x v="1"/>
    <x v="2"/>
    <x v="3"/>
    <x v="342"/>
    <n v="0.6"/>
    <x v="0"/>
    <x v="3"/>
    <x v="20"/>
    <x v="229"/>
    <n v="37167"/>
    <x v="38"/>
    <d v="2015-01-17T00:00:00"/>
    <x v="448"/>
    <n v="13"/>
    <n v="80.23"/>
    <n v="89257"/>
  </r>
  <r>
    <n v="20663"/>
    <x v="4"/>
    <n v="0.09"/>
    <n v="260.98"/>
    <n v="41.91"/>
    <n v="824"/>
    <x v="267"/>
    <x v="1"/>
    <x v="2"/>
    <x v="1"/>
    <x v="14"/>
    <x v="5"/>
    <x v="343"/>
    <n v="0.59"/>
    <x v="0"/>
    <x v="3"/>
    <x v="20"/>
    <x v="230"/>
    <n v="37174"/>
    <x v="38"/>
    <d v="2015-01-19T00:00:00"/>
    <x v="449"/>
    <n v="8"/>
    <n v="2044.9"/>
    <n v="89257"/>
  </r>
  <r>
    <n v="21350"/>
    <x v="2"/>
    <n v="0"/>
    <n v="11.97"/>
    <n v="4.9800000000000004"/>
    <n v="825"/>
    <x v="268"/>
    <x v="2"/>
    <x v="1"/>
    <x v="0"/>
    <x v="15"/>
    <x v="3"/>
    <x v="197"/>
    <n v="0.57999999999999996"/>
    <x v="0"/>
    <x v="2"/>
    <x v="7"/>
    <x v="231"/>
    <n v="79605"/>
    <x v="8"/>
    <d v="2015-05-24T00:00:00"/>
    <x v="450"/>
    <n v="4"/>
    <n v="53.3"/>
    <n v="89258"/>
  </r>
  <r>
    <n v="24842"/>
    <x v="3"/>
    <n v="0.01"/>
    <n v="6.98"/>
    <n v="1.6"/>
    <n v="827"/>
    <x v="269"/>
    <x v="2"/>
    <x v="1"/>
    <x v="0"/>
    <x v="7"/>
    <x v="0"/>
    <x v="344"/>
    <n v="0.38"/>
    <x v="0"/>
    <x v="2"/>
    <x v="7"/>
    <x v="232"/>
    <n v="79109"/>
    <x v="40"/>
    <d v="2015-05-26T00:00:00"/>
    <x v="451"/>
    <n v="3"/>
    <n v="21.93"/>
    <n v="89259"/>
  </r>
  <r>
    <n v="24236"/>
    <x v="1"/>
    <n v="0.01"/>
    <n v="5.18"/>
    <n v="2.04"/>
    <n v="829"/>
    <x v="270"/>
    <x v="2"/>
    <x v="0"/>
    <x v="0"/>
    <x v="7"/>
    <x v="0"/>
    <x v="43"/>
    <n v="0.36"/>
    <x v="0"/>
    <x v="3"/>
    <x v="40"/>
    <x v="233"/>
    <n v="71854"/>
    <x v="11"/>
    <d v="2015-02-24T00:00:00"/>
    <x v="452"/>
    <n v="5"/>
    <n v="28.46"/>
    <n v="90271"/>
  </r>
  <r>
    <n v="20664"/>
    <x v="0"/>
    <n v="0.01"/>
    <n v="14.42"/>
    <n v="6.75"/>
    <n v="830"/>
    <x v="271"/>
    <x v="2"/>
    <x v="0"/>
    <x v="0"/>
    <x v="15"/>
    <x v="4"/>
    <x v="194"/>
    <n v="0.52"/>
    <x v="0"/>
    <x v="0"/>
    <x v="21"/>
    <x v="234"/>
    <n v="80033"/>
    <x v="76"/>
    <d v="2015-01-24T00:00:00"/>
    <x v="453"/>
    <n v="6"/>
    <n v="89.91"/>
    <n v="90270"/>
  </r>
  <r>
    <n v="19173"/>
    <x v="0"/>
    <n v="0"/>
    <n v="11.66"/>
    <n v="8.99"/>
    <n v="833"/>
    <x v="272"/>
    <x v="0"/>
    <x v="0"/>
    <x v="0"/>
    <x v="0"/>
    <x v="2"/>
    <x v="345"/>
    <n v="0.59"/>
    <x v="0"/>
    <x v="0"/>
    <x v="1"/>
    <x v="235"/>
    <n v="95020"/>
    <x v="85"/>
    <d v="2015-01-11T00:00:00"/>
    <x v="454"/>
    <n v="11"/>
    <n v="138.51"/>
    <n v="89770"/>
  </r>
  <r>
    <n v="19383"/>
    <x v="1"/>
    <n v="7.0000000000000007E-2"/>
    <n v="6.08"/>
    <n v="0.91"/>
    <n v="850"/>
    <x v="273"/>
    <x v="2"/>
    <x v="0"/>
    <x v="0"/>
    <x v="0"/>
    <x v="0"/>
    <x v="346"/>
    <n v="0.51"/>
    <x v="0"/>
    <x v="0"/>
    <x v="1"/>
    <x v="236"/>
    <n v="93117"/>
    <x v="146"/>
    <d v="2015-03-08T00:00:00"/>
    <x v="455"/>
    <n v="7"/>
    <n v="41.96"/>
    <n v="88569"/>
  </r>
  <r>
    <n v="20604"/>
    <x v="4"/>
    <n v="0.1"/>
    <n v="50.98"/>
    <n v="22.24"/>
    <n v="851"/>
    <x v="274"/>
    <x v="2"/>
    <x v="0"/>
    <x v="1"/>
    <x v="2"/>
    <x v="6"/>
    <x v="347"/>
    <n v="0.55000000000000004"/>
    <x v="0"/>
    <x v="0"/>
    <x v="1"/>
    <x v="237"/>
    <n v="91745"/>
    <x v="147"/>
    <d v="2015-02-27T00:00:00"/>
    <x v="456"/>
    <n v="6"/>
    <n v="300.63"/>
    <n v="88568"/>
  </r>
  <r>
    <n v="19384"/>
    <x v="1"/>
    <n v="0.08"/>
    <n v="19.899999999999999"/>
    <n v="5.29"/>
    <n v="851"/>
    <x v="274"/>
    <x v="2"/>
    <x v="0"/>
    <x v="0"/>
    <x v="15"/>
    <x v="4"/>
    <x v="348"/>
    <n v="0.4"/>
    <x v="0"/>
    <x v="0"/>
    <x v="1"/>
    <x v="237"/>
    <n v="91745"/>
    <x v="146"/>
    <d v="2015-03-09T00:00:00"/>
    <x v="457"/>
    <n v="13"/>
    <n v="240.46"/>
    <n v="88569"/>
  </r>
  <r>
    <n v="19385"/>
    <x v="1"/>
    <n v="0.02"/>
    <n v="3.36"/>
    <n v="6.27"/>
    <n v="851"/>
    <x v="274"/>
    <x v="2"/>
    <x v="0"/>
    <x v="0"/>
    <x v="8"/>
    <x v="3"/>
    <x v="198"/>
    <n v="0.4"/>
    <x v="0"/>
    <x v="0"/>
    <x v="1"/>
    <x v="237"/>
    <n v="91745"/>
    <x v="146"/>
    <d v="2015-03-09T00:00:00"/>
    <x v="458"/>
    <n v="21"/>
    <n v="74.08"/>
    <n v="88569"/>
  </r>
  <r>
    <n v="21353"/>
    <x v="2"/>
    <n v="0.06"/>
    <n v="1.26"/>
    <n v="0.7"/>
    <n v="851"/>
    <x v="274"/>
    <x v="2"/>
    <x v="0"/>
    <x v="0"/>
    <x v="3"/>
    <x v="0"/>
    <x v="349"/>
    <n v="0.81"/>
    <x v="0"/>
    <x v="0"/>
    <x v="1"/>
    <x v="237"/>
    <n v="91745"/>
    <x v="122"/>
    <d v="2015-04-30T00:00:00"/>
    <x v="459"/>
    <n v="4"/>
    <n v="5.28"/>
    <n v="88571"/>
  </r>
  <r>
    <n v="26093"/>
    <x v="0"/>
    <n v="0.05"/>
    <n v="4.24"/>
    <n v="5.41"/>
    <n v="853"/>
    <x v="275"/>
    <x v="2"/>
    <x v="2"/>
    <x v="0"/>
    <x v="8"/>
    <x v="3"/>
    <x v="21"/>
    <n v="0.35"/>
    <x v="0"/>
    <x v="0"/>
    <x v="1"/>
    <x v="238"/>
    <n v="92345"/>
    <x v="44"/>
    <d v="2015-03-18T00:00:00"/>
    <x v="460"/>
    <n v="12"/>
    <n v="50.83"/>
    <n v="88570"/>
  </r>
  <r>
    <n v="21351"/>
    <x v="2"/>
    <n v="0.06"/>
    <n v="1.76"/>
    <n v="0.7"/>
    <n v="854"/>
    <x v="276"/>
    <x v="2"/>
    <x v="0"/>
    <x v="0"/>
    <x v="0"/>
    <x v="0"/>
    <x v="28"/>
    <n v="0.56000000000000005"/>
    <x v="0"/>
    <x v="1"/>
    <x v="18"/>
    <x v="239"/>
    <n v="6405"/>
    <x v="122"/>
    <d v="2015-05-02T00:00:00"/>
    <x v="461"/>
    <n v="22"/>
    <n v="39.26"/>
    <n v="88571"/>
  </r>
  <r>
    <n v="21352"/>
    <x v="2"/>
    <n v="0.02"/>
    <n v="24.98"/>
    <n v="8.7899999999999991"/>
    <n v="855"/>
    <x v="277"/>
    <x v="2"/>
    <x v="0"/>
    <x v="0"/>
    <x v="10"/>
    <x v="3"/>
    <x v="350"/>
    <n v="0.66"/>
    <x v="0"/>
    <x v="1"/>
    <x v="18"/>
    <x v="240"/>
    <n v="6810"/>
    <x v="122"/>
    <d v="2015-05-01T00:00:00"/>
    <x v="462"/>
    <n v="23"/>
    <n v="606.51"/>
    <n v="88571"/>
  </r>
  <r>
    <n v="21354"/>
    <x v="2"/>
    <n v="0.05"/>
    <n v="35.99"/>
    <n v="5.99"/>
    <n v="858"/>
    <x v="278"/>
    <x v="0"/>
    <x v="0"/>
    <x v="2"/>
    <x v="5"/>
    <x v="0"/>
    <x v="351"/>
    <n v="0.38"/>
    <x v="0"/>
    <x v="1"/>
    <x v="14"/>
    <x v="104"/>
    <n v="4240"/>
    <x v="122"/>
    <d v="2015-05-02T00:00:00"/>
    <x v="463"/>
    <n v="2"/>
    <n v="64.89"/>
    <n v="88571"/>
  </r>
  <r>
    <n v="21214"/>
    <x v="2"/>
    <n v="0.03"/>
    <n v="14.2"/>
    <n v="5.3"/>
    <n v="865"/>
    <x v="279"/>
    <x v="2"/>
    <x v="0"/>
    <x v="1"/>
    <x v="2"/>
    <x v="0"/>
    <x v="257"/>
    <n v="0.46"/>
    <x v="0"/>
    <x v="2"/>
    <x v="38"/>
    <x v="200"/>
    <n v="46312"/>
    <x v="87"/>
    <d v="2015-05-28T00:00:00"/>
    <x v="464"/>
    <n v="18"/>
    <n v="267.2"/>
    <n v="90674"/>
  </r>
  <r>
    <n v="19947"/>
    <x v="4"/>
    <n v="0.04"/>
    <n v="6.48"/>
    <n v="5.16"/>
    <n v="865"/>
    <x v="279"/>
    <x v="0"/>
    <x v="0"/>
    <x v="0"/>
    <x v="7"/>
    <x v="3"/>
    <x v="352"/>
    <n v="0.37"/>
    <x v="0"/>
    <x v="2"/>
    <x v="38"/>
    <x v="200"/>
    <n v="46312"/>
    <x v="115"/>
    <d v="2015-03-02T00:00:00"/>
    <x v="465"/>
    <n v="12"/>
    <n v="86.79"/>
    <n v="90675"/>
  </r>
  <r>
    <n v="24774"/>
    <x v="1"/>
    <n v="0.04"/>
    <n v="29.18"/>
    <n v="8.5500000000000007"/>
    <n v="868"/>
    <x v="280"/>
    <x v="0"/>
    <x v="0"/>
    <x v="1"/>
    <x v="2"/>
    <x v="3"/>
    <x v="353"/>
    <n v="0.42"/>
    <x v="0"/>
    <x v="2"/>
    <x v="3"/>
    <x v="241"/>
    <n v="55126"/>
    <x v="147"/>
    <d v="2015-02-27T00:00:00"/>
    <x v="466"/>
    <n v="10"/>
    <n v="292.37"/>
    <n v="91194"/>
  </r>
  <r>
    <n v="24775"/>
    <x v="1"/>
    <n v="0"/>
    <n v="80.98"/>
    <n v="35"/>
    <n v="868"/>
    <x v="280"/>
    <x v="2"/>
    <x v="0"/>
    <x v="0"/>
    <x v="10"/>
    <x v="6"/>
    <x v="354"/>
    <n v="0.83"/>
    <x v="0"/>
    <x v="2"/>
    <x v="3"/>
    <x v="241"/>
    <n v="55126"/>
    <x v="147"/>
    <d v="2015-02-27T00:00:00"/>
    <x v="467"/>
    <n v="8"/>
    <n v="682.79"/>
    <n v="91194"/>
  </r>
  <r>
    <n v="24763"/>
    <x v="2"/>
    <n v="0.06"/>
    <n v="6.48"/>
    <n v="8.8800000000000008"/>
    <n v="868"/>
    <x v="280"/>
    <x v="2"/>
    <x v="0"/>
    <x v="0"/>
    <x v="7"/>
    <x v="3"/>
    <x v="355"/>
    <n v="0.37"/>
    <x v="0"/>
    <x v="2"/>
    <x v="3"/>
    <x v="241"/>
    <n v="55126"/>
    <x v="127"/>
    <d v="2015-03-07T00:00:00"/>
    <x v="468"/>
    <n v="20"/>
    <n v="125.77"/>
    <n v="91195"/>
  </r>
  <r>
    <n v="24764"/>
    <x v="2"/>
    <n v="0.09"/>
    <n v="349.45"/>
    <n v="60"/>
    <n v="868"/>
    <x v="280"/>
    <x v="1"/>
    <x v="0"/>
    <x v="1"/>
    <x v="11"/>
    <x v="1"/>
    <x v="356"/>
    <m/>
    <x v="0"/>
    <x v="2"/>
    <x v="3"/>
    <x v="241"/>
    <n v="55126"/>
    <x v="127"/>
    <d v="2015-03-07T00:00:00"/>
    <x v="469"/>
    <n v="12"/>
    <n v="3918.98"/>
    <n v="91195"/>
  </r>
  <r>
    <n v="25507"/>
    <x v="1"/>
    <n v="0.03"/>
    <n v="14.2"/>
    <n v="5.3"/>
    <n v="871"/>
    <x v="281"/>
    <x v="2"/>
    <x v="1"/>
    <x v="1"/>
    <x v="2"/>
    <x v="0"/>
    <x v="257"/>
    <n v="0.46"/>
    <x v="0"/>
    <x v="0"/>
    <x v="34"/>
    <x v="242"/>
    <n v="89502"/>
    <x v="24"/>
    <d v="2015-03-17T00:00:00"/>
    <x v="470"/>
    <n v="2"/>
    <n v="31.24"/>
    <n v="90577"/>
  </r>
  <r>
    <n v="22547"/>
    <x v="1"/>
    <n v="0.01"/>
    <n v="5.94"/>
    <n v="9.92"/>
    <n v="871"/>
    <x v="281"/>
    <x v="2"/>
    <x v="1"/>
    <x v="0"/>
    <x v="8"/>
    <x v="3"/>
    <x v="113"/>
    <n v="0.38"/>
    <x v="0"/>
    <x v="0"/>
    <x v="34"/>
    <x v="242"/>
    <n v="89502"/>
    <x v="135"/>
    <d v="2015-05-23T00:00:00"/>
    <x v="471"/>
    <n v="12"/>
    <n v="74.77"/>
    <n v="90578"/>
  </r>
  <r>
    <n v="22548"/>
    <x v="1"/>
    <n v="0"/>
    <n v="6.48"/>
    <n v="5.1100000000000003"/>
    <n v="871"/>
    <x v="281"/>
    <x v="2"/>
    <x v="1"/>
    <x v="0"/>
    <x v="7"/>
    <x v="3"/>
    <x v="357"/>
    <n v="0.37"/>
    <x v="0"/>
    <x v="0"/>
    <x v="34"/>
    <x v="242"/>
    <n v="89502"/>
    <x v="135"/>
    <d v="2015-05-22T00:00:00"/>
    <x v="472"/>
    <n v="18"/>
    <n v="127.81"/>
    <n v="90578"/>
  </r>
  <r>
    <n v="19262"/>
    <x v="0"/>
    <n v="0.04"/>
    <n v="4.37"/>
    <n v="5.15"/>
    <n v="875"/>
    <x v="282"/>
    <x v="2"/>
    <x v="2"/>
    <x v="0"/>
    <x v="15"/>
    <x v="3"/>
    <x v="358"/>
    <n v="0.59"/>
    <x v="0"/>
    <x v="0"/>
    <x v="17"/>
    <x v="243"/>
    <n v="84106"/>
    <x v="54"/>
    <d v="2015-02-22T00:00:00"/>
    <x v="473"/>
    <n v="18"/>
    <n v="78.59"/>
    <n v="89059"/>
  </r>
  <r>
    <n v="19263"/>
    <x v="0"/>
    <n v="0.09"/>
    <n v="155.99"/>
    <n v="8.99"/>
    <n v="875"/>
    <x v="282"/>
    <x v="2"/>
    <x v="2"/>
    <x v="2"/>
    <x v="5"/>
    <x v="3"/>
    <x v="359"/>
    <n v="0.57999999999999996"/>
    <x v="0"/>
    <x v="0"/>
    <x v="17"/>
    <x v="243"/>
    <n v="84106"/>
    <x v="54"/>
    <d v="2015-02-23T00:00:00"/>
    <x v="474"/>
    <n v="4"/>
    <n v="497.11"/>
    <n v="89059"/>
  </r>
  <r>
    <n v="18054"/>
    <x v="2"/>
    <n v="7.0000000000000007E-2"/>
    <n v="5.68"/>
    <n v="1.39"/>
    <n v="880"/>
    <x v="283"/>
    <x v="2"/>
    <x v="2"/>
    <x v="0"/>
    <x v="4"/>
    <x v="3"/>
    <x v="360"/>
    <n v="0.38"/>
    <x v="0"/>
    <x v="0"/>
    <x v="28"/>
    <x v="244"/>
    <n v="85254"/>
    <x v="78"/>
    <d v="2015-03-27T00:00:00"/>
    <x v="475"/>
    <n v="5"/>
    <n v="27.02"/>
    <n v="86153"/>
  </r>
  <r>
    <n v="18055"/>
    <x v="2"/>
    <n v="0.06"/>
    <n v="22.84"/>
    <n v="11.54"/>
    <n v="880"/>
    <x v="283"/>
    <x v="2"/>
    <x v="2"/>
    <x v="0"/>
    <x v="7"/>
    <x v="3"/>
    <x v="64"/>
    <n v="0.39"/>
    <x v="0"/>
    <x v="0"/>
    <x v="28"/>
    <x v="244"/>
    <n v="85254"/>
    <x v="78"/>
    <d v="2015-03-27T00:00:00"/>
    <x v="476"/>
    <n v="1"/>
    <n v="27.67"/>
    <n v="86153"/>
  </r>
  <r>
    <n v="19401"/>
    <x v="2"/>
    <n v="0.06"/>
    <n v="25.98"/>
    <n v="14.36"/>
    <n v="885"/>
    <x v="284"/>
    <x v="1"/>
    <x v="0"/>
    <x v="1"/>
    <x v="1"/>
    <x v="1"/>
    <x v="361"/>
    <n v="0.6"/>
    <x v="0"/>
    <x v="2"/>
    <x v="7"/>
    <x v="232"/>
    <n v="79109"/>
    <x v="84"/>
    <d v="2015-05-25T00:00:00"/>
    <x v="477"/>
    <n v="41"/>
    <n v="1033.56"/>
    <n v="89537"/>
  </r>
  <r>
    <n v="26011"/>
    <x v="2"/>
    <n v="0.08"/>
    <n v="1.81"/>
    <n v="0.75"/>
    <n v="890"/>
    <x v="285"/>
    <x v="2"/>
    <x v="3"/>
    <x v="1"/>
    <x v="1"/>
    <x v="1"/>
    <x v="362"/>
    <n v="0.57999999999999996"/>
    <x v="0"/>
    <x v="2"/>
    <x v="7"/>
    <x v="245"/>
    <n v="76021"/>
    <x v="99"/>
    <d v="2015-01-06T00:00:00"/>
    <x v="478"/>
    <n v="11"/>
    <n v="19.97"/>
    <n v="89536"/>
  </r>
  <r>
    <n v="26015"/>
    <x v="2"/>
    <n v="0.04"/>
    <n v="125.99"/>
    <n v="5.26"/>
    <n v="890"/>
    <x v="285"/>
    <x v="2"/>
    <x v="3"/>
    <x v="2"/>
    <x v="5"/>
    <x v="3"/>
    <x v="363"/>
    <n v="0.55000000000000004"/>
    <x v="0"/>
    <x v="2"/>
    <x v="7"/>
    <x v="245"/>
    <n v="76021"/>
    <x v="99"/>
    <d v="2015-01-05T00:00:00"/>
    <x v="479"/>
    <n v="6"/>
    <n v="660.03"/>
    <n v="89536"/>
  </r>
  <r>
    <n v="2045"/>
    <x v="2"/>
    <n v="0.01"/>
    <n v="8.34"/>
    <n v="0.96"/>
    <n v="894"/>
    <x v="286"/>
    <x v="2"/>
    <x v="0"/>
    <x v="1"/>
    <x v="2"/>
    <x v="0"/>
    <x v="364"/>
    <n v="0.43"/>
    <x v="0"/>
    <x v="1"/>
    <x v="41"/>
    <x v="246"/>
    <n v="20024"/>
    <x v="56"/>
    <d v="2015-01-12T00:00:00"/>
    <x v="480"/>
    <n v="24"/>
    <n v="199.12"/>
    <n v="14596"/>
  </r>
  <r>
    <n v="2046"/>
    <x v="2"/>
    <n v="0.06"/>
    <n v="3.28"/>
    <n v="3.97"/>
    <n v="894"/>
    <x v="286"/>
    <x v="2"/>
    <x v="0"/>
    <x v="0"/>
    <x v="0"/>
    <x v="0"/>
    <x v="365"/>
    <n v="0.56000000000000005"/>
    <x v="0"/>
    <x v="1"/>
    <x v="41"/>
    <x v="246"/>
    <n v="20024"/>
    <x v="56"/>
    <d v="2015-01-11T00:00:00"/>
    <x v="481"/>
    <n v="19"/>
    <n v="63.14"/>
    <n v="14596"/>
  </r>
  <r>
    <n v="5421"/>
    <x v="4"/>
    <n v="0.02"/>
    <n v="1.1399999999999999"/>
    <n v="0.7"/>
    <n v="894"/>
    <x v="286"/>
    <x v="2"/>
    <x v="0"/>
    <x v="0"/>
    <x v="3"/>
    <x v="0"/>
    <x v="366"/>
    <n v="0.38"/>
    <x v="0"/>
    <x v="1"/>
    <x v="41"/>
    <x v="246"/>
    <n v="20024"/>
    <x v="23"/>
    <d v="2015-02-02T00:00:00"/>
    <x v="482"/>
    <n v="38"/>
    <n v="44.85"/>
    <n v="38529"/>
  </r>
  <r>
    <n v="20045"/>
    <x v="2"/>
    <n v="0.01"/>
    <n v="8.34"/>
    <n v="0.96"/>
    <n v="896"/>
    <x v="287"/>
    <x v="2"/>
    <x v="0"/>
    <x v="1"/>
    <x v="2"/>
    <x v="0"/>
    <x v="364"/>
    <n v="0.43"/>
    <x v="0"/>
    <x v="2"/>
    <x v="7"/>
    <x v="247"/>
    <n v="76201"/>
    <x v="56"/>
    <d v="2015-01-12T00:00:00"/>
    <x v="483"/>
    <n v="6"/>
    <n v="49.78"/>
    <n v="90166"/>
  </r>
  <r>
    <n v="20046"/>
    <x v="2"/>
    <n v="0.06"/>
    <n v="3.28"/>
    <n v="3.97"/>
    <n v="896"/>
    <x v="287"/>
    <x v="2"/>
    <x v="0"/>
    <x v="0"/>
    <x v="0"/>
    <x v="0"/>
    <x v="365"/>
    <n v="0.56000000000000005"/>
    <x v="0"/>
    <x v="2"/>
    <x v="7"/>
    <x v="247"/>
    <n v="76201"/>
    <x v="56"/>
    <d v="2015-01-11T00:00:00"/>
    <x v="484"/>
    <n v="5"/>
    <n v="16.62"/>
    <n v="90166"/>
  </r>
  <r>
    <n v="19470"/>
    <x v="2"/>
    <n v="0.06"/>
    <n v="47.98"/>
    <n v="3.61"/>
    <n v="896"/>
    <x v="287"/>
    <x v="2"/>
    <x v="0"/>
    <x v="2"/>
    <x v="13"/>
    <x v="2"/>
    <x v="367"/>
    <n v="0.71"/>
    <x v="0"/>
    <x v="2"/>
    <x v="7"/>
    <x v="247"/>
    <n v="76201"/>
    <x v="105"/>
    <d v="2015-06-22T00:00:00"/>
    <x v="485"/>
    <n v="11"/>
    <n v="517.67999999999995"/>
    <n v="90167"/>
  </r>
  <r>
    <n v="4724"/>
    <x v="0"/>
    <n v="0.04"/>
    <n v="90.97"/>
    <n v="28"/>
    <n v="898"/>
    <x v="288"/>
    <x v="1"/>
    <x v="2"/>
    <x v="2"/>
    <x v="6"/>
    <x v="1"/>
    <x v="368"/>
    <n v="0.38"/>
    <x v="0"/>
    <x v="1"/>
    <x v="4"/>
    <x v="8"/>
    <n v="10039"/>
    <x v="38"/>
    <d v="2015-01-13T00:00:00"/>
    <x v="486"/>
    <n v="6"/>
    <n v="573.30999999999995"/>
    <n v="33635"/>
  </r>
  <r>
    <n v="4725"/>
    <x v="0"/>
    <n v="7.0000000000000007E-2"/>
    <n v="20.34"/>
    <n v="35"/>
    <n v="898"/>
    <x v="288"/>
    <x v="2"/>
    <x v="2"/>
    <x v="0"/>
    <x v="10"/>
    <x v="6"/>
    <x v="126"/>
    <n v="0.84"/>
    <x v="0"/>
    <x v="1"/>
    <x v="4"/>
    <x v="8"/>
    <n v="10039"/>
    <x v="38"/>
    <d v="2015-01-13T00:00:00"/>
    <x v="487"/>
    <n v="5"/>
    <n v="140.22999999999999"/>
    <n v="33635"/>
  </r>
  <r>
    <n v="1311"/>
    <x v="1"/>
    <n v="0.02"/>
    <n v="12.53"/>
    <n v="0.49"/>
    <n v="898"/>
    <x v="288"/>
    <x v="2"/>
    <x v="2"/>
    <x v="0"/>
    <x v="9"/>
    <x v="3"/>
    <x v="369"/>
    <n v="0.38"/>
    <x v="0"/>
    <x v="1"/>
    <x v="4"/>
    <x v="8"/>
    <n v="10039"/>
    <x v="39"/>
    <d v="2015-01-27T00:00:00"/>
    <x v="488"/>
    <n v="47"/>
    <n v="594.44000000000005"/>
    <n v="9606"/>
  </r>
  <r>
    <n v="1312"/>
    <x v="1"/>
    <n v="7.0000000000000007E-2"/>
    <n v="5.18"/>
    <n v="2.04"/>
    <n v="898"/>
    <x v="288"/>
    <x v="0"/>
    <x v="2"/>
    <x v="0"/>
    <x v="7"/>
    <x v="0"/>
    <x v="43"/>
    <n v="0.36"/>
    <x v="0"/>
    <x v="1"/>
    <x v="4"/>
    <x v="8"/>
    <n v="10039"/>
    <x v="39"/>
    <d v="2015-01-29T00:00:00"/>
    <x v="489"/>
    <n v="44"/>
    <n v="228.5"/>
    <n v="9606"/>
  </r>
  <r>
    <n v="22724"/>
    <x v="0"/>
    <n v="0.04"/>
    <n v="90.97"/>
    <n v="28"/>
    <n v="899"/>
    <x v="289"/>
    <x v="1"/>
    <x v="2"/>
    <x v="2"/>
    <x v="6"/>
    <x v="1"/>
    <x v="368"/>
    <n v="0.38"/>
    <x v="0"/>
    <x v="1"/>
    <x v="19"/>
    <x v="248"/>
    <n v="16602"/>
    <x v="38"/>
    <d v="2015-01-13T00:00:00"/>
    <x v="486"/>
    <n v="2"/>
    <n v="191.1"/>
    <n v="86263"/>
  </r>
  <r>
    <n v="22725"/>
    <x v="0"/>
    <n v="7.0000000000000007E-2"/>
    <n v="20.34"/>
    <n v="35"/>
    <n v="899"/>
    <x v="289"/>
    <x v="2"/>
    <x v="2"/>
    <x v="0"/>
    <x v="10"/>
    <x v="6"/>
    <x v="126"/>
    <n v="0.84"/>
    <x v="0"/>
    <x v="1"/>
    <x v="19"/>
    <x v="248"/>
    <n v="16602"/>
    <x v="38"/>
    <d v="2015-01-13T00:00:00"/>
    <x v="487"/>
    <n v="1"/>
    <n v="28.05"/>
    <n v="86263"/>
  </r>
  <r>
    <n v="19311"/>
    <x v="1"/>
    <n v="0.02"/>
    <n v="12.53"/>
    <n v="0.49"/>
    <n v="899"/>
    <x v="289"/>
    <x v="2"/>
    <x v="2"/>
    <x v="0"/>
    <x v="9"/>
    <x v="3"/>
    <x v="369"/>
    <n v="0.38"/>
    <x v="0"/>
    <x v="1"/>
    <x v="19"/>
    <x v="248"/>
    <n v="16602"/>
    <x v="39"/>
    <d v="2015-01-27T00:00:00"/>
    <x v="490"/>
    <n v="12"/>
    <n v="151.77000000000001"/>
    <n v="86264"/>
  </r>
  <r>
    <n v="19312"/>
    <x v="1"/>
    <n v="7.0000000000000007E-2"/>
    <n v="5.18"/>
    <n v="2.04"/>
    <n v="899"/>
    <x v="289"/>
    <x v="0"/>
    <x v="2"/>
    <x v="0"/>
    <x v="7"/>
    <x v="0"/>
    <x v="43"/>
    <n v="0.36"/>
    <x v="0"/>
    <x v="1"/>
    <x v="19"/>
    <x v="248"/>
    <n v="16602"/>
    <x v="39"/>
    <d v="2015-01-29T00:00:00"/>
    <x v="489"/>
    <n v="11"/>
    <n v="57.13"/>
    <n v="86264"/>
  </r>
  <r>
    <n v="24981"/>
    <x v="1"/>
    <n v="0"/>
    <n v="5.98"/>
    <n v="1.49"/>
    <n v="903"/>
    <x v="290"/>
    <x v="2"/>
    <x v="3"/>
    <x v="0"/>
    <x v="8"/>
    <x v="3"/>
    <x v="370"/>
    <n v="0.39"/>
    <x v="0"/>
    <x v="1"/>
    <x v="15"/>
    <x v="249"/>
    <n v="1887"/>
    <x v="14"/>
    <d v="2015-03-14T00:00:00"/>
    <x v="491"/>
    <n v="18"/>
    <n v="116.92"/>
    <n v="90806"/>
  </r>
  <r>
    <n v="22288"/>
    <x v="2"/>
    <n v="0.09"/>
    <n v="35.99"/>
    <n v="5.99"/>
    <n v="907"/>
    <x v="291"/>
    <x v="2"/>
    <x v="1"/>
    <x v="2"/>
    <x v="5"/>
    <x v="0"/>
    <x v="351"/>
    <n v="0.38"/>
    <x v="0"/>
    <x v="3"/>
    <x v="35"/>
    <x v="157"/>
    <n v="42420"/>
    <x v="115"/>
    <d v="2015-02-27T00:00:00"/>
    <x v="492"/>
    <n v="5"/>
    <n v="151.6"/>
    <n v="86459"/>
  </r>
  <r>
    <n v="21345"/>
    <x v="3"/>
    <n v="0.09"/>
    <n v="2.6"/>
    <n v="2.4"/>
    <n v="907"/>
    <x v="291"/>
    <x v="2"/>
    <x v="1"/>
    <x v="0"/>
    <x v="0"/>
    <x v="0"/>
    <x v="371"/>
    <n v="0.57999999999999996"/>
    <x v="0"/>
    <x v="3"/>
    <x v="35"/>
    <x v="157"/>
    <n v="42420"/>
    <x v="77"/>
    <d v="2015-06-19T00:00:00"/>
    <x v="493"/>
    <n v="12"/>
    <n v="31.73"/>
    <n v="86460"/>
  </r>
  <r>
    <n v="19480"/>
    <x v="2"/>
    <n v="0"/>
    <n v="5.28"/>
    <n v="5.61"/>
    <n v="910"/>
    <x v="292"/>
    <x v="2"/>
    <x v="0"/>
    <x v="0"/>
    <x v="7"/>
    <x v="3"/>
    <x v="297"/>
    <n v="0.4"/>
    <x v="0"/>
    <x v="3"/>
    <x v="40"/>
    <x v="233"/>
    <n v="71854"/>
    <x v="50"/>
    <d v="2015-05-14T00:00:00"/>
    <x v="494"/>
    <n v="15"/>
    <n v="85.26"/>
    <n v="90187"/>
  </r>
  <r>
    <n v="25356"/>
    <x v="1"/>
    <n v="0.05"/>
    <n v="7.64"/>
    <n v="5.83"/>
    <n v="911"/>
    <x v="293"/>
    <x v="2"/>
    <x v="0"/>
    <x v="0"/>
    <x v="7"/>
    <x v="0"/>
    <x v="372"/>
    <n v="0.36"/>
    <x v="0"/>
    <x v="1"/>
    <x v="36"/>
    <x v="250"/>
    <n v="26003"/>
    <x v="70"/>
    <d v="2015-02-02T00:00:00"/>
    <x v="495"/>
    <n v="2"/>
    <n v="16.600000000000001"/>
    <n v="90185"/>
  </r>
  <r>
    <n v="25357"/>
    <x v="1"/>
    <n v="0.04"/>
    <n v="218.75"/>
    <n v="69.64"/>
    <n v="911"/>
    <x v="293"/>
    <x v="1"/>
    <x v="0"/>
    <x v="1"/>
    <x v="11"/>
    <x v="5"/>
    <x v="228"/>
    <n v="0.72"/>
    <x v="0"/>
    <x v="1"/>
    <x v="36"/>
    <x v="250"/>
    <n v="26003"/>
    <x v="70"/>
    <d v="2015-02-01T00:00:00"/>
    <x v="496"/>
    <n v="10"/>
    <n v="2285.41"/>
    <n v="90185"/>
  </r>
  <r>
    <n v="24028"/>
    <x v="0"/>
    <n v="0.01"/>
    <n v="59.76"/>
    <n v="9.7100000000000009"/>
    <n v="911"/>
    <x v="293"/>
    <x v="2"/>
    <x v="0"/>
    <x v="0"/>
    <x v="10"/>
    <x v="3"/>
    <x v="373"/>
    <n v="0.56999999999999995"/>
    <x v="0"/>
    <x v="1"/>
    <x v="36"/>
    <x v="250"/>
    <n v="26003"/>
    <x v="36"/>
    <d v="2015-04-06T00:00:00"/>
    <x v="497"/>
    <n v="8"/>
    <n v="513.52"/>
    <n v="90186"/>
  </r>
  <r>
    <n v="24953"/>
    <x v="0"/>
    <n v="0.06"/>
    <n v="350.98"/>
    <n v="30"/>
    <n v="915"/>
    <x v="294"/>
    <x v="1"/>
    <x v="1"/>
    <x v="1"/>
    <x v="1"/>
    <x v="1"/>
    <x v="309"/>
    <n v="0.61"/>
    <x v="0"/>
    <x v="2"/>
    <x v="7"/>
    <x v="251"/>
    <n v="77803"/>
    <x v="148"/>
    <d v="2015-01-05T00:00:00"/>
    <x v="498"/>
    <n v="1"/>
    <n v="346.52"/>
    <n v="86356"/>
  </r>
  <r>
    <n v="25833"/>
    <x v="4"/>
    <n v="0.05"/>
    <n v="161.55000000000001"/>
    <n v="19.989999999999998"/>
    <n v="916"/>
    <x v="295"/>
    <x v="2"/>
    <x v="0"/>
    <x v="0"/>
    <x v="10"/>
    <x v="3"/>
    <x v="40"/>
    <n v="0.66"/>
    <x v="0"/>
    <x v="2"/>
    <x v="7"/>
    <x v="252"/>
    <n v="76028"/>
    <x v="148"/>
    <d v="2015-01-11T00:00:00"/>
    <x v="499"/>
    <n v="3"/>
    <n v="499.31"/>
    <n v="86357"/>
  </r>
  <r>
    <n v="25676"/>
    <x v="0"/>
    <n v="0.05"/>
    <n v="35.51"/>
    <n v="6.31"/>
    <n v="918"/>
    <x v="296"/>
    <x v="2"/>
    <x v="3"/>
    <x v="0"/>
    <x v="10"/>
    <x v="3"/>
    <x v="374"/>
    <n v="0.57999999999999996"/>
    <x v="0"/>
    <x v="0"/>
    <x v="1"/>
    <x v="184"/>
    <n v="91730"/>
    <x v="142"/>
    <d v="2015-04-14T00:00:00"/>
    <x v="256"/>
    <n v="2"/>
    <n v="73.099999999999994"/>
    <n v="90492"/>
  </r>
  <r>
    <n v="19772"/>
    <x v="2"/>
    <n v="0.09"/>
    <n v="58.14"/>
    <n v="36.61"/>
    <n v="918"/>
    <x v="296"/>
    <x v="1"/>
    <x v="0"/>
    <x v="1"/>
    <x v="14"/>
    <x v="5"/>
    <x v="375"/>
    <n v="0.61"/>
    <x v="0"/>
    <x v="0"/>
    <x v="1"/>
    <x v="184"/>
    <n v="91730"/>
    <x v="135"/>
    <d v="2015-05-21T00:00:00"/>
    <x v="500"/>
    <n v="39"/>
    <n v="2115.06"/>
    <n v="90493"/>
  </r>
  <r>
    <n v="25677"/>
    <x v="0"/>
    <n v="0.1"/>
    <n v="8.34"/>
    <n v="2.64"/>
    <n v="919"/>
    <x v="297"/>
    <x v="2"/>
    <x v="3"/>
    <x v="0"/>
    <x v="12"/>
    <x v="2"/>
    <x v="120"/>
    <n v="0.59"/>
    <x v="0"/>
    <x v="0"/>
    <x v="1"/>
    <x v="253"/>
    <n v="96003"/>
    <x v="142"/>
    <d v="2015-04-12T00:00:00"/>
    <x v="501"/>
    <n v="6"/>
    <n v="47.95"/>
    <n v="90492"/>
  </r>
  <r>
    <n v="21970"/>
    <x v="4"/>
    <n v="0.1"/>
    <n v="15.98"/>
    <n v="4"/>
    <n v="920"/>
    <x v="298"/>
    <x v="2"/>
    <x v="0"/>
    <x v="2"/>
    <x v="13"/>
    <x v="3"/>
    <x v="174"/>
    <n v="0.37"/>
    <x v="0"/>
    <x v="0"/>
    <x v="1"/>
    <x v="254"/>
    <n v="92374"/>
    <x v="12"/>
    <d v="2015-04-01T00:00:00"/>
    <x v="502"/>
    <n v="9"/>
    <n v="134.38"/>
    <n v="90491"/>
  </r>
  <r>
    <n v="25678"/>
    <x v="0"/>
    <n v="0.03"/>
    <n v="8.0399999999999991"/>
    <n v="8.94"/>
    <n v="920"/>
    <x v="298"/>
    <x v="2"/>
    <x v="3"/>
    <x v="0"/>
    <x v="8"/>
    <x v="3"/>
    <x v="376"/>
    <n v="0.4"/>
    <x v="0"/>
    <x v="0"/>
    <x v="1"/>
    <x v="254"/>
    <n v="92374"/>
    <x v="142"/>
    <d v="2015-04-14T00:00:00"/>
    <x v="503"/>
    <n v="9"/>
    <n v="76.77"/>
    <n v="90492"/>
  </r>
  <r>
    <n v="18395"/>
    <x v="1"/>
    <n v="0.01"/>
    <n v="65.989999999999995"/>
    <n v="8.99"/>
    <n v="922"/>
    <x v="299"/>
    <x v="0"/>
    <x v="2"/>
    <x v="2"/>
    <x v="5"/>
    <x v="3"/>
    <x v="377"/>
    <n v="0.56000000000000005"/>
    <x v="0"/>
    <x v="0"/>
    <x v="1"/>
    <x v="184"/>
    <n v="91730"/>
    <x v="135"/>
    <d v="2015-05-21T00:00:00"/>
    <x v="504"/>
    <n v="14"/>
    <n v="782"/>
    <n v="87135"/>
  </r>
  <r>
    <n v="19973"/>
    <x v="2"/>
    <n v="0.03"/>
    <n v="2.1800000000000002"/>
    <n v="1.38"/>
    <n v="925"/>
    <x v="300"/>
    <x v="2"/>
    <x v="2"/>
    <x v="0"/>
    <x v="3"/>
    <x v="0"/>
    <x v="378"/>
    <n v="0.44"/>
    <x v="0"/>
    <x v="1"/>
    <x v="14"/>
    <x v="255"/>
    <n v="4330"/>
    <x v="34"/>
    <d v="2015-04-06T00:00:00"/>
    <x v="505"/>
    <n v="7"/>
    <n v="15.73"/>
    <n v="87134"/>
  </r>
  <r>
    <n v="19974"/>
    <x v="2"/>
    <n v="0.01"/>
    <n v="170.98"/>
    <n v="35.89"/>
    <n v="929"/>
    <x v="301"/>
    <x v="1"/>
    <x v="2"/>
    <x v="1"/>
    <x v="14"/>
    <x v="5"/>
    <x v="379"/>
    <n v="0.66"/>
    <x v="0"/>
    <x v="1"/>
    <x v="2"/>
    <x v="256"/>
    <n v="8857"/>
    <x v="34"/>
    <d v="2015-04-08T00:00:00"/>
    <x v="506"/>
    <n v="10"/>
    <n v="1719.07"/>
    <n v="87134"/>
  </r>
  <r>
    <n v="21077"/>
    <x v="2"/>
    <n v="0.05"/>
    <n v="6.04"/>
    <n v="2.14"/>
    <n v="936"/>
    <x v="302"/>
    <x v="0"/>
    <x v="0"/>
    <x v="0"/>
    <x v="7"/>
    <x v="0"/>
    <x v="380"/>
    <n v="0.38"/>
    <x v="0"/>
    <x v="0"/>
    <x v="1"/>
    <x v="254"/>
    <n v="92374"/>
    <x v="149"/>
    <d v="2015-02-19T00:00:00"/>
    <x v="507"/>
    <n v="1"/>
    <n v="8.41"/>
    <n v="90588"/>
  </r>
  <r>
    <n v="23716"/>
    <x v="1"/>
    <n v="0.05"/>
    <n v="5.98"/>
    <n v="5.46"/>
    <n v="936"/>
    <x v="302"/>
    <x v="2"/>
    <x v="0"/>
    <x v="0"/>
    <x v="7"/>
    <x v="3"/>
    <x v="381"/>
    <n v="0.36"/>
    <x v="0"/>
    <x v="0"/>
    <x v="1"/>
    <x v="254"/>
    <n v="92374"/>
    <x v="150"/>
    <d v="2015-06-27T00:00:00"/>
    <x v="508"/>
    <n v="17"/>
    <n v="104.95"/>
    <n v="90589"/>
  </r>
  <r>
    <n v="23717"/>
    <x v="1"/>
    <n v="0.01"/>
    <n v="65.989999999999995"/>
    <n v="3.99"/>
    <n v="937"/>
    <x v="303"/>
    <x v="2"/>
    <x v="0"/>
    <x v="2"/>
    <x v="5"/>
    <x v="3"/>
    <x v="382"/>
    <n v="0.59"/>
    <x v="0"/>
    <x v="0"/>
    <x v="1"/>
    <x v="257"/>
    <n v="90278"/>
    <x v="150"/>
    <d v="2015-06-28T00:00:00"/>
    <x v="509"/>
    <n v="3"/>
    <n v="166.59"/>
    <n v="90589"/>
  </r>
  <r>
    <n v="22638"/>
    <x v="4"/>
    <n v="0.09"/>
    <n v="100.98"/>
    <n v="35.840000000000003"/>
    <n v="940"/>
    <x v="304"/>
    <x v="1"/>
    <x v="1"/>
    <x v="1"/>
    <x v="14"/>
    <x v="5"/>
    <x v="77"/>
    <n v="0.62"/>
    <x v="0"/>
    <x v="1"/>
    <x v="18"/>
    <x v="258"/>
    <n v="6776"/>
    <x v="81"/>
    <d v="2015-04-19T00:00:00"/>
    <x v="510"/>
    <n v="4"/>
    <n v="396.19"/>
    <n v="90844"/>
  </r>
  <r>
    <n v="23479"/>
    <x v="1"/>
    <n v="0.03"/>
    <n v="31.74"/>
    <n v="12.62"/>
    <n v="945"/>
    <x v="305"/>
    <x v="2"/>
    <x v="1"/>
    <x v="0"/>
    <x v="8"/>
    <x v="3"/>
    <x v="383"/>
    <n v="0.37"/>
    <x v="0"/>
    <x v="0"/>
    <x v="1"/>
    <x v="259"/>
    <n v="95070"/>
    <x v="127"/>
    <d v="2015-03-06T00:00:00"/>
    <x v="511"/>
    <n v="3"/>
    <n v="98.7"/>
    <n v="86567"/>
  </r>
  <r>
    <n v="24459"/>
    <x v="2"/>
    <n v="0.09"/>
    <n v="90.98"/>
    <n v="56.2"/>
    <n v="946"/>
    <x v="306"/>
    <x v="0"/>
    <x v="1"/>
    <x v="1"/>
    <x v="2"/>
    <x v="4"/>
    <x v="384"/>
    <n v="0.74"/>
    <x v="0"/>
    <x v="1"/>
    <x v="14"/>
    <x v="113"/>
    <n v="4210"/>
    <x v="151"/>
    <d v="2015-03-02T00:00:00"/>
    <x v="512"/>
    <n v="20"/>
    <n v="1782.44"/>
    <n v="86566"/>
  </r>
  <r>
    <n v="24693"/>
    <x v="2"/>
    <n v="0.08"/>
    <n v="14.2"/>
    <n v="5.3"/>
    <n v="947"/>
    <x v="307"/>
    <x v="0"/>
    <x v="1"/>
    <x v="1"/>
    <x v="2"/>
    <x v="0"/>
    <x v="257"/>
    <n v="0.46"/>
    <x v="0"/>
    <x v="1"/>
    <x v="2"/>
    <x v="260"/>
    <n v="7002"/>
    <x v="52"/>
    <d v="2015-01-13T00:00:00"/>
    <x v="513"/>
    <n v="5"/>
    <n v="72.11"/>
    <n v="86565"/>
  </r>
  <r>
    <n v="1279"/>
    <x v="5"/>
    <n v="0.06"/>
    <n v="40.98"/>
    <n v="2.99"/>
    <n v="949"/>
    <x v="308"/>
    <x v="2"/>
    <x v="3"/>
    <x v="0"/>
    <x v="8"/>
    <x v="3"/>
    <x v="385"/>
    <n v="0.36"/>
    <x v="0"/>
    <x v="0"/>
    <x v="1"/>
    <x v="154"/>
    <n v="90049"/>
    <x v="22"/>
    <d v="2015-01-04T00:00:00"/>
    <x v="514"/>
    <n v="3"/>
    <n v="124.81"/>
    <n v="9285"/>
  </r>
  <r>
    <n v="1128"/>
    <x v="4"/>
    <n v="0.02"/>
    <n v="48.04"/>
    <n v="5.09"/>
    <n v="949"/>
    <x v="308"/>
    <x v="2"/>
    <x v="3"/>
    <x v="0"/>
    <x v="7"/>
    <x v="3"/>
    <x v="213"/>
    <n v="0.37"/>
    <x v="0"/>
    <x v="0"/>
    <x v="1"/>
    <x v="154"/>
    <n v="90049"/>
    <x v="27"/>
    <d v="2015-03-26T00:00:00"/>
    <x v="515"/>
    <n v="18"/>
    <n v="881.32"/>
    <n v="8257"/>
  </r>
  <r>
    <n v="19279"/>
    <x v="2"/>
    <n v="0.06"/>
    <n v="40.98"/>
    <n v="2.99"/>
    <n v="950"/>
    <x v="309"/>
    <x v="2"/>
    <x v="3"/>
    <x v="0"/>
    <x v="8"/>
    <x v="3"/>
    <x v="385"/>
    <n v="0.36"/>
    <x v="0"/>
    <x v="2"/>
    <x v="3"/>
    <x v="3"/>
    <n v="55372"/>
    <x v="22"/>
    <d v="2015-01-04T00:00:00"/>
    <x v="516"/>
    <n v="1"/>
    <n v="41.6"/>
    <n v="89083"/>
  </r>
  <r>
    <n v="19127"/>
    <x v="4"/>
    <n v="0.05"/>
    <n v="1500.97"/>
    <n v="29.7"/>
    <n v="950"/>
    <x v="309"/>
    <x v="1"/>
    <x v="3"/>
    <x v="2"/>
    <x v="6"/>
    <x v="1"/>
    <x v="386"/>
    <n v="0.56999999999999995"/>
    <x v="0"/>
    <x v="2"/>
    <x v="3"/>
    <x v="3"/>
    <n v="55372"/>
    <x v="27"/>
    <d v="2015-03-22T00:00:00"/>
    <x v="517"/>
    <n v="1"/>
    <n v="1497.22"/>
    <n v="89084"/>
  </r>
  <r>
    <n v="19128"/>
    <x v="4"/>
    <n v="0.02"/>
    <n v="48.04"/>
    <n v="5.09"/>
    <n v="950"/>
    <x v="309"/>
    <x v="2"/>
    <x v="3"/>
    <x v="0"/>
    <x v="7"/>
    <x v="3"/>
    <x v="213"/>
    <n v="0.37"/>
    <x v="0"/>
    <x v="2"/>
    <x v="3"/>
    <x v="3"/>
    <n v="55372"/>
    <x v="27"/>
    <d v="2015-03-26T00:00:00"/>
    <x v="518"/>
    <n v="5"/>
    <n v="244.81"/>
    <n v="89084"/>
  </r>
  <r>
    <n v="19129"/>
    <x v="4"/>
    <n v="0.03"/>
    <n v="4.28"/>
    <n v="1.6"/>
    <n v="950"/>
    <x v="309"/>
    <x v="2"/>
    <x v="3"/>
    <x v="0"/>
    <x v="0"/>
    <x v="0"/>
    <x v="387"/>
    <n v="0.57999999999999996"/>
    <x v="0"/>
    <x v="2"/>
    <x v="3"/>
    <x v="3"/>
    <n v="55372"/>
    <x v="27"/>
    <d v="2015-03-29T00:00:00"/>
    <x v="519"/>
    <n v="1"/>
    <n v="4.55"/>
    <n v="89084"/>
  </r>
  <r>
    <n v="20073"/>
    <x v="4"/>
    <n v="0.1"/>
    <n v="7.31"/>
    <n v="0.49"/>
    <n v="954"/>
    <x v="310"/>
    <x v="2"/>
    <x v="2"/>
    <x v="0"/>
    <x v="9"/>
    <x v="3"/>
    <x v="388"/>
    <n v="0.38"/>
    <x v="0"/>
    <x v="2"/>
    <x v="7"/>
    <x v="261"/>
    <n v="75067"/>
    <x v="6"/>
    <d v="2015-02-21T00:00:00"/>
    <x v="520"/>
    <n v="4"/>
    <n v="27.63"/>
    <n v="90771"/>
  </r>
  <r>
    <n v="20074"/>
    <x v="4"/>
    <n v="0.08"/>
    <n v="6.7"/>
    <n v="1.56"/>
    <n v="954"/>
    <x v="310"/>
    <x v="2"/>
    <x v="2"/>
    <x v="0"/>
    <x v="0"/>
    <x v="0"/>
    <x v="389"/>
    <n v="0.52"/>
    <x v="0"/>
    <x v="2"/>
    <x v="7"/>
    <x v="261"/>
    <n v="75067"/>
    <x v="6"/>
    <d v="2015-02-12T00:00:00"/>
    <x v="521"/>
    <n v="5"/>
    <n v="31.21"/>
    <n v="90771"/>
  </r>
  <r>
    <n v="25795"/>
    <x v="1"/>
    <n v="0.01"/>
    <n v="145.44999999999999"/>
    <n v="17.850000000000001"/>
    <n v="959"/>
    <x v="311"/>
    <x v="1"/>
    <x v="0"/>
    <x v="2"/>
    <x v="6"/>
    <x v="1"/>
    <x v="390"/>
    <n v="0.56000000000000005"/>
    <x v="0"/>
    <x v="2"/>
    <x v="7"/>
    <x v="252"/>
    <n v="76028"/>
    <x v="27"/>
    <d v="2015-03-23T00:00:00"/>
    <x v="522"/>
    <n v="8"/>
    <n v="1214.03"/>
    <n v="91581"/>
  </r>
  <r>
    <n v="20428"/>
    <x v="4"/>
    <n v="0.03"/>
    <n v="2.94"/>
    <n v="0.96"/>
    <n v="960"/>
    <x v="312"/>
    <x v="2"/>
    <x v="1"/>
    <x v="0"/>
    <x v="0"/>
    <x v="0"/>
    <x v="202"/>
    <n v="0.57999999999999996"/>
    <x v="0"/>
    <x v="0"/>
    <x v="1"/>
    <x v="257"/>
    <n v="90278"/>
    <x v="128"/>
    <d v="2015-02-08T00:00:00"/>
    <x v="523"/>
    <n v="1"/>
    <n v="3.51"/>
    <n v="89401"/>
  </r>
  <r>
    <n v="20685"/>
    <x v="1"/>
    <n v="0.05"/>
    <n v="124.49"/>
    <n v="51.94"/>
    <n v="961"/>
    <x v="313"/>
    <x v="1"/>
    <x v="1"/>
    <x v="1"/>
    <x v="11"/>
    <x v="5"/>
    <x v="156"/>
    <n v="0.63"/>
    <x v="0"/>
    <x v="0"/>
    <x v="1"/>
    <x v="262"/>
    <n v="94061"/>
    <x v="152"/>
    <d v="2015-02-24T00:00:00"/>
    <x v="524"/>
    <n v="1"/>
    <n v="120.12"/>
    <n v="89402"/>
  </r>
  <r>
    <n v="2428"/>
    <x v="4"/>
    <n v="0.03"/>
    <n v="2.94"/>
    <n v="0.96"/>
    <n v="962"/>
    <x v="314"/>
    <x v="2"/>
    <x v="1"/>
    <x v="0"/>
    <x v="0"/>
    <x v="0"/>
    <x v="202"/>
    <n v="0.57999999999999996"/>
    <x v="0"/>
    <x v="2"/>
    <x v="12"/>
    <x v="25"/>
    <n v="60610"/>
    <x v="128"/>
    <d v="2015-02-08T00:00:00"/>
    <x v="523"/>
    <n v="2"/>
    <n v="7.01"/>
    <n v="17636"/>
  </r>
  <r>
    <n v="25093"/>
    <x v="3"/>
    <n v="0"/>
    <n v="170.98"/>
    <n v="35.89"/>
    <n v="970"/>
    <x v="315"/>
    <x v="1"/>
    <x v="3"/>
    <x v="1"/>
    <x v="14"/>
    <x v="5"/>
    <x v="379"/>
    <n v="0.66"/>
    <x v="0"/>
    <x v="3"/>
    <x v="8"/>
    <x v="191"/>
    <n v="24281"/>
    <x v="18"/>
    <d v="2015-04-21T00:00:00"/>
    <x v="525"/>
    <n v="8"/>
    <n v="1452.18"/>
    <n v="86173"/>
  </r>
  <r>
    <n v="20536"/>
    <x v="4"/>
    <n v="0.03"/>
    <n v="284.98"/>
    <n v="69.55"/>
    <n v="972"/>
    <x v="316"/>
    <x v="1"/>
    <x v="0"/>
    <x v="1"/>
    <x v="1"/>
    <x v="1"/>
    <x v="391"/>
    <n v="0.6"/>
    <x v="0"/>
    <x v="0"/>
    <x v="1"/>
    <x v="263"/>
    <n v="92503"/>
    <x v="136"/>
    <d v="2015-03-05T00:00:00"/>
    <x v="526"/>
    <n v="2"/>
    <n v="619.38"/>
    <n v="87259"/>
  </r>
  <r>
    <n v="20537"/>
    <x v="4"/>
    <n v="0"/>
    <n v="12.99"/>
    <n v="14.37"/>
    <n v="972"/>
    <x v="316"/>
    <x v="2"/>
    <x v="0"/>
    <x v="1"/>
    <x v="2"/>
    <x v="6"/>
    <x v="193"/>
    <n v="0.73"/>
    <x v="0"/>
    <x v="0"/>
    <x v="1"/>
    <x v="263"/>
    <n v="92503"/>
    <x v="136"/>
    <d v="2015-02-28T00:00:00"/>
    <x v="527"/>
    <n v="1"/>
    <n v="18.690000000000001"/>
    <n v="87259"/>
  </r>
  <r>
    <n v="24298"/>
    <x v="4"/>
    <n v="0.1"/>
    <n v="2.2200000000000002"/>
    <n v="5"/>
    <n v="975"/>
    <x v="317"/>
    <x v="2"/>
    <x v="0"/>
    <x v="0"/>
    <x v="15"/>
    <x v="3"/>
    <x v="392"/>
    <n v="0.55000000000000004"/>
    <x v="0"/>
    <x v="1"/>
    <x v="15"/>
    <x v="28"/>
    <n v="2108"/>
    <x v="36"/>
    <d v="2015-04-09T00:00:00"/>
    <x v="528"/>
    <n v="3"/>
    <n v="8.8000000000000007"/>
    <n v="87260"/>
  </r>
  <r>
    <n v="22646"/>
    <x v="3"/>
    <n v="0"/>
    <n v="37.76"/>
    <n v="12.9"/>
    <n v="980"/>
    <x v="318"/>
    <x v="2"/>
    <x v="0"/>
    <x v="0"/>
    <x v="10"/>
    <x v="3"/>
    <x v="393"/>
    <n v="0.56999999999999995"/>
    <x v="0"/>
    <x v="1"/>
    <x v="9"/>
    <x v="186"/>
    <n v="5403"/>
    <x v="64"/>
    <d v="2015-02-06T00:00:00"/>
    <x v="529"/>
    <n v="12"/>
    <n v="477.2"/>
    <n v="87258"/>
  </r>
  <r>
    <n v="20010"/>
    <x v="4"/>
    <n v="0.09"/>
    <n v="300.97000000000003"/>
    <n v="7.18"/>
    <n v="983"/>
    <x v="319"/>
    <x v="2"/>
    <x v="0"/>
    <x v="2"/>
    <x v="13"/>
    <x v="3"/>
    <x v="394"/>
    <n v="0.48"/>
    <x v="0"/>
    <x v="3"/>
    <x v="40"/>
    <x v="264"/>
    <n v="72143"/>
    <x v="58"/>
    <d v="2015-04-27T00:00:00"/>
    <x v="530"/>
    <n v="10"/>
    <n v="2848.38"/>
    <n v="90201"/>
  </r>
  <r>
    <n v="25895"/>
    <x v="0"/>
    <n v="0.05"/>
    <n v="4.28"/>
    <n v="5.17"/>
    <n v="993"/>
    <x v="320"/>
    <x v="2"/>
    <x v="2"/>
    <x v="0"/>
    <x v="7"/>
    <x v="3"/>
    <x v="162"/>
    <n v="0.4"/>
    <x v="0"/>
    <x v="0"/>
    <x v="1"/>
    <x v="265"/>
    <n v="93030"/>
    <x v="153"/>
    <d v="2015-02-19T00:00:00"/>
    <x v="531"/>
    <n v="9"/>
    <n v="38.58"/>
    <n v="89432"/>
  </r>
  <r>
    <n v="19004"/>
    <x v="0"/>
    <n v="0.1"/>
    <n v="400.98"/>
    <n v="76.37"/>
    <n v="994"/>
    <x v="321"/>
    <x v="1"/>
    <x v="2"/>
    <x v="1"/>
    <x v="11"/>
    <x v="5"/>
    <x v="395"/>
    <n v="0.6"/>
    <x v="0"/>
    <x v="1"/>
    <x v="14"/>
    <x v="91"/>
    <n v="4073"/>
    <x v="88"/>
    <d v="2015-03-15T00:00:00"/>
    <x v="532"/>
    <n v="2"/>
    <n v="810.47"/>
    <n v="89433"/>
  </r>
  <r>
    <n v="23840"/>
    <x v="4"/>
    <n v="0.09"/>
    <n v="7.64"/>
    <n v="5.83"/>
    <n v="995"/>
    <x v="322"/>
    <x v="2"/>
    <x v="2"/>
    <x v="0"/>
    <x v="7"/>
    <x v="0"/>
    <x v="372"/>
    <n v="0.36"/>
    <x v="0"/>
    <x v="1"/>
    <x v="14"/>
    <x v="266"/>
    <n v="4070"/>
    <x v="16"/>
    <d v="2015-05-15T00:00:00"/>
    <x v="533"/>
    <n v="9"/>
    <n v="72.83"/>
    <n v="89434"/>
  </r>
  <r>
    <n v="22639"/>
    <x v="4"/>
    <n v="0.08"/>
    <n v="67.84"/>
    <n v="0.99"/>
    <n v="997"/>
    <x v="323"/>
    <x v="2"/>
    <x v="2"/>
    <x v="0"/>
    <x v="15"/>
    <x v="3"/>
    <x v="396"/>
    <n v="0.57999999999999996"/>
    <x v="0"/>
    <x v="1"/>
    <x v="2"/>
    <x v="260"/>
    <n v="7002"/>
    <x v="76"/>
    <d v="2015-01-29T00:00:00"/>
    <x v="534"/>
    <n v="1"/>
    <n v="63.66"/>
    <n v="89431"/>
  </r>
  <r>
    <n v="19003"/>
    <x v="0"/>
    <n v="0.08"/>
    <n v="45.19"/>
    <n v="1.99"/>
    <n v="999"/>
    <x v="324"/>
    <x v="2"/>
    <x v="2"/>
    <x v="2"/>
    <x v="13"/>
    <x v="2"/>
    <x v="397"/>
    <n v="0.55000000000000004"/>
    <x v="0"/>
    <x v="1"/>
    <x v="2"/>
    <x v="267"/>
    <n v="7450"/>
    <x v="88"/>
    <d v="2015-03-15T00:00:00"/>
    <x v="535"/>
    <n v="3"/>
    <n v="127.22"/>
    <n v="89433"/>
  </r>
  <r>
    <n v="19002"/>
    <x v="0"/>
    <n v="0.03"/>
    <n v="33.979999999999997"/>
    <n v="19.989999999999998"/>
    <n v="1000"/>
    <x v="325"/>
    <x v="2"/>
    <x v="2"/>
    <x v="1"/>
    <x v="2"/>
    <x v="3"/>
    <x v="398"/>
    <n v="0.55000000000000004"/>
    <x v="0"/>
    <x v="1"/>
    <x v="9"/>
    <x v="268"/>
    <n v="5201"/>
    <x v="88"/>
    <d v="2015-03-15T00:00:00"/>
    <x v="536"/>
    <n v="12"/>
    <n v="432.44"/>
    <n v="89433"/>
  </r>
  <r>
    <n v="19380"/>
    <x v="4"/>
    <n v="0.06"/>
    <n v="10.14"/>
    <n v="2.27"/>
    <n v="1005"/>
    <x v="326"/>
    <x v="2"/>
    <x v="2"/>
    <x v="0"/>
    <x v="7"/>
    <x v="0"/>
    <x v="82"/>
    <n v="0.36"/>
    <x v="0"/>
    <x v="2"/>
    <x v="12"/>
    <x v="182"/>
    <n v="60089"/>
    <x v="30"/>
    <d v="2015-03-04T00:00:00"/>
    <x v="537"/>
    <n v="1"/>
    <n v="12.18"/>
    <n v="90043"/>
  </r>
  <r>
    <n v="20167"/>
    <x v="0"/>
    <n v="0.02"/>
    <n v="40.99"/>
    <n v="17.48"/>
    <n v="1005"/>
    <x v="326"/>
    <x v="2"/>
    <x v="2"/>
    <x v="0"/>
    <x v="7"/>
    <x v="3"/>
    <x v="399"/>
    <n v="0.36"/>
    <x v="0"/>
    <x v="2"/>
    <x v="12"/>
    <x v="182"/>
    <n v="60089"/>
    <x v="139"/>
    <d v="2015-02-28T00:00:00"/>
    <x v="538"/>
    <n v="23"/>
    <n v="950.43"/>
    <n v="90044"/>
  </r>
  <r>
    <n v="18529"/>
    <x v="0"/>
    <n v="0.01"/>
    <n v="3.15"/>
    <n v="0.49"/>
    <n v="1008"/>
    <x v="327"/>
    <x v="2"/>
    <x v="1"/>
    <x v="0"/>
    <x v="9"/>
    <x v="3"/>
    <x v="400"/>
    <n v="0.37"/>
    <x v="0"/>
    <x v="1"/>
    <x v="14"/>
    <x v="269"/>
    <n v="4038"/>
    <x v="40"/>
    <d v="2015-05-27T00:00:00"/>
    <x v="539"/>
    <n v="8"/>
    <n v="25.37"/>
    <n v="88371"/>
  </r>
  <r>
    <n v="18886"/>
    <x v="0"/>
    <n v="0.1"/>
    <n v="550.98"/>
    <n v="45.7"/>
    <n v="1009"/>
    <x v="328"/>
    <x v="1"/>
    <x v="0"/>
    <x v="1"/>
    <x v="11"/>
    <x v="5"/>
    <x v="401"/>
    <n v="0.71"/>
    <x v="0"/>
    <x v="1"/>
    <x v="14"/>
    <x v="270"/>
    <n v="4072"/>
    <x v="117"/>
    <d v="2015-06-21T00:00:00"/>
    <x v="540"/>
    <n v="14"/>
    <n v="6963.67"/>
    <n v="88372"/>
  </r>
  <r>
    <n v="21184"/>
    <x v="2"/>
    <n v="0.09"/>
    <n v="28.48"/>
    <n v="1.99"/>
    <n v="1014"/>
    <x v="329"/>
    <x v="2"/>
    <x v="1"/>
    <x v="2"/>
    <x v="13"/>
    <x v="2"/>
    <x v="137"/>
    <n v="0.4"/>
    <x v="0"/>
    <x v="3"/>
    <x v="40"/>
    <x v="271"/>
    <n v="72022"/>
    <x v="151"/>
    <d v="2015-03-02T00:00:00"/>
    <x v="541"/>
    <n v="6"/>
    <n v="160.16999999999999"/>
    <n v="88387"/>
  </r>
  <r>
    <n v="21185"/>
    <x v="2"/>
    <n v="0"/>
    <n v="2.08"/>
    <n v="5.33"/>
    <n v="1014"/>
    <x v="329"/>
    <x v="2"/>
    <x v="1"/>
    <x v="1"/>
    <x v="2"/>
    <x v="3"/>
    <x v="261"/>
    <n v="0.43"/>
    <x v="0"/>
    <x v="3"/>
    <x v="40"/>
    <x v="271"/>
    <n v="72022"/>
    <x v="151"/>
    <d v="2015-03-03T00:00:00"/>
    <x v="542"/>
    <n v="3"/>
    <n v="7.47"/>
    <n v="88387"/>
  </r>
  <r>
    <n v="21186"/>
    <x v="2"/>
    <n v="0.06"/>
    <n v="45.99"/>
    <n v="4.99"/>
    <n v="1014"/>
    <x v="329"/>
    <x v="0"/>
    <x v="1"/>
    <x v="2"/>
    <x v="5"/>
    <x v="3"/>
    <x v="402"/>
    <n v="0.56000000000000005"/>
    <x v="0"/>
    <x v="3"/>
    <x v="40"/>
    <x v="271"/>
    <n v="72022"/>
    <x v="151"/>
    <d v="2015-03-02T00:00:00"/>
    <x v="543"/>
    <n v="10"/>
    <n v="370.81"/>
    <n v="88387"/>
  </r>
  <r>
    <n v="20880"/>
    <x v="1"/>
    <n v="0.08"/>
    <n v="10.91"/>
    <n v="2.99"/>
    <n v="1014"/>
    <x v="329"/>
    <x v="2"/>
    <x v="1"/>
    <x v="0"/>
    <x v="8"/>
    <x v="3"/>
    <x v="403"/>
    <n v="0.38"/>
    <x v="0"/>
    <x v="3"/>
    <x v="40"/>
    <x v="271"/>
    <n v="72022"/>
    <x v="93"/>
    <d v="2015-03-06T00:00:00"/>
    <x v="544"/>
    <n v="11"/>
    <n v="119.99"/>
    <n v="88388"/>
  </r>
  <r>
    <n v="20531"/>
    <x v="3"/>
    <n v="0"/>
    <n v="43.98"/>
    <n v="8.99"/>
    <n v="1015"/>
    <x v="330"/>
    <x v="2"/>
    <x v="1"/>
    <x v="0"/>
    <x v="0"/>
    <x v="2"/>
    <x v="404"/>
    <n v="0.57999999999999996"/>
    <x v="0"/>
    <x v="3"/>
    <x v="24"/>
    <x v="272"/>
    <n v="27502"/>
    <x v="103"/>
    <d v="2015-03-18T00:00:00"/>
    <x v="545"/>
    <n v="14"/>
    <n v="650.70000000000005"/>
    <n v="88390"/>
  </r>
  <r>
    <n v="24752"/>
    <x v="0"/>
    <n v="0.02"/>
    <n v="6.48"/>
    <n v="7.86"/>
    <n v="1016"/>
    <x v="331"/>
    <x v="0"/>
    <x v="1"/>
    <x v="0"/>
    <x v="7"/>
    <x v="3"/>
    <x v="405"/>
    <n v="0.37"/>
    <x v="0"/>
    <x v="3"/>
    <x v="24"/>
    <x v="273"/>
    <n v="28806"/>
    <x v="20"/>
    <d v="2015-06-13T00:00:00"/>
    <x v="546"/>
    <n v="1"/>
    <n v="11.41"/>
    <n v="88389"/>
  </r>
  <r>
    <n v="25027"/>
    <x v="3"/>
    <n v="0.05"/>
    <n v="35.89"/>
    <n v="14.72"/>
    <n v="1018"/>
    <x v="332"/>
    <x v="2"/>
    <x v="1"/>
    <x v="0"/>
    <x v="4"/>
    <x v="3"/>
    <x v="406"/>
    <n v="0.4"/>
    <x v="0"/>
    <x v="3"/>
    <x v="24"/>
    <x v="274"/>
    <n v="27511"/>
    <x v="4"/>
    <d v="2015-04-09T00:00:00"/>
    <x v="547"/>
    <n v="19"/>
    <n v="680.39"/>
    <n v="88391"/>
  </r>
  <r>
    <n v="25028"/>
    <x v="3"/>
    <n v="0"/>
    <n v="11.48"/>
    <n v="5.43"/>
    <n v="1018"/>
    <x v="332"/>
    <x v="2"/>
    <x v="1"/>
    <x v="0"/>
    <x v="7"/>
    <x v="3"/>
    <x v="407"/>
    <n v="0.36"/>
    <x v="0"/>
    <x v="3"/>
    <x v="24"/>
    <x v="274"/>
    <n v="27511"/>
    <x v="4"/>
    <d v="2015-04-08T00:00:00"/>
    <x v="548"/>
    <n v="6"/>
    <n v="75.52"/>
    <n v="88391"/>
  </r>
  <r>
    <n v="24926"/>
    <x v="2"/>
    <n v="0.09"/>
    <n v="517.48"/>
    <n v="16.63"/>
    <n v="1020"/>
    <x v="333"/>
    <x v="1"/>
    <x v="2"/>
    <x v="2"/>
    <x v="6"/>
    <x v="5"/>
    <x v="408"/>
    <n v="0.59"/>
    <x v="0"/>
    <x v="2"/>
    <x v="13"/>
    <x v="275"/>
    <n v="66762"/>
    <x v="146"/>
    <d v="2015-03-07T00:00:00"/>
    <x v="549"/>
    <n v="5"/>
    <n v="2354.54"/>
    <n v="88632"/>
  </r>
  <r>
    <n v="23562"/>
    <x v="2"/>
    <n v="7.0000000000000007E-2"/>
    <n v="4.13"/>
    <n v="5.04"/>
    <n v="1020"/>
    <x v="333"/>
    <x v="2"/>
    <x v="2"/>
    <x v="0"/>
    <x v="8"/>
    <x v="3"/>
    <x v="237"/>
    <n v="0.38"/>
    <x v="0"/>
    <x v="2"/>
    <x v="13"/>
    <x v="275"/>
    <n v="66762"/>
    <x v="92"/>
    <d v="2015-02-07T00:00:00"/>
    <x v="550"/>
    <n v="20"/>
    <n v="79.06"/>
    <n v="88634"/>
  </r>
  <r>
    <n v="23563"/>
    <x v="2"/>
    <n v="0"/>
    <n v="4.4800000000000004"/>
    <n v="2.5"/>
    <n v="1020"/>
    <x v="333"/>
    <x v="2"/>
    <x v="2"/>
    <x v="0"/>
    <x v="4"/>
    <x v="3"/>
    <x v="409"/>
    <n v="0.37"/>
    <x v="0"/>
    <x v="2"/>
    <x v="13"/>
    <x v="275"/>
    <n v="66762"/>
    <x v="92"/>
    <d v="2015-02-08T00:00:00"/>
    <x v="551"/>
    <n v="14"/>
    <n v="65.14"/>
    <n v="88634"/>
  </r>
  <r>
    <n v="18921"/>
    <x v="2"/>
    <n v="0.02"/>
    <n v="39.06"/>
    <n v="10.55"/>
    <n v="1023"/>
    <x v="334"/>
    <x v="2"/>
    <x v="2"/>
    <x v="0"/>
    <x v="8"/>
    <x v="3"/>
    <x v="410"/>
    <n v="0.37"/>
    <x v="0"/>
    <x v="1"/>
    <x v="19"/>
    <x v="276"/>
    <n v="15221"/>
    <x v="7"/>
    <d v="2015-05-15T00:00:00"/>
    <x v="552"/>
    <n v="16"/>
    <n v="640.71"/>
    <n v="88633"/>
  </r>
  <r>
    <n v="18922"/>
    <x v="2"/>
    <n v="0.1"/>
    <n v="37.700000000000003"/>
    <n v="2.99"/>
    <n v="1023"/>
    <x v="334"/>
    <x v="2"/>
    <x v="2"/>
    <x v="0"/>
    <x v="8"/>
    <x v="3"/>
    <x v="188"/>
    <n v="0.35"/>
    <x v="0"/>
    <x v="1"/>
    <x v="19"/>
    <x v="276"/>
    <n v="15221"/>
    <x v="7"/>
    <d v="2015-05-16T00:00:00"/>
    <x v="553"/>
    <n v="18"/>
    <n v="659.6"/>
    <n v="88633"/>
  </r>
  <r>
    <n v="21402"/>
    <x v="1"/>
    <n v="0.08"/>
    <n v="65.989999999999995"/>
    <n v="5.92"/>
    <n v="1026"/>
    <x v="335"/>
    <x v="2"/>
    <x v="2"/>
    <x v="2"/>
    <x v="5"/>
    <x v="3"/>
    <x v="411"/>
    <n v="0.57999999999999996"/>
    <x v="0"/>
    <x v="1"/>
    <x v="4"/>
    <x v="277"/>
    <n v="11722"/>
    <x v="131"/>
    <d v="2015-02-07T00:00:00"/>
    <x v="554"/>
    <n v="22"/>
    <n v="1137.5999999999999"/>
    <n v="89005"/>
  </r>
  <r>
    <n v="20872"/>
    <x v="0"/>
    <n v="0.1"/>
    <n v="5.98"/>
    <n v="3.85"/>
    <n v="1026"/>
    <x v="335"/>
    <x v="2"/>
    <x v="2"/>
    <x v="2"/>
    <x v="13"/>
    <x v="2"/>
    <x v="412"/>
    <n v="0.68"/>
    <x v="0"/>
    <x v="1"/>
    <x v="4"/>
    <x v="277"/>
    <n v="11722"/>
    <x v="124"/>
    <d v="2015-05-30T00:00:00"/>
    <x v="555"/>
    <n v="26"/>
    <n v="151.55000000000001"/>
    <n v="89008"/>
  </r>
  <r>
    <n v="20873"/>
    <x v="0"/>
    <n v="7.0000000000000007E-2"/>
    <n v="2.61"/>
    <n v="0.5"/>
    <n v="1026"/>
    <x v="335"/>
    <x v="2"/>
    <x v="2"/>
    <x v="0"/>
    <x v="9"/>
    <x v="3"/>
    <x v="413"/>
    <n v="0.39"/>
    <x v="0"/>
    <x v="1"/>
    <x v="4"/>
    <x v="277"/>
    <n v="11722"/>
    <x v="124"/>
    <d v="2015-06-01T00:00:00"/>
    <x v="556"/>
    <n v="22"/>
    <n v="57.03"/>
    <n v="89008"/>
  </r>
  <r>
    <n v="22662"/>
    <x v="0"/>
    <n v="0.1"/>
    <n v="73.98"/>
    <n v="4"/>
    <n v="1027"/>
    <x v="336"/>
    <x v="2"/>
    <x v="2"/>
    <x v="2"/>
    <x v="13"/>
    <x v="3"/>
    <x v="414"/>
    <n v="0.79"/>
    <x v="0"/>
    <x v="1"/>
    <x v="4"/>
    <x v="278"/>
    <n v="14225"/>
    <x v="14"/>
    <d v="2015-03-13T00:00:00"/>
    <x v="557"/>
    <n v="5"/>
    <n v="347.23"/>
    <n v="89004"/>
  </r>
  <r>
    <n v="22663"/>
    <x v="0"/>
    <n v="0.05"/>
    <n v="51.98"/>
    <n v="10.17"/>
    <n v="1027"/>
    <x v="336"/>
    <x v="2"/>
    <x v="2"/>
    <x v="2"/>
    <x v="6"/>
    <x v="4"/>
    <x v="415"/>
    <n v="0.37"/>
    <x v="0"/>
    <x v="1"/>
    <x v="4"/>
    <x v="278"/>
    <n v="14225"/>
    <x v="14"/>
    <d v="2015-03-13T00:00:00"/>
    <x v="558"/>
    <n v="9"/>
    <n v="478.23"/>
    <n v="89004"/>
  </r>
  <r>
    <n v="24325"/>
    <x v="3"/>
    <n v="7.0000000000000007E-2"/>
    <n v="7.08"/>
    <n v="2.35"/>
    <n v="1028"/>
    <x v="337"/>
    <x v="0"/>
    <x v="2"/>
    <x v="0"/>
    <x v="0"/>
    <x v="0"/>
    <x v="416"/>
    <n v="0.47"/>
    <x v="0"/>
    <x v="1"/>
    <x v="4"/>
    <x v="279"/>
    <n v="11725"/>
    <x v="48"/>
    <d v="2015-03-30T00:00:00"/>
    <x v="559"/>
    <n v="13"/>
    <n v="93.82"/>
    <n v="89006"/>
  </r>
  <r>
    <n v="23398"/>
    <x v="1"/>
    <n v="0.05"/>
    <n v="83.1"/>
    <n v="6.13"/>
    <n v="1028"/>
    <x v="337"/>
    <x v="0"/>
    <x v="2"/>
    <x v="2"/>
    <x v="13"/>
    <x v="3"/>
    <x v="417"/>
    <n v="0.45"/>
    <x v="0"/>
    <x v="1"/>
    <x v="4"/>
    <x v="279"/>
    <n v="11725"/>
    <x v="100"/>
    <d v="2015-05-09T00:00:00"/>
    <x v="560"/>
    <n v="20"/>
    <n v="1670.33"/>
    <n v="89007"/>
  </r>
  <r>
    <n v="21959"/>
    <x v="2"/>
    <n v="7.0000000000000007E-2"/>
    <n v="125.99"/>
    <n v="2.5"/>
    <n v="1035"/>
    <x v="338"/>
    <x v="2"/>
    <x v="1"/>
    <x v="2"/>
    <x v="5"/>
    <x v="3"/>
    <x v="418"/>
    <n v="0.6"/>
    <x v="0"/>
    <x v="1"/>
    <x v="10"/>
    <x v="280"/>
    <n v="43015"/>
    <x v="114"/>
    <d v="2015-03-13T00:00:00"/>
    <x v="561"/>
    <n v="1"/>
    <n v="100.59"/>
    <n v="90710"/>
  </r>
  <r>
    <n v="21960"/>
    <x v="2"/>
    <n v="0.03"/>
    <n v="99.99"/>
    <n v="19.989999999999998"/>
    <n v="1036"/>
    <x v="339"/>
    <x v="2"/>
    <x v="1"/>
    <x v="2"/>
    <x v="13"/>
    <x v="3"/>
    <x v="419"/>
    <n v="0.52"/>
    <x v="0"/>
    <x v="1"/>
    <x v="10"/>
    <x v="281"/>
    <n v="43017"/>
    <x v="114"/>
    <d v="2015-03-14T00:00:00"/>
    <x v="562"/>
    <n v="6"/>
    <n v="598.38"/>
    <n v="90710"/>
  </r>
  <r>
    <n v="20669"/>
    <x v="2"/>
    <n v="0.1"/>
    <n v="7.64"/>
    <n v="5.83"/>
    <n v="1038"/>
    <x v="340"/>
    <x v="2"/>
    <x v="0"/>
    <x v="0"/>
    <x v="7"/>
    <x v="0"/>
    <x v="372"/>
    <n v="0.36"/>
    <x v="0"/>
    <x v="3"/>
    <x v="26"/>
    <x v="282"/>
    <n v="33430"/>
    <x v="154"/>
    <d v="2015-06-17T00:00:00"/>
    <x v="563"/>
    <n v="5"/>
    <n v="39.36"/>
    <n v="90641"/>
  </r>
  <r>
    <n v="18404"/>
    <x v="2"/>
    <n v="0.06"/>
    <n v="55.94"/>
    <n v="4"/>
    <n v="1041"/>
    <x v="341"/>
    <x v="2"/>
    <x v="2"/>
    <x v="2"/>
    <x v="13"/>
    <x v="3"/>
    <x v="420"/>
    <n v="0.74"/>
    <x v="0"/>
    <x v="0"/>
    <x v="1"/>
    <x v="283"/>
    <n v="95695"/>
    <x v="89"/>
    <d v="2015-04-18T00:00:00"/>
    <x v="564"/>
    <n v="6"/>
    <n v="322.77"/>
    <n v="87846"/>
  </r>
  <r>
    <n v="18405"/>
    <x v="2"/>
    <n v="7.0000000000000007E-2"/>
    <n v="6.3"/>
    <n v="0.5"/>
    <n v="1041"/>
    <x v="341"/>
    <x v="2"/>
    <x v="2"/>
    <x v="0"/>
    <x v="9"/>
    <x v="3"/>
    <x v="421"/>
    <n v="0.39"/>
    <x v="0"/>
    <x v="0"/>
    <x v="1"/>
    <x v="283"/>
    <n v="95695"/>
    <x v="89"/>
    <d v="2015-04-17T00:00:00"/>
    <x v="565"/>
    <n v="11"/>
    <n v="65.09"/>
    <n v="87846"/>
  </r>
  <r>
    <n v="20937"/>
    <x v="2"/>
    <n v="0"/>
    <n v="14.42"/>
    <n v="6.75"/>
    <n v="1042"/>
    <x v="342"/>
    <x v="0"/>
    <x v="2"/>
    <x v="0"/>
    <x v="15"/>
    <x v="4"/>
    <x v="194"/>
    <n v="0.52"/>
    <x v="0"/>
    <x v="0"/>
    <x v="1"/>
    <x v="284"/>
    <n v="95991"/>
    <x v="41"/>
    <d v="2015-05-17T00:00:00"/>
    <x v="566"/>
    <n v="6"/>
    <n v="98.96"/>
    <n v="87847"/>
  </r>
  <r>
    <n v="3926"/>
    <x v="2"/>
    <n v="0.02"/>
    <n v="209.84"/>
    <n v="21.21"/>
    <n v="1044"/>
    <x v="343"/>
    <x v="2"/>
    <x v="1"/>
    <x v="1"/>
    <x v="2"/>
    <x v="6"/>
    <x v="422"/>
    <n v="0.59"/>
    <x v="0"/>
    <x v="0"/>
    <x v="1"/>
    <x v="154"/>
    <n v="90004"/>
    <x v="110"/>
    <d v="2015-06-14T00:00:00"/>
    <x v="567"/>
    <n v="62"/>
    <n v="13546.94"/>
    <n v="28001"/>
  </r>
  <r>
    <n v="3927"/>
    <x v="2"/>
    <n v="0.01"/>
    <n v="194.3"/>
    <n v="11.54"/>
    <n v="1044"/>
    <x v="343"/>
    <x v="2"/>
    <x v="1"/>
    <x v="1"/>
    <x v="2"/>
    <x v="6"/>
    <x v="423"/>
    <n v="0.59"/>
    <x v="0"/>
    <x v="0"/>
    <x v="1"/>
    <x v="154"/>
    <n v="90004"/>
    <x v="110"/>
    <d v="2015-06-16T00:00:00"/>
    <x v="568"/>
    <n v="32"/>
    <n v="6401.65"/>
    <n v="28001"/>
  </r>
  <r>
    <n v="6711"/>
    <x v="0"/>
    <n v="0"/>
    <n v="6.68"/>
    <n v="5.66"/>
    <n v="1044"/>
    <x v="343"/>
    <x v="2"/>
    <x v="1"/>
    <x v="0"/>
    <x v="7"/>
    <x v="3"/>
    <x v="424"/>
    <n v="0.37"/>
    <x v="0"/>
    <x v="0"/>
    <x v="1"/>
    <x v="154"/>
    <n v="90004"/>
    <x v="139"/>
    <d v="2015-02-28T00:00:00"/>
    <x v="569"/>
    <n v="90"/>
    <n v="617.4"/>
    <n v="47813"/>
  </r>
  <r>
    <n v="24711"/>
    <x v="0"/>
    <n v="0"/>
    <n v="6.68"/>
    <n v="5.66"/>
    <n v="1047"/>
    <x v="344"/>
    <x v="2"/>
    <x v="1"/>
    <x v="0"/>
    <x v="7"/>
    <x v="3"/>
    <x v="424"/>
    <n v="0.37"/>
    <x v="0"/>
    <x v="1"/>
    <x v="15"/>
    <x v="28"/>
    <n v="2109"/>
    <x v="139"/>
    <d v="2015-02-28T00:00:00"/>
    <x v="570"/>
    <n v="23"/>
    <n v="157.78"/>
    <n v="89389"/>
  </r>
  <r>
    <n v="26259"/>
    <x v="1"/>
    <n v="0.03"/>
    <n v="5.44"/>
    <n v="7.46"/>
    <n v="1054"/>
    <x v="345"/>
    <x v="0"/>
    <x v="0"/>
    <x v="0"/>
    <x v="8"/>
    <x v="3"/>
    <x v="425"/>
    <n v="0.36"/>
    <x v="0"/>
    <x v="0"/>
    <x v="28"/>
    <x v="285"/>
    <n v="85374"/>
    <x v="40"/>
    <d v="2015-05-27T00:00:00"/>
    <x v="571"/>
    <n v="4"/>
    <n v="26.31"/>
    <n v="90069"/>
  </r>
  <r>
    <n v="26260"/>
    <x v="1"/>
    <n v="0.08"/>
    <n v="26.38"/>
    <n v="5.58"/>
    <n v="1054"/>
    <x v="345"/>
    <x v="2"/>
    <x v="0"/>
    <x v="0"/>
    <x v="7"/>
    <x v="3"/>
    <x v="426"/>
    <n v="0.39"/>
    <x v="0"/>
    <x v="0"/>
    <x v="28"/>
    <x v="285"/>
    <n v="85374"/>
    <x v="40"/>
    <d v="2015-05-26T00:00:00"/>
    <x v="572"/>
    <n v="8"/>
    <n v="209.78"/>
    <n v="90069"/>
  </r>
  <r>
    <n v="26261"/>
    <x v="1"/>
    <n v="0.06"/>
    <n v="20.99"/>
    <n v="2.5"/>
    <n v="1054"/>
    <x v="345"/>
    <x v="2"/>
    <x v="0"/>
    <x v="2"/>
    <x v="5"/>
    <x v="0"/>
    <x v="427"/>
    <n v="0.81"/>
    <x v="0"/>
    <x v="0"/>
    <x v="28"/>
    <x v="285"/>
    <n v="85374"/>
    <x v="40"/>
    <d v="2015-05-27T00:00:00"/>
    <x v="573"/>
    <n v="1"/>
    <n v="17.829999999999998"/>
    <n v="90069"/>
  </r>
  <r>
    <n v="8200"/>
    <x v="3"/>
    <n v="0.09"/>
    <n v="138.75"/>
    <n v="52.42"/>
    <n v="1060"/>
    <x v="346"/>
    <x v="1"/>
    <x v="2"/>
    <x v="1"/>
    <x v="11"/>
    <x v="5"/>
    <x v="428"/>
    <n v="0.74"/>
    <x v="0"/>
    <x v="3"/>
    <x v="29"/>
    <x v="135"/>
    <n v="30318"/>
    <x v="120"/>
    <d v="2015-03-25T00:00:00"/>
    <x v="574"/>
    <n v="23"/>
    <n v="2527.79"/>
    <n v="58628"/>
  </r>
  <r>
    <n v="7980"/>
    <x v="4"/>
    <n v="7.0000000000000007E-2"/>
    <n v="6.3"/>
    <n v="0.5"/>
    <n v="1060"/>
    <x v="346"/>
    <x v="2"/>
    <x v="2"/>
    <x v="0"/>
    <x v="9"/>
    <x v="3"/>
    <x v="57"/>
    <n v="0.39"/>
    <x v="0"/>
    <x v="3"/>
    <x v="29"/>
    <x v="135"/>
    <n v="30318"/>
    <x v="155"/>
    <d v="2015-05-30T00:00:00"/>
    <x v="575"/>
    <n v="20"/>
    <n v="121.87"/>
    <n v="57061"/>
  </r>
  <r>
    <n v="26200"/>
    <x v="3"/>
    <n v="0.09"/>
    <n v="138.75"/>
    <n v="52.42"/>
    <n v="1062"/>
    <x v="347"/>
    <x v="1"/>
    <x v="2"/>
    <x v="1"/>
    <x v="11"/>
    <x v="5"/>
    <x v="428"/>
    <n v="0.74"/>
    <x v="0"/>
    <x v="1"/>
    <x v="4"/>
    <x v="286"/>
    <n v="11727"/>
    <x v="120"/>
    <d v="2015-03-25T00:00:00"/>
    <x v="576"/>
    <n v="6"/>
    <n v="659.42"/>
    <n v="91354"/>
  </r>
  <r>
    <n v="25979"/>
    <x v="4"/>
    <n v="0.04"/>
    <n v="22.38"/>
    <n v="15.1"/>
    <n v="1062"/>
    <x v="347"/>
    <x v="2"/>
    <x v="2"/>
    <x v="0"/>
    <x v="8"/>
    <x v="3"/>
    <x v="429"/>
    <n v="0.38"/>
    <x v="0"/>
    <x v="1"/>
    <x v="4"/>
    <x v="286"/>
    <n v="11727"/>
    <x v="155"/>
    <d v="2015-06-07T00:00:00"/>
    <x v="577"/>
    <n v="18"/>
    <n v="403.53"/>
    <n v="91355"/>
  </r>
  <r>
    <n v="25981"/>
    <x v="4"/>
    <n v="0.06"/>
    <n v="17.78"/>
    <n v="5.03"/>
    <n v="1062"/>
    <x v="347"/>
    <x v="2"/>
    <x v="2"/>
    <x v="1"/>
    <x v="2"/>
    <x v="3"/>
    <x v="430"/>
    <n v="0.54"/>
    <x v="0"/>
    <x v="1"/>
    <x v="4"/>
    <x v="286"/>
    <n v="11727"/>
    <x v="155"/>
    <d v="2015-06-02T00:00:00"/>
    <x v="578"/>
    <n v="3"/>
    <n v="55.17"/>
    <n v="91355"/>
  </r>
  <r>
    <n v="19445"/>
    <x v="2"/>
    <n v="0.01"/>
    <n v="15.99"/>
    <n v="13.18"/>
    <n v="1065"/>
    <x v="348"/>
    <x v="2"/>
    <x v="0"/>
    <x v="0"/>
    <x v="8"/>
    <x v="3"/>
    <x v="222"/>
    <n v="0.37"/>
    <x v="0"/>
    <x v="2"/>
    <x v="12"/>
    <x v="287"/>
    <n v="60459"/>
    <x v="29"/>
    <d v="2015-02-20T00:00:00"/>
    <x v="579"/>
    <n v="23"/>
    <n v="377.44"/>
    <n v="88899"/>
  </r>
  <r>
    <n v="20445"/>
    <x v="4"/>
    <n v="0.04"/>
    <n v="22.84"/>
    <n v="16.87"/>
    <n v="1068"/>
    <x v="349"/>
    <x v="2"/>
    <x v="1"/>
    <x v="0"/>
    <x v="7"/>
    <x v="3"/>
    <x v="431"/>
    <n v="0.39"/>
    <x v="0"/>
    <x v="2"/>
    <x v="12"/>
    <x v="288"/>
    <n v="60409"/>
    <x v="44"/>
    <d v="2015-03-16T00:00:00"/>
    <x v="580"/>
    <n v="12"/>
    <n v="286.39999999999998"/>
    <n v="87109"/>
  </r>
  <r>
    <n v="24737"/>
    <x v="3"/>
    <n v="0.02"/>
    <n v="15.94"/>
    <n v="5.45"/>
    <n v="1069"/>
    <x v="350"/>
    <x v="2"/>
    <x v="1"/>
    <x v="0"/>
    <x v="0"/>
    <x v="2"/>
    <x v="432"/>
    <n v="0.55000000000000004"/>
    <x v="0"/>
    <x v="2"/>
    <x v="12"/>
    <x v="289"/>
    <n v="62901"/>
    <x v="50"/>
    <d v="2015-05-15T00:00:00"/>
    <x v="581"/>
    <n v="41"/>
    <n v="664.34"/>
    <n v="87110"/>
  </r>
  <r>
    <n v="22685"/>
    <x v="1"/>
    <n v="0.01"/>
    <n v="150.88999999999999"/>
    <n v="60.2"/>
    <n v="1072"/>
    <x v="351"/>
    <x v="1"/>
    <x v="0"/>
    <x v="1"/>
    <x v="1"/>
    <x v="1"/>
    <x v="433"/>
    <n v="0.77"/>
    <x v="0"/>
    <x v="1"/>
    <x v="19"/>
    <x v="290"/>
    <n v="18018"/>
    <x v="12"/>
    <d v="2015-03-30T00:00:00"/>
    <x v="582"/>
    <n v="3"/>
    <n v="473.53"/>
    <n v="89631"/>
  </r>
  <r>
    <n v="26176"/>
    <x v="0"/>
    <n v="0.04"/>
    <n v="19.23"/>
    <n v="6.15"/>
    <n v="1075"/>
    <x v="352"/>
    <x v="2"/>
    <x v="1"/>
    <x v="1"/>
    <x v="2"/>
    <x v="2"/>
    <x v="159"/>
    <n v="0.44"/>
    <x v="0"/>
    <x v="2"/>
    <x v="12"/>
    <x v="291"/>
    <n v="60441"/>
    <x v="156"/>
    <d v="2015-03-10T00:00:00"/>
    <x v="583"/>
    <n v="11"/>
    <n v="220.92"/>
    <n v="86422"/>
  </r>
  <r>
    <n v="23312"/>
    <x v="1"/>
    <n v="0.08"/>
    <n v="13.9"/>
    <n v="7.59"/>
    <n v="1080"/>
    <x v="353"/>
    <x v="2"/>
    <x v="0"/>
    <x v="0"/>
    <x v="12"/>
    <x v="2"/>
    <x v="243"/>
    <n v="0.56000000000000005"/>
    <x v="0"/>
    <x v="2"/>
    <x v="12"/>
    <x v="292"/>
    <n v="60174"/>
    <x v="100"/>
    <d v="2015-05-09T00:00:00"/>
    <x v="584"/>
    <n v="14"/>
    <n v="196.41"/>
    <n v="88461"/>
  </r>
  <r>
    <n v="24324"/>
    <x v="1"/>
    <n v="7.0000000000000007E-2"/>
    <n v="55.99"/>
    <n v="5"/>
    <n v="1083"/>
    <x v="354"/>
    <x v="0"/>
    <x v="0"/>
    <x v="2"/>
    <x v="5"/>
    <x v="2"/>
    <x v="134"/>
    <n v="0.83"/>
    <x v="0"/>
    <x v="2"/>
    <x v="12"/>
    <x v="293"/>
    <n v="62701"/>
    <x v="157"/>
    <d v="2015-04-02T00:00:00"/>
    <x v="585"/>
    <n v="1"/>
    <n v="54.08"/>
    <n v="88460"/>
  </r>
  <r>
    <n v="18047"/>
    <x v="1"/>
    <n v="0.05"/>
    <n v="7.64"/>
    <n v="5.83"/>
    <n v="1085"/>
    <x v="355"/>
    <x v="2"/>
    <x v="1"/>
    <x v="0"/>
    <x v="7"/>
    <x v="0"/>
    <x v="372"/>
    <n v="0.36"/>
    <x v="0"/>
    <x v="1"/>
    <x v="4"/>
    <x v="294"/>
    <n v="11729"/>
    <x v="99"/>
    <d v="2015-01-06T00:00:00"/>
    <x v="586"/>
    <n v="6"/>
    <n v="47.18"/>
    <n v="86122"/>
  </r>
  <r>
    <n v="25279"/>
    <x v="0"/>
    <n v="0.04"/>
    <n v="9.06"/>
    <n v="9.86"/>
    <n v="1085"/>
    <x v="355"/>
    <x v="2"/>
    <x v="1"/>
    <x v="0"/>
    <x v="7"/>
    <x v="3"/>
    <x v="204"/>
    <n v="0.4"/>
    <x v="0"/>
    <x v="1"/>
    <x v="4"/>
    <x v="294"/>
    <n v="11729"/>
    <x v="158"/>
    <d v="2015-04-25T00:00:00"/>
    <x v="587"/>
    <n v="3"/>
    <n v="30.87"/>
    <n v="86123"/>
  </r>
  <r>
    <n v="23104"/>
    <x v="1"/>
    <n v="0.06"/>
    <n v="30.42"/>
    <n v="8.65"/>
    <n v="1085"/>
    <x v="355"/>
    <x v="2"/>
    <x v="0"/>
    <x v="2"/>
    <x v="13"/>
    <x v="3"/>
    <x v="434"/>
    <n v="0.74"/>
    <x v="0"/>
    <x v="1"/>
    <x v="4"/>
    <x v="294"/>
    <n v="11729"/>
    <x v="116"/>
    <d v="2015-05-15T00:00:00"/>
    <x v="588"/>
    <n v="10"/>
    <n v="309.05"/>
    <n v="86124"/>
  </r>
  <r>
    <n v="23105"/>
    <x v="1"/>
    <n v="0.02"/>
    <n v="37.94"/>
    <n v="5.08"/>
    <n v="1085"/>
    <x v="355"/>
    <x v="2"/>
    <x v="0"/>
    <x v="0"/>
    <x v="7"/>
    <x v="0"/>
    <x v="320"/>
    <n v="0.38"/>
    <x v="0"/>
    <x v="1"/>
    <x v="4"/>
    <x v="294"/>
    <n v="11729"/>
    <x v="116"/>
    <d v="2015-05-14T00:00:00"/>
    <x v="589"/>
    <n v="8"/>
    <n v="299.3"/>
    <n v="86124"/>
  </r>
  <r>
    <n v="25280"/>
    <x v="0"/>
    <n v="0.04"/>
    <n v="14.27"/>
    <n v="7.27"/>
    <n v="1086"/>
    <x v="356"/>
    <x v="2"/>
    <x v="1"/>
    <x v="0"/>
    <x v="8"/>
    <x v="3"/>
    <x v="435"/>
    <n v="0.38"/>
    <x v="0"/>
    <x v="1"/>
    <x v="4"/>
    <x v="295"/>
    <n v="11746"/>
    <x v="158"/>
    <d v="2015-04-25T00:00:00"/>
    <x v="590"/>
    <n v="3"/>
    <n v="45.24"/>
    <n v="86123"/>
  </r>
  <r>
    <n v="22537"/>
    <x v="3"/>
    <n v="0.02"/>
    <n v="15.14"/>
    <n v="4.53"/>
    <n v="1101"/>
    <x v="357"/>
    <x v="2"/>
    <x v="2"/>
    <x v="0"/>
    <x v="10"/>
    <x v="3"/>
    <x v="436"/>
    <n v="0.81"/>
    <x v="0"/>
    <x v="0"/>
    <x v="1"/>
    <x v="265"/>
    <n v="93030"/>
    <x v="130"/>
    <d v="2015-05-06T00:00:00"/>
    <x v="591"/>
    <n v="3"/>
    <n v="51.02"/>
    <n v="91488"/>
  </r>
  <r>
    <n v="21847"/>
    <x v="1"/>
    <n v="0.05"/>
    <n v="328.14"/>
    <n v="91.05"/>
    <n v="1103"/>
    <x v="358"/>
    <x v="1"/>
    <x v="1"/>
    <x v="0"/>
    <x v="15"/>
    <x v="1"/>
    <x v="158"/>
    <n v="0.56999999999999995"/>
    <x v="0"/>
    <x v="2"/>
    <x v="32"/>
    <x v="296"/>
    <n v="68046"/>
    <x v="98"/>
    <d v="2015-04-11T00:00:00"/>
    <x v="592"/>
    <n v="7"/>
    <n v="2291.39"/>
    <n v="90977"/>
  </r>
  <r>
    <n v="3847"/>
    <x v="1"/>
    <n v="0.05"/>
    <n v="328.14"/>
    <n v="91.05"/>
    <n v="1104"/>
    <x v="359"/>
    <x v="1"/>
    <x v="1"/>
    <x v="0"/>
    <x v="15"/>
    <x v="1"/>
    <x v="158"/>
    <n v="0.56999999999999995"/>
    <x v="0"/>
    <x v="1"/>
    <x v="4"/>
    <x v="8"/>
    <n v="10282"/>
    <x v="98"/>
    <d v="2015-04-11T00:00:00"/>
    <x v="592"/>
    <n v="29"/>
    <n v="9492.92"/>
    <n v="27456"/>
  </r>
  <r>
    <n v="2808"/>
    <x v="3"/>
    <n v="0.04"/>
    <n v="6.35"/>
    <n v="1.02"/>
    <n v="1106"/>
    <x v="360"/>
    <x v="2"/>
    <x v="2"/>
    <x v="0"/>
    <x v="7"/>
    <x v="0"/>
    <x v="318"/>
    <n v="0.39"/>
    <x v="0"/>
    <x v="2"/>
    <x v="7"/>
    <x v="188"/>
    <n v="75220"/>
    <x v="135"/>
    <d v="2015-05-23T00:00:00"/>
    <x v="593"/>
    <n v="52"/>
    <n v="318.47000000000003"/>
    <n v="20261"/>
  </r>
  <r>
    <n v="106"/>
    <x v="0"/>
    <n v="0.01"/>
    <n v="9.31"/>
    <n v="3.98"/>
    <n v="1106"/>
    <x v="360"/>
    <x v="2"/>
    <x v="2"/>
    <x v="0"/>
    <x v="12"/>
    <x v="2"/>
    <x v="437"/>
    <n v="0.56000000000000005"/>
    <x v="0"/>
    <x v="2"/>
    <x v="7"/>
    <x v="188"/>
    <n v="75220"/>
    <x v="8"/>
    <d v="2015-05-22T00:00:00"/>
    <x v="594"/>
    <n v="61"/>
    <n v="586.96"/>
    <n v="646"/>
  </r>
  <r>
    <n v="6443"/>
    <x v="1"/>
    <n v="0.08"/>
    <n v="140.81"/>
    <n v="24.49"/>
    <n v="1106"/>
    <x v="360"/>
    <x v="2"/>
    <x v="3"/>
    <x v="1"/>
    <x v="1"/>
    <x v="6"/>
    <x v="438"/>
    <n v="0.56999999999999995"/>
    <x v="0"/>
    <x v="2"/>
    <x v="7"/>
    <x v="188"/>
    <n v="75220"/>
    <x v="132"/>
    <d v="2015-06-08T00:00:00"/>
    <x v="595"/>
    <n v="81"/>
    <n v="11272.77"/>
    <n v="45824"/>
  </r>
  <r>
    <n v="18106"/>
    <x v="0"/>
    <n v="0.01"/>
    <n v="9.31"/>
    <n v="3.98"/>
    <n v="1107"/>
    <x v="361"/>
    <x v="2"/>
    <x v="2"/>
    <x v="0"/>
    <x v="12"/>
    <x v="2"/>
    <x v="437"/>
    <n v="0.56000000000000005"/>
    <x v="0"/>
    <x v="2"/>
    <x v="7"/>
    <x v="297"/>
    <n v="77566"/>
    <x v="8"/>
    <d v="2015-05-22T00:00:00"/>
    <x v="596"/>
    <n v="15"/>
    <n v="144.33000000000001"/>
    <n v="86411"/>
  </r>
  <r>
    <n v="20807"/>
    <x v="3"/>
    <n v="0.09"/>
    <n v="31.74"/>
    <n v="12.62"/>
    <n v="1108"/>
    <x v="362"/>
    <x v="0"/>
    <x v="2"/>
    <x v="0"/>
    <x v="8"/>
    <x v="3"/>
    <x v="383"/>
    <n v="0.37"/>
    <x v="0"/>
    <x v="2"/>
    <x v="7"/>
    <x v="298"/>
    <n v="75146"/>
    <x v="135"/>
    <d v="2015-05-20T00:00:00"/>
    <x v="597"/>
    <n v="9"/>
    <n v="270.55"/>
    <n v="86409"/>
  </r>
  <r>
    <n v="20808"/>
    <x v="3"/>
    <n v="0.04"/>
    <n v="6.35"/>
    <n v="1.02"/>
    <n v="1108"/>
    <x v="362"/>
    <x v="2"/>
    <x v="2"/>
    <x v="0"/>
    <x v="7"/>
    <x v="0"/>
    <x v="318"/>
    <n v="0.39"/>
    <x v="0"/>
    <x v="2"/>
    <x v="7"/>
    <x v="298"/>
    <n v="75146"/>
    <x v="135"/>
    <d v="2015-05-23T00:00:00"/>
    <x v="598"/>
    <n v="13"/>
    <n v="79.62"/>
    <n v="86409"/>
  </r>
  <r>
    <n v="20809"/>
    <x v="3"/>
    <n v="0.02"/>
    <n v="65.989999999999995"/>
    <n v="8.99"/>
    <n v="1108"/>
    <x v="362"/>
    <x v="0"/>
    <x v="2"/>
    <x v="2"/>
    <x v="5"/>
    <x v="3"/>
    <x v="210"/>
    <n v="0.56000000000000005"/>
    <x v="0"/>
    <x v="2"/>
    <x v="7"/>
    <x v="298"/>
    <n v="75146"/>
    <x v="135"/>
    <d v="2015-05-21T00:00:00"/>
    <x v="599"/>
    <n v="8"/>
    <n v="479.79"/>
    <n v="86409"/>
  </r>
  <r>
    <n v="22480"/>
    <x v="3"/>
    <n v="0.08"/>
    <n v="8.3699999999999992"/>
    <n v="10.16"/>
    <n v="1109"/>
    <x v="363"/>
    <x v="2"/>
    <x v="3"/>
    <x v="1"/>
    <x v="2"/>
    <x v="6"/>
    <x v="439"/>
    <n v="0.59"/>
    <x v="0"/>
    <x v="2"/>
    <x v="7"/>
    <x v="299"/>
    <n v="78041"/>
    <x v="159"/>
    <d v="2015-06-29T00:00:00"/>
    <x v="600"/>
    <n v="13"/>
    <n v="108.99"/>
    <n v="86410"/>
  </r>
  <r>
    <n v="20176"/>
    <x v="1"/>
    <n v="0.03"/>
    <n v="300.98"/>
    <n v="54.92"/>
    <n v="1112"/>
    <x v="364"/>
    <x v="1"/>
    <x v="0"/>
    <x v="1"/>
    <x v="14"/>
    <x v="5"/>
    <x v="52"/>
    <n v="0.55000000000000004"/>
    <x v="0"/>
    <x v="0"/>
    <x v="1"/>
    <x v="300"/>
    <n v="92399"/>
    <x v="57"/>
    <d v="2015-04-04T00:00:00"/>
    <x v="601"/>
    <n v="12"/>
    <n v="3527.82"/>
    <n v="90832"/>
  </r>
  <r>
    <n v="20177"/>
    <x v="1"/>
    <n v="0.02"/>
    <n v="2550.14"/>
    <n v="29.7"/>
    <n v="1112"/>
    <x v="364"/>
    <x v="1"/>
    <x v="0"/>
    <x v="2"/>
    <x v="6"/>
    <x v="1"/>
    <x v="440"/>
    <n v="0.56999999999999995"/>
    <x v="0"/>
    <x v="0"/>
    <x v="1"/>
    <x v="300"/>
    <n v="92399"/>
    <x v="57"/>
    <d v="2015-04-04T00:00:00"/>
    <x v="602"/>
    <n v="2"/>
    <n v="4698.21"/>
    <n v="90832"/>
  </r>
  <r>
    <n v="26060"/>
    <x v="2"/>
    <n v="0.01"/>
    <n v="2.89"/>
    <n v="0.5"/>
    <n v="1113"/>
    <x v="365"/>
    <x v="2"/>
    <x v="0"/>
    <x v="0"/>
    <x v="9"/>
    <x v="3"/>
    <x v="277"/>
    <n v="0.38"/>
    <x v="0"/>
    <x v="0"/>
    <x v="21"/>
    <x v="301"/>
    <n v="80004"/>
    <x v="34"/>
    <d v="2015-04-07T00:00:00"/>
    <x v="603"/>
    <n v="14"/>
    <n v="43.08"/>
    <n v="90833"/>
  </r>
  <r>
    <n v="26061"/>
    <x v="2"/>
    <n v="0"/>
    <n v="55.99"/>
    <n v="5"/>
    <n v="1113"/>
    <x v="365"/>
    <x v="2"/>
    <x v="0"/>
    <x v="2"/>
    <x v="5"/>
    <x v="2"/>
    <x v="241"/>
    <n v="0.8"/>
    <x v="0"/>
    <x v="0"/>
    <x v="21"/>
    <x v="301"/>
    <n v="80004"/>
    <x v="34"/>
    <d v="2015-04-08T00:00:00"/>
    <x v="604"/>
    <n v="5"/>
    <n v="258.93"/>
    <n v="90833"/>
  </r>
  <r>
    <n v="21579"/>
    <x v="1"/>
    <n v="0.06"/>
    <n v="64.650000000000006"/>
    <n v="35"/>
    <n v="1117"/>
    <x v="366"/>
    <x v="2"/>
    <x v="1"/>
    <x v="0"/>
    <x v="10"/>
    <x v="6"/>
    <x v="333"/>
    <n v="0.8"/>
    <x v="0"/>
    <x v="0"/>
    <x v="28"/>
    <x v="302"/>
    <n v="85705"/>
    <x v="64"/>
    <d v="2015-02-06T00:00:00"/>
    <x v="605"/>
    <n v="4"/>
    <n v="277.60000000000002"/>
    <n v="86768"/>
  </r>
  <r>
    <n v="21329"/>
    <x v="4"/>
    <n v="0.04"/>
    <n v="19.98"/>
    <n v="8.68"/>
    <n v="1121"/>
    <x v="367"/>
    <x v="2"/>
    <x v="3"/>
    <x v="0"/>
    <x v="7"/>
    <x v="3"/>
    <x v="441"/>
    <n v="0.37"/>
    <x v="0"/>
    <x v="0"/>
    <x v="1"/>
    <x v="303"/>
    <n v="92592"/>
    <x v="131"/>
    <d v="2015-02-14T00:00:00"/>
    <x v="606"/>
    <n v="8"/>
    <n v="168.04"/>
    <n v="86767"/>
  </r>
  <r>
    <n v="21330"/>
    <x v="4"/>
    <n v="0.08"/>
    <n v="125.99"/>
    <n v="7.69"/>
    <n v="1121"/>
    <x v="367"/>
    <x v="2"/>
    <x v="3"/>
    <x v="2"/>
    <x v="5"/>
    <x v="3"/>
    <x v="442"/>
    <n v="0.57999999999999996"/>
    <x v="0"/>
    <x v="0"/>
    <x v="1"/>
    <x v="303"/>
    <n v="92592"/>
    <x v="131"/>
    <d v="2015-02-09T00:00:00"/>
    <x v="607"/>
    <n v="7"/>
    <n v="703.46"/>
    <n v="86767"/>
  </r>
  <r>
    <n v="20612"/>
    <x v="0"/>
    <n v="0.03"/>
    <n v="7.3"/>
    <n v="7.72"/>
    <n v="1123"/>
    <x v="368"/>
    <x v="2"/>
    <x v="2"/>
    <x v="0"/>
    <x v="8"/>
    <x v="3"/>
    <x v="443"/>
    <n v="0.38"/>
    <x v="0"/>
    <x v="0"/>
    <x v="1"/>
    <x v="124"/>
    <n v="95661"/>
    <x v="24"/>
    <d v="2015-03-18T00:00:00"/>
    <x v="608"/>
    <n v="14"/>
    <n v="103.61"/>
    <n v="87015"/>
  </r>
  <r>
    <n v="18212"/>
    <x v="0"/>
    <n v="0.09"/>
    <n v="175.99"/>
    <n v="4.99"/>
    <n v="1123"/>
    <x v="368"/>
    <x v="2"/>
    <x v="2"/>
    <x v="2"/>
    <x v="5"/>
    <x v="3"/>
    <x v="32"/>
    <n v="0.59"/>
    <x v="0"/>
    <x v="0"/>
    <x v="1"/>
    <x v="124"/>
    <n v="95661"/>
    <x v="105"/>
    <d v="2015-06-22T00:00:00"/>
    <x v="609"/>
    <n v="22"/>
    <n v="3144.56"/>
    <n v="87016"/>
  </r>
  <r>
    <n v="18211"/>
    <x v="0"/>
    <n v="0.09"/>
    <n v="160.97999999999999"/>
    <n v="35.020000000000003"/>
    <n v="1124"/>
    <x v="369"/>
    <x v="1"/>
    <x v="2"/>
    <x v="1"/>
    <x v="14"/>
    <x v="5"/>
    <x v="263"/>
    <n v="0.72"/>
    <x v="0"/>
    <x v="1"/>
    <x v="18"/>
    <x v="304"/>
    <n v="6360"/>
    <x v="105"/>
    <d v="2015-06-21T00:00:00"/>
    <x v="610"/>
    <n v="18"/>
    <n v="2653.02"/>
    <n v="87016"/>
  </r>
  <r>
    <n v="22052"/>
    <x v="3"/>
    <n v="0.02"/>
    <n v="4.0599999999999996"/>
    <n v="6.89"/>
    <n v="1127"/>
    <x v="370"/>
    <x v="2"/>
    <x v="3"/>
    <x v="0"/>
    <x v="15"/>
    <x v="3"/>
    <x v="326"/>
    <n v="0.6"/>
    <x v="0"/>
    <x v="2"/>
    <x v="7"/>
    <x v="305"/>
    <n v="78852"/>
    <x v="152"/>
    <d v="2015-02-26T00:00:00"/>
    <x v="611"/>
    <n v="16"/>
    <n v="66.81"/>
    <n v="87221"/>
  </r>
  <r>
    <n v="26377"/>
    <x v="4"/>
    <n v="0.04"/>
    <n v="4.71"/>
    <n v="0.7"/>
    <n v="1127"/>
    <x v="370"/>
    <x v="2"/>
    <x v="3"/>
    <x v="0"/>
    <x v="3"/>
    <x v="0"/>
    <x v="444"/>
    <n v="0.8"/>
    <x v="0"/>
    <x v="2"/>
    <x v="7"/>
    <x v="305"/>
    <n v="78852"/>
    <x v="33"/>
    <d v="2015-06-26T00:00:00"/>
    <x v="612"/>
    <n v="19"/>
    <n v="90.52"/>
    <n v="87222"/>
  </r>
  <r>
    <n v="26378"/>
    <x v="4"/>
    <n v="0.06"/>
    <n v="4.2"/>
    <n v="2.2599999999999998"/>
    <n v="1128"/>
    <x v="371"/>
    <x v="2"/>
    <x v="3"/>
    <x v="0"/>
    <x v="7"/>
    <x v="0"/>
    <x v="445"/>
    <n v="0.36"/>
    <x v="0"/>
    <x v="2"/>
    <x v="7"/>
    <x v="306"/>
    <n v="78539"/>
    <x v="33"/>
    <d v="2015-06-27T00:00:00"/>
    <x v="613"/>
    <n v="13"/>
    <n v="55.97"/>
    <n v="87222"/>
  </r>
  <r>
    <n v="4501"/>
    <x v="4"/>
    <n v="0.04"/>
    <n v="8.6"/>
    <n v="6.19"/>
    <n v="1129"/>
    <x v="372"/>
    <x v="2"/>
    <x v="1"/>
    <x v="0"/>
    <x v="8"/>
    <x v="3"/>
    <x v="331"/>
    <n v="0.38"/>
    <x v="0"/>
    <x v="1"/>
    <x v="15"/>
    <x v="28"/>
    <n v="2118"/>
    <x v="160"/>
    <d v="2015-02-23T00:00:00"/>
    <x v="614"/>
    <n v="37"/>
    <n v="311.66000000000003"/>
    <n v="32037"/>
  </r>
  <r>
    <n v="4502"/>
    <x v="4"/>
    <n v="7.0000000000000007E-2"/>
    <n v="699.99"/>
    <n v="24.49"/>
    <n v="1129"/>
    <x v="372"/>
    <x v="2"/>
    <x v="1"/>
    <x v="2"/>
    <x v="16"/>
    <x v="6"/>
    <x v="446"/>
    <n v="0.54"/>
    <x v="0"/>
    <x v="1"/>
    <x v="15"/>
    <x v="28"/>
    <n v="2118"/>
    <x v="160"/>
    <d v="2015-02-20T00:00:00"/>
    <x v="615"/>
    <n v="15"/>
    <n v="9862.51"/>
    <n v="32037"/>
  </r>
  <r>
    <n v="6891"/>
    <x v="1"/>
    <n v="0.05"/>
    <n v="5.78"/>
    <n v="7.64"/>
    <n v="1129"/>
    <x v="372"/>
    <x v="0"/>
    <x v="0"/>
    <x v="0"/>
    <x v="7"/>
    <x v="3"/>
    <x v="447"/>
    <n v="0.36"/>
    <x v="0"/>
    <x v="1"/>
    <x v="15"/>
    <x v="28"/>
    <n v="2118"/>
    <x v="48"/>
    <d v="2015-03-31T00:00:00"/>
    <x v="616"/>
    <n v="29"/>
    <n v="177.41"/>
    <n v="49125"/>
  </r>
  <r>
    <n v="1917"/>
    <x v="3"/>
    <n v="0.02"/>
    <n v="7.64"/>
    <n v="1.39"/>
    <n v="1129"/>
    <x v="372"/>
    <x v="2"/>
    <x v="1"/>
    <x v="0"/>
    <x v="4"/>
    <x v="3"/>
    <x v="448"/>
    <n v="0.36"/>
    <x v="0"/>
    <x v="1"/>
    <x v="15"/>
    <x v="28"/>
    <n v="2118"/>
    <x v="8"/>
    <d v="2015-05-23T00:00:00"/>
    <x v="617"/>
    <n v="52"/>
    <n v="406.91"/>
    <n v="13735"/>
  </r>
  <r>
    <n v="5568"/>
    <x v="4"/>
    <n v="0.03"/>
    <n v="30.98"/>
    <n v="6.5"/>
    <n v="1129"/>
    <x v="372"/>
    <x v="2"/>
    <x v="0"/>
    <x v="2"/>
    <x v="13"/>
    <x v="3"/>
    <x v="449"/>
    <n v="0.79"/>
    <x v="0"/>
    <x v="1"/>
    <x v="15"/>
    <x v="28"/>
    <n v="2118"/>
    <x v="1"/>
    <d v="2015-06-17T00:00:00"/>
    <x v="618"/>
    <n v="44"/>
    <n v="1332.09"/>
    <n v="39430"/>
  </r>
  <r>
    <n v="8099"/>
    <x v="4"/>
    <n v="0.02"/>
    <n v="4.9800000000000004"/>
    <n v="6.07"/>
    <n v="1129"/>
    <x v="372"/>
    <x v="2"/>
    <x v="1"/>
    <x v="0"/>
    <x v="7"/>
    <x v="3"/>
    <x v="46"/>
    <n v="0.36"/>
    <x v="0"/>
    <x v="1"/>
    <x v="15"/>
    <x v="28"/>
    <n v="2118"/>
    <x v="161"/>
    <d v="2015-01-28T00:00:00"/>
    <x v="619"/>
    <n v="19"/>
    <n v="105.5"/>
    <n v="57794"/>
  </r>
  <r>
    <n v="19917"/>
    <x v="3"/>
    <n v="0.02"/>
    <n v="7.64"/>
    <n v="1.39"/>
    <n v="1131"/>
    <x v="373"/>
    <x v="2"/>
    <x v="1"/>
    <x v="0"/>
    <x v="4"/>
    <x v="3"/>
    <x v="448"/>
    <n v="0.36"/>
    <x v="0"/>
    <x v="2"/>
    <x v="7"/>
    <x v="307"/>
    <n v="79907"/>
    <x v="8"/>
    <d v="2015-05-23T00:00:00"/>
    <x v="620"/>
    <n v="13"/>
    <n v="101.73"/>
    <n v="88103"/>
  </r>
  <r>
    <n v="23860"/>
    <x v="3"/>
    <n v="0.06"/>
    <n v="6.37"/>
    <n v="5.19"/>
    <n v="1132"/>
    <x v="374"/>
    <x v="2"/>
    <x v="0"/>
    <x v="0"/>
    <x v="8"/>
    <x v="3"/>
    <x v="214"/>
    <n v="0.38"/>
    <x v="0"/>
    <x v="2"/>
    <x v="7"/>
    <x v="308"/>
    <n v="76039"/>
    <x v="104"/>
    <d v="2015-02-11T00:00:00"/>
    <x v="621"/>
    <n v="6"/>
    <n v="37.700000000000003"/>
    <n v="88101"/>
  </r>
  <r>
    <n v="22501"/>
    <x v="4"/>
    <n v="0.04"/>
    <n v="8.6"/>
    <n v="6.19"/>
    <n v="1132"/>
    <x v="374"/>
    <x v="2"/>
    <x v="1"/>
    <x v="0"/>
    <x v="8"/>
    <x v="3"/>
    <x v="331"/>
    <n v="0.38"/>
    <x v="0"/>
    <x v="2"/>
    <x v="7"/>
    <x v="308"/>
    <n v="76039"/>
    <x v="160"/>
    <d v="2015-02-23T00:00:00"/>
    <x v="614"/>
    <n v="9"/>
    <n v="75.81"/>
    <n v="88102"/>
  </r>
  <r>
    <n v="22502"/>
    <x v="4"/>
    <n v="7.0000000000000007E-2"/>
    <n v="699.99"/>
    <n v="24.49"/>
    <n v="1132"/>
    <x v="374"/>
    <x v="2"/>
    <x v="1"/>
    <x v="2"/>
    <x v="16"/>
    <x v="6"/>
    <x v="446"/>
    <n v="0.54"/>
    <x v="0"/>
    <x v="2"/>
    <x v="7"/>
    <x v="308"/>
    <n v="76039"/>
    <x v="160"/>
    <d v="2015-02-20T00:00:00"/>
    <x v="615"/>
    <n v="4"/>
    <n v="2630"/>
    <n v="88102"/>
  </r>
  <r>
    <n v="23568"/>
    <x v="4"/>
    <n v="0.03"/>
    <n v="30.98"/>
    <n v="6.5"/>
    <n v="1132"/>
    <x v="374"/>
    <x v="2"/>
    <x v="0"/>
    <x v="2"/>
    <x v="13"/>
    <x v="3"/>
    <x v="449"/>
    <n v="0.79"/>
    <x v="0"/>
    <x v="2"/>
    <x v="7"/>
    <x v="308"/>
    <n v="76039"/>
    <x v="1"/>
    <d v="2015-06-17T00:00:00"/>
    <x v="622"/>
    <n v="11"/>
    <n v="333.02"/>
    <n v="88104"/>
  </r>
  <r>
    <n v="26099"/>
    <x v="4"/>
    <n v="0.02"/>
    <n v="4.9800000000000004"/>
    <n v="6.07"/>
    <n v="1133"/>
    <x v="375"/>
    <x v="2"/>
    <x v="1"/>
    <x v="0"/>
    <x v="7"/>
    <x v="3"/>
    <x v="46"/>
    <n v="0.36"/>
    <x v="0"/>
    <x v="2"/>
    <x v="7"/>
    <x v="309"/>
    <n v="75234"/>
    <x v="161"/>
    <d v="2015-01-28T00:00:00"/>
    <x v="619"/>
    <n v="5"/>
    <n v="27.76"/>
    <n v="88105"/>
  </r>
  <r>
    <n v="22119"/>
    <x v="0"/>
    <n v="0.09"/>
    <n v="270.97000000000003"/>
    <n v="28.06"/>
    <n v="1136"/>
    <x v="376"/>
    <x v="1"/>
    <x v="3"/>
    <x v="2"/>
    <x v="6"/>
    <x v="1"/>
    <x v="450"/>
    <n v="0.56000000000000005"/>
    <x v="0"/>
    <x v="2"/>
    <x v="12"/>
    <x v="310"/>
    <n v="60188"/>
    <x v="22"/>
    <d v="2015-01-04T00:00:00"/>
    <x v="623"/>
    <n v="15"/>
    <n v="3855.28"/>
    <n v="87940"/>
  </r>
  <r>
    <n v="19357"/>
    <x v="3"/>
    <n v="0.02"/>
    <n v="160.97999999999999"/>
    <n v="30"/>
    <n v="1138"/>
    <x v="377"/>
    <x v="1"/>
    <x v="1"/>
    <x v="1"/>
    <x v="1"/>
    <x v="1"/>
    <x v="48"/>
    <n v="0.62"/>
    <x v="0"/>
    <x v="2"/>
    <x v="7"/>
    <x v="311"/>
    <n v="75056"/>
    <x v="160"/>
    <d v="2015-02-19T00:00:00"/>
    <x v="624"/>
    <n v="1"/>
    <n v="192.49"/>
    <n v="86574"/>
  </r>
  <r>
    <n v="25467"/>
    <x v="3"/>
    <n v="0.05"/>
    <n v="363.25"/>
    <n v="19.989999999999998"/>
    <n v="1142"/>
    <x v="378"/>
    <x v="2"/>
    <x v="1"/>
    <x v="0"/>
    <x v="15"/>
    <x v="3"/>
    <x v="451"/>
    <n v="0.56999999999999995"/>
    <x v="0"/>
    <x v="2"/>
    <x v="7"/>
    <x v="312"/>
    <n v="76706"/>
    <x v="148"/>
    <d v="2015-01-06T00:00:00"/>
    <x v="625"/>
    <n v="7"/>
    <n v="2560.5500000000002"/>
    <n v="86573"/>
  </r>
  <r>
    <n v="24539"/>
    <x v="3"/>
    <n v="0.01"/>
    <n v="18.97"/>
    <n v="9.5399999999999991"/>
    <n v="1142"/>
    <x v="378"/>
    <x v="2"/>
    <x v="1"/>
    <x v="0"/>
    <x v="7"/>
    <x v="3"/>
    <x v="62"/>
    <n v="0.37"/>
    <x v="0"/>
    <x v="2"/>
    <x v="7"/>
    <x v="312"/>
    <n v="76706"/>
    <x v="132"/>
    <d v="2015-06-09T00:00:00"/>
    <x v="626"/>
    <n v="11"/>
    <n v="227.67"/>
    <n v="86575"/>
  </r>
  <r>
    <n v="25179"/>
    <x v="4"/>
    <n v="0.05"/>
    <n v="7.59"/>
    <n v="4"/>
    <n v="1151"/>
    <x v="379"/>
    <x v="2"/>
    <x v="0"/>
    <x v="1"/>
    <x v="2"/>
    <x v="0"/>
    <x v="150"/>
    <n v="0.42"/>
    <x v="0"/>
    <x v="1"/>
    <x v="15"/>
    <x v="313"/>
    <n v="1075"/>
    <x v="62"/>
    <d v="2015-06-09T00:00:00"/>
    <x v="627"/>
    <n v="1"/>
    <n v="8.83"/>
    <n v="91344"/>
  </r>
  <r>
    <n v="24224"/>
    <x v="2"/>
    <n v="0.09"/>
    <n v="9.11"/>
    <n v="2.15"/>
    <n v="1155"/>
    <x v="380"/>
    <x v="0"/>
    <x v="3"/>
    <x v="0"/>
    <x v="7"/>
    <x v="0"/>
    <x v="452"/>
    <n v="0.4"/>
    <x v="0"/>
    <x v="0"/>
    <x v="1"/>
    <x v="314"/>
    <n v="90640"/>
    <x v="22"/>
    <d v="2015-01-04T00:00:00"/>
    <x v="628"/>
    <n v="4"/>
    <n v="34.409999999999997"/>
    <n v="90853"/>
  </r>
  <r>
    <n v="24225"/>
    <x v="2"/>
    <n v="0.08"/>
    <n v="15.04"/>
    <n v="1.97"/>
    <n v="1155"/>
    <x v="380"/>
    <x v="2"/>
    <x v="3"/>
    <x v="0"/>
    <x v="7"/>
    <x v="0"/>
    <x v="231"/>
    <n v="0.39"/>
    <x v="0"/>
    <x v="0"/>
    <x v="1"/>
    <x v="314"/>
    <n v="90640"/>
    <x v="22"/>
    <d v="2015-01-02T00:00:00"/>
    <x v="629"/>
    <n v="11"/>
    <n v="157.27000000000001"/>
    <n v="90853"/>
  </r>
  <r>
    <n v="20212"/>
    <x v="0"/>
    <n v="0.06"/>
    <n v="175.99"/>
    <n v="8.99"/>
    <n v="1156"/>
    <x v="381"/>
    <x v="2"/>
    <x v="3"/>
    <x v="2"/>
    <x v="5"/>
    <x v="3"/>
    <x v="44"/>
    <n v="0.56999999999999995"/>
    <x v="0"/>
    <x v="1"/>
    <x v="15"/>
    <x v="315"/>
    <n v="1876"/>
    <x v="79"/>
    <d v="2015-02-15T00:00:00"/>
    <x v="630"/>
    <n v="7"/>
    <n v="1013.84"/>
    <n v="90855"/>
  </r>
  <r>
    <n v="20897"/>
    <x v="0"/>
    <n v="0.04"/>
    <n v="100.98"/>
    <n v="35.840000000000003"/>
    <n v="1159"/>
    <x v="382"/>
    <x v="1"/>
    <x v="3"/>
    <x v="1"/>
    <x v="14"/>
    <x v="5"/>
    <x v="77"/>
    <n v="0.62"/>
    <x v="0"/>
    <x v="1"/>
    <x v="2"/>
    <x v="316"/>
    <n v="7086"/>
    <x v="135"/>
    <d v="2015-05-21T00:00:00"/>
    <x v="631"/>
    <n v="1"/>
    <n v="110.75"/>
    <n v="90854"/>
  </r>
  <r>
    <n v="18860"/>
    <x v="1"/>
    <n v="0.09"/>
    <n v="9.7799999999999994"/>
    <n v="1.39"/>
    <n v="1170"/>
    <x v="383"/>
    <x v="2"/>
    <x v="3"/>
    <x v="0"/>
    <x v="4"/>
    <x v="3"/>
    <x v="453"/>
    <n v="0.39"/>
    <x v="0"/>
    <x v="1"/>
    <x v="42"/>
    <x v="82"/>
    <n v="19711"/>
    <x v="42"/>
    <d v="2015-06-03T00:00:00"/>
    <x v="632"/>
    <n v="19"/>
    <n v="181.46"/>
    <n v="87520"/>
  </r>
  <r>
    <n v="18861"/>
    <x v="1"/>
    <n v="0"/>
    <n v="200.99"/>
    <n v="8.08"/>
    <n v="1170"/>
    <x v="383"/>
    <x v="2"/>
    <x v="3"/>
    <x v="2"/>
    <x v="5"/>
    <x v="3"/>
    <x v="454"/>
    <n v="0.59"/>
    <x v="0"/>
    <x v="1"/>
    <x v="42"/>
    <x v="82"/>
    <n v="19711"/>
    <x v="42"/>
    <d v="2015-06-04T00:00:00"/>
    <x v="633"/>
    <n v="6"/>
    <n v="1076.3"/>
    <n v="87520"/>
  </r>
  <r>
    <n v="19182"/>
    <x v="0"/>
    <n v="0.03"/>
    <n v="4.4800000000000004"/>
    <n v="49"/>
    <n v="1178"/>
    <x v="384"/>
    <x v="2"/>
    <x v="3"/>
    <x v="0"/>
    <x v="15"/>
    <x v="6"/>
    <x v="238"/>
    <n v="0.6"/>
    <x v="0"/>
    <x v="3"/>
    <x v="26"/>
    <x v="317"/>
    <n v="32701"/>
    <x v="37"/>
    <d v="2015-04-11T00:00:00"/>
    <x v="634"/>
    <n v="2"/>
    <n v="21.46"/>
    <n v="89787"/>
  </r>
  <r>
    <n v="19183"/>
    <x v="0"/>
    <n v="0.06"/>
    <n v="350.99"/>
    <n v="39"/>
    <n v="1178"/>
    <x v="384"/>
    <x v="1"/>
    <x v="3"/>
    <x v="1"/>
    <x v="1"/>
    <x v="1"/>
    <x v="455"/>
    <n v="0.55000000000000004"/>
    <x v="0"/>
    <x v="3"/>
    <x v="26"/>
    <x v="317"/>
    <n v="32701"/>
    <x v="37"/>
    <d v="2015-04-11T00:00:00"/>
    <x v="635"/>
    <n v="10"/>
    <n v="3506.78"/>
    <n v="89787"/>
  </r>
  <r>
    <n v="19184"/>
    <x v="0"/>
    <n v="0.09"/>
    <n v="40.98"/>
    <n v="6.5"/>
    <n v="1178"/>
    <x v="384"/>
    <x v="0"/>
    <x v="3"/>
    <x v="2"/>
    <x v="13"/>
    <x v="3"/>
    <x v="456"/>
    <n v="0.74"/>
    <x v="0"/>
    <x v="3"/>
    <x v="26"/>
    <x v="317"/>
    <n v="32701"/>
    <x v="37"/>
    <d v="2015-04-11T00:00:00"/>
    <x v="636"/>
    <n v="7"/>
    <n v="267.69"/>
    <n v="89787"/>
  </r>
  <r>
    <n v="19185"/>
    <x v="0"/>
    <n v="0.09"/>
    <n v="349.45"/>
    <n v="60"/>
    <n v="1178"/>
    <x v="384"/>
    <x v="1"/>
    <x v="3"/>
    <x v="1"/>
    <x v="11"/>
    <x v="1"/>
    <x v="356"/>
    <m/>
    <x v="0"/>
    <x v="3"/>
    <x v="26"/>
    <x v="317"/>
    <n v="32701"/>
    <x v="37"/>
    <d v="2015-04-10T00:00:00"/>
    <x v="637"/>
    <n v="7"/>
    <n v="2307.2600000000002"/>
    <n v="89787"/>
  </r>
  <r>
    <n v="19484"/>
    <x v="0"/>
    <n v="7.0000000000000007E-2"/>
    <n v="2.61"/>
    <n v="0.5"/>
    <n v="1182"/>
    <x v="385"/>
    <x v="2"/>
    <x v="1"/>
    <x v="0"/>
    <x v="9"/>
    <x v="3"/>
    <x v="413"/>
    <n v="0.39"/>
    <x v="0"/>
    <x v="0"/>
    <x v="17"/>
    <x v="318"/>
    <n v="84660"/>
    <x v="94"/>
    <d v="2015-05-23T00:00:00"/>
    <x v="638"/>
    <n v="15"/>
    <n v="39.15"/>
    <n v="86913"/>
  </r>
  <r>
    <n v="21522"/>
    <x v="1"/>
    <n v="0.04"/>
    <n v="35.99"/>
    <n v="3.3"/>
    <n v="1183"/>
    <x v="386"/>
    <x v="2"/>
    <x v="1"/>
    <x v="2"/>
    <x v="5"/>
    <x v="2"/>
    <x v="457"/>
    <n v="0.39"/>
    <x v="0"/>
    <x v="0"/>
    <x v="17"/>
    <x v="319"/>
    <n v="84663"/>
    <x v="159"/>
    <d v="2015-06-29T00:00:00"/>
    <x v="639"/>
    <n v="9"/>
    <n v="266.95"/>
    <n v="86914"/>
  </r>
  <r>
    <n v="22190"/>
    <x v="3"/>
    <n v="0"/>
    <n v="6783.02"/>
    <n v="24.49"/>
    <n v="1185"/>
    <x v="387"/>
    <x v="2"/>
    <x v="3"/>
    <x v="2"/>
    <x v="6"/>
    <x v="6"/>
    <x v="458"/>
    <n v="0.39"/>
    <x v="0"/>
    <x v="3"/>
    <x v="43"/>
    <x v="320"/>
    <n v="35756"/>
    <x v="68"/>
    <d v="2015-03-22T00:00:00"/>
    <x v="640"/>
    <n v="3"/>
    <n v="20552.55"/>
    <n v="85938"/>
  </r>
  <r>
    <n v="20764"/>
    <x v="1"/>
    <n v="0.08"/>
    <n v="11.7"/>
    <n v="6.96"/>
    <n v="1185"/>
    <x v="387"/>
    <x v="2"/>
    <x v="3"/>
    <x v="0"/>
    <x v="15"/>
    <x v="4"/>
    <x v="459"/>
    <n v="0.5"/>
    <x v="0"/>
    <x v="3"/>
    <x v="43"/>
    <x v="320"/>
    <n v="35756"/>
    <x v="98"/>
    <d v="2015-04-13T00:00:00"/>
    <x v="641"/>
    <n v="8"/>
    <n v="87.8"/>
    <n v="85940"/>
  </r>
  <r>
    <n v="24358"/>
    <x v="2"/>
    <n v="7.0000000000000007E-2"/>
    <n v="400.97"/>
    <n v="48.26"/>
    <n v="1186"/>
    <x v="388"/>
    <x v="1"/>
    <x v="3"/>
    <x v="2"/>
    <x v="6"/>
    <x v="5"/>
    <x v="460"/>
    <n v="0.36"/>
    <x v="0"/>
    <x v="0"/>
    <x v="1"/>
    <x v="321"/>
    <n v="92646"/>
    <x v="37"/>
    <d v="2015-04-10T00:00:00"/>
    <x v="642"/>
    <n v="10"/>
    <n v="3741.39"/>
    <n v="85939"/>
  </r>
  <r>
    <n v="18829"/>
    <x v="4"/>
    <n v="0.06"/>
    <n v="10.89"/>
    <n v="4.5"/>
    <n v="1189"/>
    <x v="389"/>
    <x v="2"/>
    <x v="3"/>
    <x v="0"/>
    <x v="15"/>
    <x v="3"/>
    <x v="76"/>
    <n v="0.59"/>
    <x v="0"/>
    <x v="0"/>
    <x v="1"/>
    <x v="321"/>
    <n v="92646"/>
    <x v="77"/>
    <d v="2015-06-22T00:00:00"/>
    <x v="643"/>
    <n v="14"/>
    <n v="149.32"/>
    <n v="87584"/>
  </r>
  <r>
    <n v="18830"/>
    <x v="4"/>
    <n v="0.03"/>
    <n v="10.64"/>
    <n v="5.16"/>
    <n v="1189"/>
    <x v="389"/>
    <x v="2"/>
    <x v="3"/>
    <x v="1"/>
    <x v="2"/>
    <x v="3"/>
    <x v="304"/>
    <n v="0.56999999999999995"/>
    <x v="0"/>
    <x v="0"/>
    <x v="1"/>
    <x v="321"/>
    <n v="92646"/>
    <x v="77"/>
    <d v="2015-06-22T00:00:00"/>
    <x v="644"/>
    <n v="16"/>
    <n v="177.01"/>
    <n v="87584"/>
  </r>
  <r>
    <n v="18831"/>
    <x v="4"/>
    <n v="0.03"/>
    <n v="7.96"/>
    <n v="4.95"/>
    <n v="1189"/>
    <x v="389"/>
    <x v="2"/>
    <x v="3"/>
    <x v="1"/>
    <x v="2"/>
    <x v="3"/>
    <x v="461"/>
    <n v="0.41"/>
    <x v="0"/>
    <x v="0"/>
    <x v="1"/>
    <x v="321"/>
    <n v="92646"/>
    <x v="77"/>
    <d v="2015-06-19T00:00:00"/>
    <x v="645"/>
    <n v="4"/>
    <n v="35.159999999999997"/>
    <n v="87584"/>
  </r>
  <r>
    <n v="19553"/>
    <x v="4"/>
    <n v="0.03"/>
    <n v="28.53"/>
    <n v="1.49"/>
    <n v="1191"/>
    <x v="390"/>
    <x v="2"/>
    <x v="2"/>
    <x v="0"/>
    <x v="8"/>
    <x v="3"/>
    <x v="107"/>
    <n v="0.38"/>
    <x v="0"/>
    <x v="1"/>
    <x v="18"/>
    <x v="322"/>
    <n v="6050"/>
    <x v="162"/>
    <d v="2015-07-01T00:00:00"/>
    <x v="646"/>
    <n v="3"/>
    <n v="88.84"/>
    <n v="87587"/>
  </r>
  <r>
    <n v="830"/>
    <x v="4"/>
    <n v="0.03"/>
    <n v="10.64"/>
    <n v="5.16"/>
    <n v="1193"/>
    <x v="391"/>
    <x v="2"/>
    <x v="3"/>
    <x v="1"/>
    <x v="2"/>
    <x v="3"/>
    <x v="304"/>
    <n v="0.56999999999999995"/>
    <x v="0"/>
    <x v="1"/>
    <x v="41"/>
    <x v="246"/>
    <n v="20016"/>
    <x v="77"/>
    <d v="2015-06-22T00:00:00"/>
    <x v="647"/>
    <n v="63"/>
    <n v="696.96"/>
    <n v="5984"/>
  </r>
  <r>
    <n v="831"/>
    <x v="4"/>
    <n v="0.03"/>
    <n v="7.96"/>
    <n v="4.95"/>
    <n v="1193"/>
    <x v="391"/>
    <x v="2"/>
    <x v="3"/>
    <x v="1"/>
    <x v="2"/>
    <x v="3"/>
    <x v="461"/>
    <n v="0.41"/>
    <x v="0"/>
    <x v="1"/>
    <x v="41"/>
    <x v="246"/>
    <n v="20016"/>
    <x v="77"/>
    <d v="2015-06-19T00:00:00"/>
    <x v="648"/>
    <n v="17"/>
    <n v="149.41"/>
    <n v="5984"/>
  </r>
  <r>
    <n v="4131"/>
    <x v="0"/>
    <n v="0.05"/>
    <n v="52.4"/>
    <n v="16.11"/>
    <n v="1193"/>
    <x v="391"/>
    <x v="2"/>
    <x v="3"/>
    <x v="0"/>
    <x v="8"/>
    <x v="3"/>
    <x v="462"/>
    <n v="0.39"/>
    <x v="0"/>
    <x v="1"/>
    <x v="41"/>
    <x v="246"/>
    <n v="20016"/>
    <x v="147"/>
    <d v="2015-02-27T00:00:00"/>
    <x v="649"/>
    <n v="85"/>
    <n v="4556.63"/>
    <n v="29350"/>
  </r>
  <r>
    <n v="4133"/>
    <x v="0"/>
    <n v="0.05"/>
    <n v="36.549999999999997"/>
    <n v="13.89"/>
    <n v="1193"/>
    <x v="391"/>
    <x v="0"/>
    <x v="3"/>
    <x v="0"/>
    <x v="0"/>
    <x v="0"/>
    <x v="463"/>
    <n v="0.41"/>
    <x v="0"/>
    <x v="1"/>
    <x v="41"/>
    <x v="246"/>
    <n v="20016"/>
    <x v="147"/>
    <d v="2015-02-26T00:00:00"/>
    <x v="650"/>
    <n v="83"/>
    <n v="2948.61"/>
    <n v="29350"/>
  </r>
  <r>
    <n v="5468"/>
    <x v="1"/>
    <n v="0.03"/>
    <n v="5.98"/>
    <n v="1.49"/>
    <n v="1193"/>
    <x v="391"/>
    <x v="2"/>
    <x v="2"/>
    <x v="0"/>
    <x v="8"/>
    <x v="3"/>
    <x v="370"/>
    <n v="0.39"/>
    <x v="0"/>
    <x v="1"/>
    <x v="41"/>
    <x v="246"/>
    <n v="20016"/>
    <x v="90"/>
    <d v="2015-05-03T00:00:00"/>
    <x v="651"/>
    <n v="85"/>
    <n v="517.85"/>
    <n v="38852"/>
  </r>
  <r>
    <n v="1552"/>
    <x v="4"/>
    <n v="0.09"/>
    <n v="49.99"/>
    <n v="19.989999999999998"/>
    <n v="1193"/>
    <x v="391"/>
    <x v="2"/>
    <x v="2"/>
    <x v="2"/>
    <x v="13"/>
    <x v="3"/>
    <x v="84"/>
    <n v="0.41"/>
    <x v="0"/>
    <x v="1"/>
    <x v="41"/>
    <x v="246"/>
    <n v="20016"/>
    <x v="162"/>
    <d v="2015-06-30T00:00:00"/>
    <x v="652"/>
    <n v="48"/>
    <n v="2373.3200000000002"/>
    <n v="11206"/>
  </r>
  <r>
    <n v="1553"/>
    <x v="4"/>
    <n v="0.03"/>
    <n v="28.53"/>
    <n v="1.49"/>
    <n v="1193"/>
    <x v="391"/>
    <x v="2"/>
    <x v="2"/>
    <x v="0"/>
    <x v="8"/>
    <x v="3"/>
    <x v="107"/>
    <n v="0.38"/>
    <x v="0"/>
    <x v="1"/>
    <x v="41"/>
    <x v="246"/>
    <n v="20016"/>
    <x v="162"/>
    <d v="2015-07-01T00:00:00"/>
    <x v="653"/>
    <n v="11"/>
    <n v="325.73"/>
    <n v="11206"/>
  </r>
  <r>
    <n v="23468"/>
    <x v="1"/>
    <n v="0.03"/>
    <n v="5.98"/>
    <n v="1.49"/>
    <n v="1194"/>
    <x v="392"/>
    <x v="2"/>
    <x v="2"/>
    <x v="0"/>
    <x v="8"/>
    <x v="3"/>
    <x v="370"/>
    <n v="0.39"/>
    <x v="0"/>
    <x v="3"/>
    <x v="26"/>
    <x v="323"/>
    <n v="34142"/>
    <x v="90"/>
    <d v="2015-05-03T00:00:00"/>
    <x v="654"/>
    <n v="21"/>
    <n v="127.94"/>
    <n v="87586"/>
  </r>
  <r>
    <n v="19358"/>
    <x v="0"/>
    <n v="0.08"/>
    <n v="355.98"/>
    <n v="58.92"/>
    <n v="1197"/>
    <x v="393"/>
    <x v="1"/>
    <x v="2"/>
    <x v="1"/>
    <x v="1"/>
    <x v="1"/>
    <x v="464"/>
    <n v="0.64"/>
    <x v="0"/>
    <x v="1"/>
    <x v="15"/>
    <x v="324"/>
    <n v="1776"/>
    <x v="103"/>
    <d v="2015-03-20T00:00:00"/>
    <x v="655"/>
    <n v="4"/>
    <n v="1350.94"/>
    <n v="87583"/>
  </r>
  <r>
    <n v="22132"/>
    <x v="0"/>
    <n v="0.1"/>
    <n v="15.14"/>
    <n v="4.53"/>
    <n v="1199"/>
    <x v="394"/>
    <x v="2"/>
    <x v="3"/>
    <x v="0"/>
    <x v="10"/>
    <x v="3"/>
    <x v="436"/>
    <n v="0.81"/>
    <x v="0"/>
    <x v="1"/>
    <x v="16"/>
    <x v="325"/>
    <n v="3060"/>
    <x v="147"/>
    <d v="2015-02-28T00:00:00"/>
    <x v="656"/>
    <n v="5"/>
    <n v="75.17"/>
    <n v="87585"/>
  </r>
  <r>
    <n v="22131"/>
    <x v="0"/>
    <n v="0.05"/>
    <n v="52.4"/>
    <n v="16.11"/>
    <n v="1200"/>
    <x v="395"/>
    <x v="2"/>
    <x v="3"/>
    <x v="0"/>
    <x v="8"/>
    <x v="3"/>
    <x v="462"/>
    <n v="0.39"/>
    <x v="0"/>
    <x v="1"/>
    <x v="2"/>
    <x v="326"/>
    <n v="7407"/>
    <x v="147"/>
    <d v="2015-02-27T00:00:00"/>
    <x v="657"/>
    <n v="21"/>
    <n v="1125.76"/>
    <n v="87585"/>
  </r>
  <r>
    <n v="22133"/>
    <x v="0"/>
    <n v="0.05"/>
    <n v="36.549999999999997"/>
    <n v="13.89"/>
    <n v="1202"/>
    <x v="396"/>
    <x v="0"/>
    <x v="3"/>
    <x v="0"/>
    <x v="0"/>
    <x v="0"/>
    <x v="463"/>
    <n v="0.41"/>
    <x v="0"/>
    <x v="1"/>
    <x v="2"/>
    <x v="327"/>
    <n v="7079"/>
    <x v="147"/>
    <d v="2015-02-26T00:00:00"/>
    <x v="658"/>
    <n v="21"/>
    <n v="746.03"/>
    <n v="87585"/>
  </r>
  <r>
    <n v="19552"/>
    <x v="4"/>
    <n v="0.09"/>
    <n v="49.99"/>
    <n v="19.989999999999998"/>
    <n v="1203"/>
    <x v="397"/>
    <x v="2"/>
    <x v="2"/>
    <x v="2"/>
    <x v="13"/>
    <x v="3"/>
    <x v="84"/>
    <n v="0.41"/>
    <x v="0"/>
    <x v="1"/>
    <x v="31"/>
    <x v="102"/>
    <n v="2920"/>
    <x v="162"/>
    <d v="2015-06-30T00:00:00"/>
    <x v="659"/>
    <n v="12"/>
    <n v="593.33000000000004"/>
    <n v="87587"/>
  </r>
  <r>
    <n v="18636"/>
    <x v="4"/>
    <n v="0.01"/>
    <n v="3.08"/>
    <n v="0.5"/>
    <n v="1211"/>
    <x v="398"/>
    <x v="2"/>
    <x v="0"/>
    <x v="0"/>
    <x v="9"/>
    <x v="3"/>
    <x v="465"/>
    <n v="0.37"/>
    <x v="0"/>
    <x v="2"/>
    <x v="38"/>
    <x v="328"/>
    <n v="46806"/>
    <x v="108"/>
    <d v="2015-02-06T00:00:00"/>
    <x v="660"/>
    <n v="4"/>
    <n v="13.05"/>
    <n v="88598"/>
  </r>
  <r>
    <n v="22528"/>
    <x v="0"/>
    <n v="0.08"/>
    <n v="4.91"/>
    <n v="4.97"/>
    <n v="1212"/>
    <x v="399"/>
    <x v="2"/>
    <x v="0"/>
    <x v="0"/>
    <x v="8"/>
    <x v="3"/>
    <x v="466"/>
    <n v="0.38"/>
    <x v="0"/>
    <x v="2"/>
    <x v="38"/>
    <x v="329"/>
    <n v="46404"/>
    <x v="43"/>
    <d v="2015-01-16T00:00:00"/>
    <x v="661"/>
    <n v="12"/>
    <n v="58.95"/>
    <n v="88600"/>
  </r>
  <r>
    <n v="22529"/>
    <x v="0"/>
    <n v="0.01"/>
    <n v="3499.99"/>
    <n v="24.49"/>
    <n v="1212"/>
    <x v="399"/>
    <x v="2"/>
    <x v="0"/>
    <x v="2"/>
    <x v="16"/>
    <x v="6"/>
    <x v="467"/>
    <n v="0.37"/>
    <x v="0"/>
    <x v="2"/>
    <x v="38"/>
    <x v="329"/>
    <n v="46404"/>
    <x v="43"/>
    <d v="2015-01-16T00:00:00"/>
    <x v="662"/>
    <n v="1"/>
    <n v="3672.89"/>
    <n v="88600"/>
  </r>
  <r>
    <n v="24270"/>
    <x v="4"/>
    <n v="7.0000000000000007E-2"/>
    <n v="29.89"/>
    <n v="1.99"/>
    <n v="1213"/>
    <x v="400"/>
    <x v="0"/>
    <x v="0"/>
    <x v="2"/>
    <x v="13"/>
    <x v="2"/>
    <x v="468"/>
    <n v="0.5"/>
    <x v="0"/>
    <x v="2"/>
    <x v="38"/>
    <x v="330"/>
    <n v="46530"/>
    <x v="128"/>
    <d v="2015-02-09T00:00:00"/>
    <x v="663"/>
    <n v="13"/>
    <n v="374.81"/>
    <n v="88599"/>
  </r>
  <r>
    <n v="24271"/>
    <x v="4"/>
    <n v="0.03"/>
    <n v="8.34"/>
    <n v="4.82"/>
    <n v="1213"/>
    <x v="400"/>
    <x v="2"/>
    <x v="0"/>
    <x v="0"/>
    <x v="7"/>
    <x v="3"/>
    <x v="329"/>
    <n v="0.4"/>
    <x v="0"/>
    <x v="2"/>
    <x v="38"/>
    <x v="330"/>
    <n v="46530"/>
    <x v="128"/>
    <d v="2015-02-08T00:00:00"/>
    <x v="664"/>
    <n v="5"/>
    <n v="43.27"/>
    <n v="88599"/>
  </r>
  <r>
    <n v="22530"/>
    <x v="0"/>
    <n v="0.03"/>
    <n v="5.84"/>
    <n v="1.2"/>
    <n v="1213"/>
    <x v="400"/>
    <x v="2"/>
    <x v="0"/>
    <x v="0"/>
    <x v="0"/>
    <x v="0"/>
    <x v="469"/>
    <n v="0.55000000000000004"/>
    <x v="0"/>
    <x v="2"/>
    <x v="38"/>
    <x v="330"/>
    <n v="46530"/>
    <x v="43"/>
    <d v="2015-01-17T00:00:00"/>
    <x v="665"/>
    <n v="2"/>
    <n v="11.74"/>
    <n v="88600"/>
  </r>
  <r>
    <n v="7632"/>
    <x v="3"/>
    <n v="0.09"/>
    <n v="130.97999999999999"/>
    <n v="30"/>
    <n v="1217"/>
    <x v="401"/>
    <x v="1"/>
    <x v="2"/>
    <x v="1"/>
    <x v="1"/>
    <x v="1"/>
    <x v="185"/>
    <n v="0.78"/>
    <x v="0"/>
    <x v="1"/>
    <x v="15"/>
    <x v="28"/>
    <n v="2112"/>
    <x v="65"/>
    <d v="2015-05-01T00:00:00"/>
    <x v="666"/>
    <n v="41"/>
    <n v="5258.94"/>
    <n v="54595"/>
  </r>
  <r>
    <n v="25631"/>
    <x v="3"/>
    <n v="0.02"/>
    <n v="8.34"/>
    <n v="2.64"/>
    <n v="1226"/>
    <x v="402"/>
    <x v="2"/>
    <x v="2"/>
    <x v="0"/>
    <x v="12"/>
    <x v="2"/>
    <x v="120"/>
    <n v="0.59"/>
    <x v="0"/>
    <x v="1"/>
    <x v="31"/>
    <x v="331"/>
    <n v="2861"/>
    <x v="65"/>
    <d v="2015-04-30T00:00:00"/>
    <x v="667"/>
    <n v="8"/>
    <n v="66.739999999999995"/>
    <n v="90800"/>
  </r>
  <r>
    <n v="25632"/>
    <x v="3"/>
    <n v="0.09"/>
    <n v="130.97999999999999"/>
    <n v="30"/>
    <n v="1227"/>
    <x v="403"/>
    <x v="1"/>
    <x v="2"/>
    <x v="1"/>
    <x v="1"/>
    <x v="1"/>
    <x v="185"/>
    <n v="0.78"/>
    <x v="0"/>
    <x v="1"/>
    <x v="9"/>
    <x v="186"/>
    <n v="5403"/>
    <x v="65"/>
    <d v="2015-05-01T00:00:00"/>
    <x v="666"/>
    <n v="10"/>
    <n v="1282.67"/>
    <n v="90800"/>
  </r>
  <r>
    <n v="7810"/>
    <x v="3"/>
    <n v="0"/>
    <n v="7.1"/>
    <n v="6.05"/>
    <n v="1228"/>
    <x v="404"/>
    <x v="2"/>
    <x v="2"/>
    <x v="0"/>
    <x v="8"/>
    <x v="3"/>
    <x v="227"/>
    <n v="0.39"/>
    <x v="0"/>
    <x v="1"/>
    <x v="19"/>
    <x v="332"/>
    <n v="19140"/>
    <x v="160"/>
    <d v="2015-02-17T00:00:00"/>
    <x v="668"/>
    <n v="28"/>
    <n v="208.83"/>
    <n v="55874"/>
  </r>
  <r>
    <n v="7811"/>
    <x v="3"/>
    <n v="0.01"/>
    <n v="4.9800000000000004"/>
    <n v="4.62"/>
    <n v="1228"/>
    <x v="404"/>
    <x v="0"/>
    <x v="2"/>
    <x v="2"/>
    <x v="13"/>
    <x v="2"/>
    <x v="139"/>
    <n v="0.64"/>
    <x v="0"/>
    <x v="1"/>
    <x v="19"/>
    <x v="332"/>
    <n v="19140"/>
    <x v="160"/>
    <d v="2015-02-18T00:00:00"/>
    <x v="669"/>
    <n v="41"/>
    <n v="228.3"/>
    <n v="55874"/>
  </r>
  <r>
    <n v="7812"/>
    <x v="3"/>
    <n v="0.06"/>
    <n v="5.68"/>
    <n v="1.39"/>
    <n v="1228"/>
    <x v="404"/>
    <x v="2"/>
    <x v="2"/>
    <x v="0"/>
    <x v="4"/>
    <x v="3"/>
    <x v="360"/>
    <n v="0.38"/>
    <x v="0"/>
    <x v="1"/>
    <x v="19"/>
    <x v="332"/>
    <n v="19140"/>
    <x v="160"/>
    <d v="2015-02-16T00:00:00"/>
    <x v="670"/>
    <n v="24"/>
    <n v="129.53"/>
    <n v="55874"/>
  </r>
  <r>
    <n v="25811"/>
    <x v="3"/>
    <n v="0.01"/>
    <n v="4.9800000000000004"/>
    <n v="4.62"/>
    <n v="1229"/>
    <x v="405"/>
    <x v="0"/>
    <x v="2"/>
    <x v="2"/>
    <x v="13"/>
    <x v="2"/>
    <x v="139"/>
    <n v="0.64"/>
    <x v="0"/>
    <x v="2"/>
    <x v="7"/>
    <x v="333"/>
    <n v="75482"/>
    <x v="160"/>
    <d v="2015-02-18T00:00:00"/>
    <x v="669"/>
    <n v="10"/>
    <n v="55.68"/>
    <n v="90378"/>
  </r>
  <r>
    <n v="21206"/>
    <x v="2"/>
    <n v="0.1"/>
    <n v="120.98"/>
    <n v="9.07"/>
    <n v="1233"/>
    <x v="406"/>
    <x v="0"/>
    <x v="3"/>
    <x v="0"/>
    <x v="8"/>
    <x v="3"/>
    <x v="470"/>
    <n v="0.35"/>
    <x v="0"/>
    <x v="2"/>
    <x v="7"/>
    <x v="334"/>
    <n v="75028"/>
    <x v="37"/>
    <d v="2015-04-11T00:00:00"/>
    <x v="671"/>
    <n v="5"/>
    <n v="568.24"/>
    <n v="89375"/>
  </r>
  <r>
    <n v="21207"/>
    <x v="2"/>
    <n v="0.02"/>
    <n v="152.47999999999999"/>
    <n v="6.5"/>
    <n v="1233"/>
    <x v="406"/>
    <x v="0"/>
    <x v="3"/>
    <x v="2"/>
    <x v="13"/>
    <x v="3"/>
    <x v="208"/>
    <n v="0.74"/>
    <x v="0"/>
    <x v="2"/>
    <x v="7"/>
    <x v="334"/>
    <n v="75028"/>
    <x v="37"/>
    <d v="2015-04-11T00:00:00"/>
    <x v="672"/>
    <n v="1"/>
    <n v="162.91"/>
    <n v="89375"/>
  </r>
  <r>
    <n v="19874"/>
    <x v="0"/>
    <n v="0.09"/>
    <n v="99.99"/>
    <n v="19.989999999999998"/>
    <n v="1233"/>
    <x v="406"/>
    <x v="2"/>
    <x v="3"/>
    <x v="2"/>
    <x v="13"/>
    <x v="3"/>
    <x v="419"/>
    <n v="0.52"/>
    <x v="0"/>
    <x v="2"/>
    <x v="7"/>
    <x v="334"/>
    <n v="75028"/>
    <x v="141"/>
    <d v="2015-06-06T00:00:00"/>
    <x v="673"/>
    <n v="1"/>
    <n v="97.65"/>
    <n v="89376"/>
  </r>
  <r>
    <n v="19875"/>
    <x v="0"/>
    <n v="0.04"/>
    <n v="205.99"/>
    <n v="5.26"/>
    <n v="1233"/>
    <x v="406"/>
    <x v="2"/>
    <x v="3"/>
    <x v="2"/>
    <x v="5"/>
    <x v="3"/>
    <x v="291"/>
    <n v="0.56000000000000005"/>
    <x v="0"/>
    <x v="2"/>
    <x v="7"/>
    <x v="334"/>
    <n v="75028"/>
    <x v="141"/>
    <d v="2015-06-05T00:00:00"/>
    <x v="674"/>
    <n v="6"/>
    <n v="1018.61"/>
    <n v="89376"/>
  </r>
  <r>
    <n v="20592"/>
    <x v="3"/>
    <n v="0.03"/>
    <n v="128.24"/>
    <n v="12.65"/>
    <n v="1237"/>
    <x v="407"/>
    <x v="2"/>
    <x v="0"/>
    <x v="1"/>
    <x v="1"/>
    <x v="4"/>
    <x v="212"/>
    <m/>
    <x v="0"/>
    <x v="2"/>
    <x v="7"/>
    <x v="335"/>
    <n v="75007"/>
    <x v="70"/>
    <d v="2015-02-02T00:00:00"/>
    <x v="675"/>
    <n v="9"/>
    <n v="1145.5999999999999"/>
    <n v="86075"/>
  </r>
  <r>
    <n v="18625"/>
    <x v="1"/>
    <n v="0.02"/>
    <n v="7.38"/>
    <n v="5.21"/>
    <n v="1237"/>
    <x v="407"/>
    <x v="2"/>
    <x v="0"/>
    <x v="1"/>
    <x v="2"/>
    <x v="3"/>
    <x v="143"/>
    <n v="0.56000000000000005"/>
    <x v="0"/>
    <x v="2"/>
    <x v="7"/>
    <x v="335"/>
    <n v="75007"/>
    <x v="48"/>
    <d v="2015-03-30T00:00:00"/>
    <x v="676"/>
    <n v="3"/>
    <n v="24.52"/>
    <n v="86076"/>
  </r>
  <r>
    <n v="20432"/>
    <x v="3"/>
    <n v="0.05"/>
    <n v="300.98"/>
    <n v="13.99"/>
    <n v="1237"/>
    <x v="407"/>
    <x v="2"/>
    <x v="0"/>
    <x v="2"/>
    <x v="6"/>
    <x v="4"/>
    <x v="471"/>
    <n v="0.39"/>
    <x v="0"/>
    <x v="2"/>
    <x v="7"/>
    <x v="335"/>
    <n v="75007"/>
    <x v="40"/>
    <d v="2015-05-26T00:00:00"/>
    <x v="677"/>
    <n v="20"/>
    <n v="5775.81"/>
    <n v="86077"/>
  </r>
  <r>
    <n v="20433"/>
    <x v="3"/>
    <n v="0.04"/>
    <n v="205.99"/>
    <n v="5"/>
    <n v="1237"/>
    <x v="407"/>
    <x v="0"/>
    <x v="0"/>
    <x v="2"/>
    <x v="5"/>
    <x v="3"/>
    <x v="472"/>
    <n v="0.59"/>
    <x v="0"/>
    <x v="2"/>
    <x v="7"/>
    <x v="335"/>
    <n v="75007"/>
    <x v="40"/>
    <d v="2015-05-26T00:00:00"/>
    <x v="678"/>
    <n v="11"/>
    <n v="1878.24"/>
    <n v="86077"/>
  </r>
  <r>
    <n v="20593"/>
    <x v="3"/>
    <n v="0.01"/>
    <n v="160.97999999999999"/>
    <n v="30"/>
    <n v="1238"/>
    <x v="408"/>
    <x v="1"/>
    <x v="0"/>
    <x v="1"/>
    <x v="1"/>
    <x v="1"/>
    <x v="48"/>
    <n v="0.62"/>
    <x v="0"/>
    <x v="2"/>
    <x v="7"/>
    <x v="336"/>
    <n v="75104"/>
    <x v="70"/>
    <d v="2015-02-02T00:00:00"/>
    <x v="679"/>
    <n v="10"/>
    <n v="1634.67"/>
    <n v="86075"/>
  </r>
  <r>
    <n v="20920"/>
    <x v="1"/>
    <n v="0"/>
    <n v="387.99"/>
    <n v="19.989999999999998"/>
    <n v="1241"/>
    <x v="409"/>
    <x v="2"/>
    <x v="0"/>
    <x v="0"/>
    <x v="8"/>
    <x v="3"/>
    <x v="473"/>
    <n v="0.38"/>
    <x v="0"/>
    <x v="3"/>
    <x v="43"/>
    <x v="113"/>
    <n v="36830"/>
    <x v="44"/>
    <d v="2015-03-17T00:00:00"/>
    <x v="680"/>
    <n v="23"/>
    <n v="9280.7199999999993"/>
    <n v="90880"/>
  </r>
  <r>
    <n v="20233"/>
    <x v="2"/>
    <n v="0.06"/>
    <n v="200.97"/>
    <n v="15.59"/>
    <n v="1241"/>
    <x v="409"/>
    <x v="1"/>
    <x v="2"/>
    <x v="2"/>
    <x v="6"/>
    <x v="1"/>
    <x v="474"/>
    <n v="0.36"/>
    <x v="0"/>
    <x v="3"/>
    <x v="43"/>
    <x v="113"/>
    <n v="36830"/>
    <x v="78"/>
    <d v="2015-03-25T00:00:00"/>
    <x v="681"/>
    <n v="7"/>
    <n v="1348.83"/>
    <n v="90881"/>
  </r>
  <r>
    <n v="5117"/>
    <x v="0"/>
    <n v="0.1"/>
    <n v="22.38"/>
    <n v="15.1"/>
    <n v="1246"/>
    <x v="410"/>
    <x v="2"/>
    <x v="1"/>
    <x v="0"/>
    <x v="8"/>
    <x v="3"/>
    <x v="429"/>
    <n v="0.38"/>
    <x v="0"/>
    <x v="1"/>
    <x v="4"/>
    <x v="8"/>
    <n v="10009"/>
    <x v="121"/>
    <d v="2015-04-06T00:00:00"/>
    <x v="682"/>
    <n v="26"/>
    <n v="564.98"/>
    <n v="36452"/>
  </r>
  <r>
    <n v="5118"/>
    <x v="0"/>
    <n v="0.04"/>
    <n v="6.98"/>
    <n v="2.83"/>
    <n v="1246"/>
    <x v="410"/>
    <x v="2"/>
    <x v="1"/>
    <x v="1"/>
    <x v="2"/>
    <x v="2"/>
    <x v="475"/>
    <n v="0.37"/>
    <x v="0"/>
    <x v="1"/>
    <x v="4"/>
    <x v="8"/>
    <n v="10009"/>
    <x v="121"/>
    <d v="2015-04-07T00:00:00"/>
    <x v="683"/>
    <n v="18"/>
    <n v="129.47999999999999"/>
    <n v="36452"/>
  </r>
  <r>
    <n v="6581"/>
    <x v="4"/>
    <n v="0.03"/>
    <n v="256.99"/>
    <n v="11.25"/>
    <n v="1246"/>
    <x v="410"/>
    <x v="2"/>
    <x v="1"/>
    <x v="2"/>
    <x v="13"/>
    <x v="3"/>
    <x v="476"/>
    <n v="0.51"/>
    <x v="0"/>
    <x v="1"/>
    <x v="4"/>
    <x v="8"/>
    <n v="10009"/>
    <x v="55"/>
    <d v="2015-05-22T00:00:00"/>
    <x v="684"/>
    <n v="32"/>
    <n v="8216.2800000000007"/>
    <n v="46853"/>
  </r>
  <r>
    <n v="23117"/>
    <x v="0"/>
    <n v="0.1"/>
    <n v="22.38"/>
    <n v="15.1"/>
    <n v="1247"/>
    <x v="411"/>
    <x v="2"/>
    <x v="1"/>
    <x v="0"/>
    <x v="8"/>
    <x v="3"/>
    <x v="429"/>
    <n v="0.38"/>
    <x v="0"/>
    <x v="2"/>
    <x v="7"/>
    <x v="337"/>
    <n v="78641"/>
    <x v="121"/>
    <d v="2015-04-06T00:00:00"/>
    <x v="682"/>
    <n v="7"/>
    <n v="152.11000000000001"/>
    <n v="91555"/>
  </r>
  <r>
    <n v="23118"/>
    <x v="0"/>
    <n v="0.04"/>
    <n v="6.98"/>
    <n v="2.83"/>
    <n v="1247"/>
    <x v="411"/>
    <x v="2"/>
    <x v="1"/>
    <x v="1"/>
    <x v="2"/>
    <x v="2"/>
    <x v="475"/>
    <n v="0.37"/>
    <x v="0"/>
    <x v="2"/>
    <x v="7"/>
    <x v="337"/>
    <n v="78641"/>
    <x v="121"/>
    <d v="2015-04-07T00:00:00"/>
    <x v="685"/>
    <n v="5"/>
    <n v="35.97"/>
    <n v="91555"/>
  </r>
  <r>
    <n v="18413"/>
    <x v="0"/>
    <n v="0"/>
    <n v="3.89"/>
    <n v="7.01"/>
    <n v="1250"/>
    <x v="412"/>
    <x v="2"/>
    <x v="0"/>
    <x v="0"/>
    <x v="8"/>
    <x v="3"/>
    <x v="477"/>
    <n v="0.37"/>
    <x v="0"/>
    <x v="2"/>
    <x v="12"/>
    <x v="338"/>
    <n v="60110"/>
    <x v="37"/>
    <d v="2015-04-09T00:00:00"/>
    <x v="686"/>
    <n v="21"/>
    <n v="85.64"/>
    <n v="87877"/>
  </r>
  <r>
    <n v="18414"/>
    <x v="0"/>
    <n v="0.09"/>
    <n v="120.98"/>
    <n v="30"/>
    <n v="1250"/>
    <x v="412"/>
    <x v="1"/>
    <x v="0"/>
    <x v="1"/>
    <x v="1"/>
    <x v="1"/>
    <x v="478"/>
    <n v="0.64"/>
    <x v="0"/>
    <x v="2"/>
    <x v="12"/>
    <x v="338"/>
    <n v="60110"/>
    <x v="37"/>
    <d v="2015-04-11T00:00:00"/>
    <x v="687"/>
    <n v="22"/>
    <n v="2508.15"/>
    <n v="87877"/>
  </r>
  <r>
    <n v="18415"/>
    <x v="0"/>
    <n v="0.1"/>
    <n v="30.98"/>
    <n v="5.76"/>
    <n v="1250"/>
    <x v="412"/>
    <x v="2"/>
    <x v="0"/>
    <x v="0"/>
    <x v="7"/>
    <x v="3"/>
    <x v="479"/>
    <n v="0.4"/>
    <x v="0"/>
    <x v="2"/>
    <x v="12"/>
    <x v="338"/>
    <n v="60110"/>
    <x v="37"/>
    <d v="2015-04-10T00:00:00"/>
    <x v="688"/>
    <n v="8"/>
    <n v="225.62"/>
    <n v="87877"/>
  </r>
  <r>
    <n v="19322"/>
    <x v="4"/>
    <n v="0.02"/>
    <n v="46.89"/>
    <n v="5.0999999999999996"/>
    <n v="1253"/>
    <x v="413"/>
    <x v="2"/>
    <x v="1"/>
    <x v="0"/>
    <x v="15"/>
    <x v="4"/>
    <x v="480"/>
    <n v="0.46"/>
    <x v="0"/>
    <x v="2"/>
    <x v="7"/>
    <x v="339"/>
    <n v="78613"/>
    <x v="45"/>
    <d v="2015-04-23T00:00:00"/>
    <x v="689"/>
    <n v="13"/>
    <n v="610.65"/>
    <n v="89981"/>
  </r>
  <r>
    <n v="19323"/>
    <x v="4"/>
    <n v="0.05"/>
    <n v="140.97999999999999"/>
    <n v="36.090000000000003"/>
    <n v="1253"/>
    <x v="413"/>
    <x v="1"/>
    <x v="1"/>
    <x v="1"/>
    <x v="14"/>
    <x v="5"/>
    <x v="481"/>
    <n v="0.77"/>
    <x v="0"/>
    <x v="2"/>
    <x v="7"/>
    <x v="339"/>
    <n v="78613"/>
    <x v="45"/>
    <d v="2015-04-25T00:00:00"/>
    <x v="690"/>
    <n v="5"/>
    <n v="699.24"/>
    <n v="89981"/>
  </r>
  <r>
    <n v="19324"/>
    <x v="4"/>
    <n v="0.1"/>
    <n v="212.6"/>
    <n v="110.2"/>
    <n v="1253"/>
    <x v="413"/>
    <x v="1"/>
    <x v="1"/>
    <x v="1"/>
    <x v="11"/>
    <x v="5"/>
    <x v="482"/>
    <n v="0.73"/>
    <x v="0"/>
    <x v="2"/>
    <x v="7"/>
    <x v="339"/>
    <n v="78613"/>
    <x v="45"/>
    <d v="2015-04-25T00:00:00"/>
    <x v="691"/>
    <n v="12"/>
    <n v="2346.0300000000002"/>
    <n v="89981"/>
  </r>
  <r>
    <n v="23455"/>
    <x v="3"/>
    <n v="0.04"/>
    <n v="2.08"/>
    <n v="1.49"/>
    <n v="1254"/>
    <x v="414"/>
    <x v="2"/>
    <x v="1"/>
    <x v="0"/>
    <x v="8"/>
    <x v="3"/>
    <x v="483"/>
    <n v="0.36"/>
    <x v="0"/>
    <x v="2"/>
    <x v="7"/>
    <x v="340"/>
    <n v="77530"/>
    <x v="8"/>
    <d v="2015-05-23T00:00:00"/>
    <x v="692"/>
    <n v="16"/>
    <n v="33.770000000000003"/>
    <n v="89982"/>
  </r>
  <r>
    <n v="23815"/>
    <x v="2"/>
    <n v="0.06"/>
    <n v="80.98"/>
    <n v="35"/>
    <n v="1254"/>
    <x v="414"/>
    <x v="2"/>
    <x v="1"/>
    <x v="0"/>
    <x v="10"/>
    <x v="6"/>
    <x v="484"/>
    <n v="0.81"/>
    <x v="0"/>
    <x v="2"/>
    <x v="7"/>
    <x v="340"/>
    <n v="77530"/>
    <x v="14"/>
    <d v="2015-03-13T00:00:00"/>
    <x v="693"/>
    <n v="2"/>
    <n v="172.79"/>
    <n v="89983"/>
  </r>
  <r>
    <n v="23926"/>
    <x v="3"/>
    <n v="0.06"/>
    <n v="3.95"/>
    <n v="2"/>
    <n v="1254"/>
    <x v="414"/>
    <x v="2"/>
    <x v="1"/>
    <x v="0"/>
    <x v="3"/>
    <x v="0"/>
    <x v="485"/>
    <n v="0.53"/>
    <x v="0"/>
    <x v="2"/>
    <x v="7"/>
    <x v="340"/>
    <n v="77530"/>
    <x v="120"/>
    <d v="2015-03-25T00:00:00"/>
    <x v="694"/>
    <n v="5"/>
    <n v="19.66"/>
    <n v="89984"/>
  </r>
  <r>
    <n v="18131"/>
    <x v="3"/>
    <n v="0.01"/>
    <n v="115.99"/>
    <n v="56.14"/>
    <n v="1257"/>
    <x v="415"/>
    <x v="1"/>
    <x v="1"/>
    <x v="2"/>
    <x v="6"/>
    <x v="1"/>
    <x v="486"/>
    <n v="0.4"/>
    <x v="0"/>
    <x v="0"/>
    <x v="21"/>
    <x v="53"/>
    <n v="80013"/>
    <x v="55"/>
    <d v="2015-05-23T00:00:00"/>
    <x v="695"/>
    <n v="5"/>
    <n v="604.35"/>
    <n v="86535"/>
  </r>
  <r>
    <n v="18693"/>
    <x v="2"/>
    <n v="0.04"/>
    <n v="2.52"/>
    <n v="1.92"/>
    <n v="1257"/>
    <x v="415"/>
    <x v="2"/>
    <x v="1"/>
    <x v="0"/>
    <x v="12"/>
    <x v="0"/>
    <x v="487"/>
    <n v="0.82"/>
    <x v="0"/>
    <x v="0"/>
    <x v="21"/>
    <x v="53"/>
    <n v="80013"/>
    <x v="158"/>
    <d v="2015-04-24T00:00:00"/>
    <x v="696"/>
    <n v="1"/>
    <n v="3.13"/>
    <n v="86536"/>
  </r>
  <r>
    <n v="24939"/>
    <x v="0"/>
    <n v="0.03"/>
    <n v="3.69"/>
    <n v="2.5"/>
    <n v="1259"/>
    <x v="416"/>
    <x v="0"/>
    <x v="1"/>
    <x v="0"/>
    <x v="4"/>
    <x v="3"/>
    <x v="488"/>
    <n v="0.39"/>
    <x v="0"/>
    <x v="3"/>
    <x v="35"/>
    <x v="341"/>
    <n v="40422"/>
    <x v="18"/>
    <d v="2015-04-20T00:00:00"/>
    <x v="697"/>
    <n v="9"/>
    <n v="38.65"/>
    <n v="86534"/>
  </r>
  <r>
    <n v="21771"/>
    <x v="2"/>
    <n v="0.02"/>
    <n v="73.98"/>
    <n v="14.52"/>
    <n v="1261"/>
    <x v="417"/>
    <x v="2"/>
    <x v="1"/>
    <x v="2"/>
    <x v="13"/>
    <x v="3"/>
    <x v="414"/>
    <n v="0.65"/>
    <x v="0"/>
    <x v="0"/>
    <x v="21"/>
    <x v="342"/>
    <n v="80020"/>
    <x v="163"/>
    <d v="2015-05-10T00:00:00"/>
    <x v="698"/>
    <n v="5"/>
    <n v="378.23"/>
    <n v="89730"/>
  </r>
  <r>
    <n v="24559"/>
    <x v="2"/>
    <n v="0.05"/>
    <n v="5.28"/>
    <n v="6.26"/>
    <n v="1265"/>
    <x v="418"/>
    <x v="2"/>
    <x v="1"/>
    <x v="0"/>
    <x v="7"/>
    <x v="3"/>
    <x v="489"/>
    <n v="0.4"/>
    <x v="0"/>
    <x v="2"/>
    <x v="23"/>
    <x v="343"/>
    <n v="73521"/>
    <x v="164"/>
    <d v="2015-06-12T00:00:00"/>
    <x v="699"/>
    <n v="1"/>
    <n v="7.15"/>
    <n v="89729"/>
  </r>
  <r>
    <n v="22363"/>
    <x v="2"/>
    <n v="0.01"/>
    <n v="13.99"/>
    <n v="7.51"/>
    <n v="1267"/>
    <x v="419"/>
    <x v="2"/>
    <x v="0"/>
    <x v="2"/>
    <x v="6"/>
    <x v="4"/>
    <x v="490"/>
    <n v="0.39"/>
    <x v="0"/>
    <x v="3"/>
    <x v="26"/>
    <x v="344"/>
    <n v="33433"/>
    <x v="104"/>
    <d v="2015-02-11T00:00:00"/>
    <x v="700"/>
    <n v="2"/>
    <n v="29.85"/>
    <n v="89514"/>
  </r>
  <r>
    <n v="21848"/>
    <x v="1"/>
    <n v="0.08"/>
    <n v="128.24"/>
    <n v="12.65"/>
    <n v="1267"/>
    <x v="419"/>
    <x v="2"/>
    <x v="0"/>
    <x v="1"/>
    <x v="1"/>
    <x v="4"/>
    <x v="212"/>
    <m/>
    <x v="0"/>
    <x v="3"/>
    <x v="26"/>
    <x v="344"/>
    <n v="33433"/>
    <x v="3"/>
    <d v="2015-05-13T00:00:00"/>
    <x v="701"/>
    <n v="3"/>
    <n v="366.44"/>
    <n v="89515"/>
  </r>
  <r>
    <n v="21849"/>
    <x v="1"/>
    <n v="0.04"/>
    <n v="5.98"/>
    <n v="4.38"/>
    <n v="1267"/>
    <x v="419"/>
    <x v="2"/>
    <x v="0"/>
    <x v="2"/>
    <x v="13"/>
    <x v="2"/>
    <x v="491"/>
    <n v="0.75"/>
    <x v="0"/>
    <x v="3"/>
    <x v="26"/>
    <x v="344"/>
    <n v="33433"/>
    <x v="3"/>
    <d v="2015-05-14T00:00:00"/>
    <x v="702"/>
    <n v="11"/>
    <n v="69.75"/>
    <n v="89515"/>
  </r>
  <r>
    <n v="19550"/>
    <x v="3"/>
    <n v="7.0000000000000007E-2"/>
    <n v="125.99"/>
    <n v="7.69"/>
    <n v="1271"/>
    <x v="420"/>
    <x v="2"/>
    <x v="0"/>
    <x v="2"/>
    <x v="5"/>
    <x v="3"/>
    <x v="19"/>
    <n v="0.59"/>
    <x v="0"/>
    <x v="0"/>
    <x v="1"/>
    <x v="345"/>
    <n v="91941"/>
    <x v="37"/>
    <d v="2015-04-10T00:00:00"/>
    <x v="703"/>
    <n v="8"/>
    <n v="852.53"/>
    <n v="88410"/>
  </r>
  <r>
    <n v="19398"/>
    <x v="4"/>
    <n v="0.1"/>
    <n v="34.229999999999997"/>
    <n v="5.0199999999999996"/>
    <n v="1271"/>
    <x v="420"/>
    <x v="2"/>
    <x v="0"/>
    <x v="1"/>
    <x v="2"/>
    <x v="3"/>
    <x v="492"/>
    <n v="0.55000000000000004"/>
    <x v="0"/>
    <x v="0"/>
    <x v="1"/>
    <x v="345"/>
    <n v="91941"/>
    <x v="90"/>
    <d v="2015-05-06T00:00:00"/>
    <x v="704"/>
    <n v="7"/>
    <n v="219.66"/>
    <n v="88411"/>
  </r>
  <r>
    <n v="20628"/>
    <x v="2"/>
    <n v="7.0000000000000007E-2"/>
    <n v="40.98"/>
    <n v="7.47"/>
    <n v="1279"/>
    <x v="421"/>
    <x v="2"/>
    <x v="0"/>
    <x v="0"/>
    <x v="8"/>
    <x v="3"/>
    <x v="493"/>
    <n v="0.37"/>
    <x v="0"/>
    <x v="2"/>
    <x v="38"/>
    <x v="346"/>
    <n v="46324"/>
    <x v="151"/>
    <d v="2015-03-02T00:00:00"/>
    <x v="705"/>
    <n v="2"/>
    <n v="81.900000000000006"/>
    <n v="90114"/>
  </r>
  <r>
    <n v="25005"/>
    <x v="1"/>
    <n v="0"/>
    <n v="442.14"/>
    <n v="14.7"/>
    <n v="1279"/>
    <x v="421"/>
    <x v="1"/>
    <x v="0"/>
    <x v="2"/>
    <x v="6"/>
    <x v="1"/>
    <x v="110"/>
    <n v="0.56000000000000005"/>
    <x v="0"/>
    <x v="2"/>
    <x v="38"/>
    <x v="346"/>
    <n v="46324"/>
    <x v="93"/>
    <d v="2015-03-05T00:00:00"/>
    <x v="706"/>
    <n v="5"/>
    <n v="2343.34"/>
    <n v="90115"/>
  </r>
  <r>
    <n v="2628"/>
    <x v="2"/>
    <n v="7.0000000000000007E-2"/>
    <n v="40.98"/>
    <n v="7.47"/>
    <n v="1280"/>
    <x v="422"/>
    <x v="2"/>
    <x v="0"/>
    <x v="0"/>
    <x v="8"/>
    <x v="3"/>
    <x v="493"/>
    <n v="0.37"/>
    <x v="0"/>
    <x v="0"/>
    <x v="0"/>
    <x v="33"/>
    <n v="98119"/>
    <x v="151"/>
    <d v="2015-03-02T00:00:00"/>
    <x v="705"/>
    <n v="8"/>
    <n v="327.61"/>
    <n v="19042"/>
  </r>
  <r>
    <n v="22125"/>
    <x v="4"/>
    <n v="0.1"/>
    <n v="238.4"/>
    <n v="24.49"/>
    <n v="1281"/>
    <x v="423"/>
    <x v="2"/>
    <x v="2"/>
    <x v="1"/>
    <x v="1"/>
    <x v="6"/>
    <x v="494"/>
    <m/>
    <x v="0"/>
    <x v="2"/>
    <x v="38"/>
    <x v="347"/>
    <n v="47591"/>
    <x v="76"/>
    <d v="2015-01-26T00:00:00"/>
    <x v="707"/>
    <n v="8"/>
    <n v="1774.5"/>
    <n v="89112"/>
  </r>
  <r>
    <n v="22126"/>
    <x v="4"/>
    <n v="0.03"/>
    <n v="199.99"/>
    <n v="24.49"/>
    <n v="1281"/>
    <x v="423"/>
    <x v="0"/>
    <x v="2"/>
    <x v="2"/>
    <x v="16"/>
    <x v="6"/>
    <x v="495"/>
    <n v="0.46"/>
    <x v="0"/>
    <x v="2"/>
    <x v="38"/>
    <x v="347"/>
    <n v="47591"/>
    <x v="76"/>
    <d v="2015-01-26T00:00:00"/>
    <x v="708"/>
    <n v="5"/>
    <n v="1054.69"/>
    <n v="89112"/>
  </r>
  <r>
    <n v="4125"/>
    <x v="4"/>
    <n v="0.1"/>
    <n v="238.4"/>
    <n v="24.49"/>
    <n v="1282"/>
    <x v="424"/>
    <x v="2"/>
    <x v="2"/>
    <x v="1"/>
    <x v="1"/>
    <x v="6"/>
    <x v="494"/>
    <m/>
    <x v="0"/>
    <x v="1"/>
    <x v="19"/>
    <x v="332"/>
    <n v="19134"/>
    <x v="76"/>
    <d v="2015-01-26T00:00:00"/>
    <x v="709"/>
    <n v="30"/>
    <n v="6654.39"/>
    <n v="29319"/>
  </r>
  <r>
    <n v="4126"/>
    <x v="4"/>
    <n v="0.03"/>
    <n v="199.99"/>
    <n v="24.49"/>
    <n v="1282"/>
    <x v="424"/>
    <x v="0"/>
    <x v="2"/>
    <x v="2"/>
    <x v="16"/>
    <x v="6"/>
    <x v="495"/>
    <n v="0.46"/>
    <x v="0"/>
    <x v="1"/>
    <x v="19"/>
    <x v="332"/>
    <n v="19134"/>
    <x v="76"/>
    <d v="2015-01-26T00:00:00"/>
    <x v="710"/>
    <n v="21"/>
    <n v="4429.6899999999996"/>
    <n v="29319"/>
  </r>
  <r>
    <n v="19990"/>
    <x v="1"/>
    <n v="0.04"/>
    <n v="150.97999999999999"/>
    <n v="13.99"/>
    <n v="1298"/>
    <x v="425"/>
    <x v="2"/>
    <x v="1"/>
    <x v="2"/>
    <x v="6"/>
    <x v="4"/>
    <x v="216"/>
    <n v="0.38"/>
    <x v="0"/>
    <x v="2"/>
    <x v="7"/>
    <x v="333"/>
    <n v="75482"/>
    <x v="6"/>
    <d v="2015-02-15T00:00:00"/>
    <x v="711"/>
    <n v="6"/>
    <n v="878.34"/>
    <n v="90662"/>
  </r>
  <r>
    <n v="19991"/>
    <x v="1"/>
    <n v="0.04"/>
    <n v="176.19"/>
    <n v="11.87"/>
    <n v="1298"/>
    <x v="425"/>
    <x v="2"/>
    <x v="1"/>
    <x v="0"/>
    <x v="10"/>
    <x v="3"/>
    <x v="496"/>
    <n v="0.62"/>
    <x v="0"/>
    <x v="2"/>
    <x v="7"/>
    <x v="333"/>
    <n v="75482"/>
    <x v="6"/>
    <d v="2015-02-14T00:00:00"/>
    <x v="712"/>
    <n v="4"/>
    <n v="676.57"/>
    <n v="90662"/>
  </r>
  <r>
    <n v="23120"/>
    <x v="0"/>
    <n v="0.03"/>
    <n v="39.479999999999997"/>
    <n v="1.99"/>
    <n v="1303"/>
    <x v="426"/>
    <x v="2"/>
    <x v="3"/>
    <x v="2"/>
    <x v="13"/>
    <x v="2"/>
    <x v="246"/>
    <n v="0.54"/>
    <x v="0"/>
    <x v="0"/>
    <x v="17"/>
    <x v="348"/>
    <n v="84074"/>
    <x v="153"/>
    <d v="2015-02-21T00:00:00"/>
    <x v="713"/>
    <n v="12"/>
    <n v="459.55"/>
    <n v="87003"/>
  </r>
  <r>
    <n v="20652"/>
    <x v="4"/>
    <n v="0.01"/>
    <n v="65.989999999999995"/>
    <n v="5.31"/>
    <n v="1303"/>
    <x v="426"/>
    <x v="2"/>
    <x v="3"/>
    <x v="2"/>
    <x v="5"/>
    <x v="3"/>
    <x v="497"/>
    <n v="0.56999999999999995"/>
    <x v="0"/>
    <x v="0"/>
    <x v="17"/>
    <x v="348"/>
    <n v="84074"/>
    <x v="153"/>
    <d v="2015-02-26T00:00:00"/>
    <x v="714"/>
    <n v="9"/>
    <n v="536.9"/>
    <n v="87005"/>
  </r>
  <r>
    <n v="25092"/>
    <x v="3"/>
    <n v="0.08"/>
    <n v="2.88"/>
    <n v="0.5"/>
    <n v="1304"/>
    <x v="427"/>
    <x v="2"/>
    <x v="3"/>
    <x v="0"/>
    <x v="9"/>
    <x v="3"/>
    <x v="498"/>
    <n v="0.39"/>
    <x v="0"/>
    <x v="0"/>
    <x v="17"/>
    <x v="349"/>
    <n v="84084"/>
    <x v="45"/>
    <d v="2015-04-24T00:00:00"/>
    <x v="715"/>
    <n v="3"/>
    <n v="8.74"/>
    <n v="87004"/>
  </r>
  <r>
    <n v="26274"/>
    <x v="0"/>
    <n v="0.04"/>
    <n v="62.18"/>
    <n v="10.84"/>
    <n v="1305"/>
    <x v="428"/>
    <x v="2"/>
    <x v="3"/>
    <x v="1"/>
    <x v="2"/>
    <x v="4"/>
    <x v="499"/>
    <n v="0.63"/>
    <x v="0"/>
    <x v="0"/>
    <x v="17"/>
    <x v="350"/>
    <n v="84120"/>
    <x v="149"/>
    <d v="2015-02-19T00:00:00"/>
    <x v="716"/>
    <n v="3"/>
    <n v="182.33"/>
    <n v="87002"/>
  </r>
  <r>
    <n v="22832"/>
    <x v="4"/>
    <n v="0.04"/>
    <n v="8.33"/>
    <n v="1.99"/>
    <n v="1307"/>
    <x v="429"/>
    <x v="2"/>
    <x v="2"/>
    <x v="2"/>
    <x v="13"/>
    <x v="2"/>
    <x v="140"/>
    <n v="0.52"/>
    <x v="0"/>
    <x v="0"/>
    <x v="6"/>
    <x v="351"/>
    <n v="97420"/>
    <x v="133"/>
    <d v="2015-07-07T00:00:00"/>
    <x v="717"/>
    <n v="16"/>
    <n v="131.26"/>
    <n v="91451"/>
  </r>
  <r>
    <n v="3167"/>
    <x v="3"/>
    <n v="0.04"/>
    <n v="5.34"/>
    <n v="2.99"/>
    <n v="1314"/>
    <x v="430"/>
    <x v="2"/>
    <x v="1"/>
    <x v="0"/>
    <x v="8"/>
    <x v="3"/>
    <x v="289"/>
    <n v="0.38"/>
    <x v="0"/>
    <x v="0"/>
    <x v="1"/>
    <x v="154"/>
    <n v="90058"/>
    <x v="25"/>
    <d v="2015-04-01T00:00:00"/>
    <x v="718"/>
    <n v="45"/>
    <n v="240.6"/>
    <n v="22755"/>
  </r>
  <r>
    <n v="3168"/>
    <x v="3"/>
    <n v="0.06"/>
    <n v="55.99"/>
    <n v="5"/>
    <n v="1314"/>
    <x v="430"/>
    <x v="2"/>
    <x v="1"/>
    <x v="2"/>
    <x v="5"/>
    <x v="2"/>
    <x v="241"/>
    <n v="0.8"/>
    <x v="0"/>
    <x v="0"/>
    <x v="1"/>
    <x v="154"/>
    <n v="90058"/>
    <x v="25"/>
    <d v="2015-04-01T00:00:00"/>
    <x v="719"/>
    <n v="5"/>
    <n v="236.88"/>
    <n v="22755"/>
  </r>
  <r>
    <n v="3791"/>
    <x v="4"/>
    <n v="0.05"/>
    <n v="80.98"/>
    <n v="35"/>
    <n v="1314"/>
    <x v="430"/>
    <x v="2"/>
    <x v="1"/>
    <x v="0"/>
    <x v="10"/>
    <x v="6"/>
    <x v="484"/>
    <n v="0.81"/>
    <x v="0"/>
    <x v="0"/>
    <x v="1"/>
    <x v="154"/>
    <n v="90058"/>
    <x v="99"/>
    <d v="2015-01-09T00:00:00"/>
    <x v="720"/>
    <n v="34"/>
    <n v="2710.47"/>
    <n v="27013"/>
  </r>
  <r>
    <n v="3792"/>
    <x v="4"/>
    <n v="0.05"/>
    <n v="279.48"/>
    <n v="35"/>
    <n v="1314"/>
    <x v="430"/>
    <x v="2"/>
    <x v="1"/>
    <x v="0"/>
    <x v="10"/>
    <x v="6"/>
    <x v="284"/>
    <n v="0.8"/>
    <x v="0"/>
    <x v="0"/>
    <x v="1"/>
    <x v="154"/>
    <n v="90058"/>
    <x v="99"/>
    <d v="2015-01-05T00:00:00"/>
    <x v="721"/>
    <n v="31"/>
    <n v="8354.73"/>
    <n v="27013"/>
  </r>
  <r>
    <n v="21166"/>
    <x v="3"/>
    <n v="0"/>
    <n v="4.91"/>
    <n v="5.68"/>
    <n v="1315"/>
    <x v="431"/>
    <x v="2"/>
    <x v="1"/>
    <x v="0"/>
    <x v="8"/>
    <x v="3"/>
    <x v="500"/>
    <n v="0.36"/>
    <x v="0"/>
    <x v="0"/>
    <x v="21"/>
    <x v="352"/>
    <n v="80906"/>
    <x v="25"/>
    <d v="2015-03-31T00:00:00"/>
    <x v="722"/>
    <n v="9"/>
    <n v="48.3"/>
    <n v="87602"/>
  </r>
  <r>
    <n v="21167"/>
    <x v="3"/>
    <n v="0.04"/>
    <n v="5.34"/>
    <n v="2.99"/>
    <n v="1316"/>
    <x v="432"/>
    <x v="2"/>
    <x v="1"/>
    <x v="0"/>
    <x v="8"/>
    <x v="3"/>
    <x v="289"/>
    <n v="0.38"/>
    <x v="0"/>
    <x v="0"/>
    <x v="21"/>
    <x v="353"/>
    <n v="80022"/>
    <x v="25"/>
    <d v="2015-04-01T00:00:00"/>
    <x v="718"/>
    <n v="11"/>
    <n v="58.81"/>
    <n v="87602"/>
  </r>
  <r>
    <n v="21168"/>
    <x v="3"/>
    <n v="0.06"/>
    <n v="55.99"/>
    <n v="5"/>
    <n v="1316"/>
    <x v="432"/>
    <x v="2"/>
    <x v="1"/>
    <x v="2"/>
    <x v="5"/>
    <x v="2"/>
    <x v="241"/>
    <n v="0.8"/>
    <x v="0"/>
    <x v="0"/>
    <x v="21"/>
    <x v="353"/>
    <n v="80022"/>
    <x v="25"/>
    <d v="2015-04-01T00:00:00"/>
    <x v="719"/>
    <n v="1"/>
    <n v="47.38"/>
    <n v="87602"/>
  </r>
  <r>
    <n v="21791"/>
    <x v="4"/>
    <n v="0.05"/>
    <n v="80.98"/>
    <n v="35"/>
    <n v="1316"/>
    <x v="432"/>
    <x v="2"/>
    <x v="1"/>
    <x v="0"/>
    <x v="10"/>
    <x v="6"/>
    <x v="484"/>
    <n v="0.81"/>
    <x v="0"/>
    <x v="0"/>
    <x v="21"/>
    <x v="353"/>
    <n v="80022"/>
    <x v="99"/>
    <d v="2015-01-09T00:00:00"/>
    <x v="720"/>
    <n v="8"/>
    <n v="637.76"/>
    <n v="87603"/>
  </r>
  <r>
    <n v="21792"/>
    <x v="4"/>
    <n v="0.05"/>
    <n v="279.48"/>
    <n v="35"/>
    <n v="1316"/>
    <x v="432"/>
    <x v="2"/>
    <x v="1"/>
    <x v="0"/>
    <x v="10"/>
    <x v="6"/>
    <x v="284"/>
    <n v="0.8"/>
    <x v="0"/>
    <x v="0"/>
    <x v="21"/>
    <x v="353"/>
    <n v="80022"/>
    <x v="99"/>
    <d v="2015-01-05T00:00:00"/>
    <x v="721"/>
    <n v="8"/>
    <n v="2156.06"/>
    <n v="87603"/>
  </r>
  <r>
    <n v="21006"/>
    <x v="4"/>
    <n v="0.02"/>
    <n v="55.99"/>
    <n v="3.3"/>
    <n v="1338"/>
    <x v="433"/>
    <x v="2"/>
    <x v="1"/>
    <x v="2"/>
    <x v="5"/>
    <x v="2"/>
    <x v="501"/>
    <n v="0.59"/>
    <x v="0"/>
    <x v="2"/>
    <x v="12"/>
    <x v="25"/>
    <n v="60623"/>
    <x v="104"/>
    <d v="2015-02-10T00:00:00"/>
    <x v="723"/>
    <n v="16"/>
    <n v="761.16"/>
    <n v="91244"/>
  </r>
  <r>
    <n v="3004"/>
    <x v="4"/>
    <n v="0"/>
    <n v="22.38"/>
    <n v="15.1"/>
    <n v="1340"/>
    <x v="434"/>
    <x v="0"/>
    <x v="1"/>
    <x v="0"/>
    <x v="8"/>
    <x v="3"/>
    <x v="429"/>
    <n v="0.38"/>
    <x v="0"/>
    <x v="1"/>
    <x v="4"/>
    <x v="8"/>
    <n v="10170"/>
    <x v="104"/>
    <d v="2015-02-17T00:00:00"/>
    <x v="724"/>
    <n v="29"/>
    <n v="682.68"/>
    <n v="21636"/>
  </r>
  <r>
    <n v="3005"/>
    <x v="4"/>
    <n v="7.0000000000000007E-2"/>
    <n v="5.98"/>
    <n v="4.6900000000000004"/>
    <n v="1340"/>
    <x v="434"/>
    <x v="2"/>
    <x v="1"/>
    <x v="0"/>
    <x v="10"/>
    <x v="3"/>
    <x v="502"/>
    <n v="0.68"/>
    <x v="0"/>
    <x v="1"/>
    <x v="4"/>
    <x v="8"/>
    <n v="10170"/>
    <x v="104"/>
    <d v="2015-02-15T00:00:00"/>
    <x v="725"/>
    <n v="11"/>
    <n v="73.44"/>
    <n v="21636"/>
  </r>
  <r>
    <n v="3006"/>
    <x v="4"/>
    <n v="0.02"/>
    <n v="55.99"/>
    <n v="3.3"/>
    <n v="1340"/>
    <x v="434"/>
    <x v="2"/>
    <x v="1"/>
    <x v="2"/>
    <x v="5"/>
    <x v="2"/>
    <x v="501"/>
    <n v="0.59"/>
    <x v="0"/>
    <x v="1"/>
    <x v="4"/>
    <x v="8"/>
    <n v="10170"/>
    <x v="104"/>
    <d v="2015-02-10T00:00:00"/>
    <x v="726"/>
    <n v="63"/>
    <n v="2997.07"/>
    <n v="21636"/>
  </r>
  <r>
    <n v="3431"/>
    <x v="1"/>
    <n v="7.0000000000000007E-2"/>
    <n v="3.98"/>
    <n v="0.83"/>
    <n v="1340"/>
    <x v="434"/>
    <x v="2"/>
    <x v="1"/>
    <x v="0"/>
    <x v="0"/>
    <x v="0"/>
    <x v="503"/>
    <n v="0.51"/>
    <x v="0"/>
    <x v="1"/>
    <x v="4"/>
    <x v="8"/>
    <n v="10170"/>
    <x v="132"/>
    <d v="2015-06-09T00:00:00"/>
    <x v="727"/>
    <n v="76"/>
    <n v="282.85000000000002"/>
    <n v="24455"/>
  </r>
  <r>
    <n v="21005"/>
    <x v="4"/>
    <n v="7.0000000000000007E-2"/>
    <n v="5.98"/>
    <n v="4.6900000000000004"/>
    <n v="1341"/>
    <x v="435"/>
    <x v="2"/>
    <x v="1"/>
    <x v="0"/>
    <x v="10"/>
    <x v="3"/>
    <x v="502"/>
    <n v="0.68"/>
    <x v="0"/>
    <x v="1"/>
    <x v="19"/>
    <x v="354"/>
    <n v="17201"/>
    <x v="104"/>
    <d v="2015-02-15T00:00:00"/>
    <x v="728"/>
    <n v="3"/>
    <n v="20.03"/>
    <n v="91244"/>
  </r>
  <r>
    <n v="21430"/>
    <x v="1"/>
    <n v="0"/>
    <n v="20.89"/>
    <n v="1.99"/>
    <n v="1341"/>
    <x v="435"/>
    <x v="2"/>
    <x v="1"/>
    <x v="2"/>
    <x v="13"/>
    <x v="2"/>
    <x v="504"/>
    <n v="0.48"/>
    <x v="0"/>
    <x v="1"/>
    <x v="19"/>
    <x v="354"/>
    <n v="17201"/>
    <x v="132"/>
    <d v="2015-06-08T00:00:00"/>
    <x v="729"/>
    <n v="4"/>
    <n v="84.56"/>
    <n v="91245"/>
  </r>
  <r>
    <n v="21431"/>
    <x v="1"/>
    <n v="7.0000000000000007E-2"/>
    <n v="3.98"/>
    <n v="0.83"/>
    <n v="1341"/>
    <x v="435"/>
    <x v="2"/>
    <x v="1"/>
    <x v="0"/>
    <x v="0"/>
    <x v="0"/>
    <x v="503"/>
    <n v="0.51"/>
    <x v="0"/>
    <x v="1"/>
    <x v="19"/>
    <x v="354"/>
    <n v="17201"/>
    <x v="132"/>
    <d v="2015-06-09T00:00:00"/>
    <x v="730"/>
    <n v="19"/>
    <n v="70.709999999999994"/>
    <n v="91245"/>
  </r>
  <r>
    <n v="20804"/>
    <x v="4"/>
    <n v="0.1"/>
    <n v="2.62"/>
    <n v="0.8"/>
    <n v="1347"/>
    <x v="436"/>
    <x v="2"/>
    <x v="1"/>
    <x v="0"/>
    <x v="3"/>
    <x v="0"/>
    <x v="505"/>
    <n v="0.39"/>
    <x v="0"/>
    <x v="3"/>
    <x v="26"/>
    <x v="355"/>
    <n v="33511"/>
    <x v="122"/>
    <d v="2015-05-06T00:00:00"/>
    <x v="731"/>
    <n v="21"/>
    <n v="51.86"/>
    <n v="89686"/>
  </r>
  <r>
    <n v="22414"/>
    <x v="0"/>
    <n v="0"/>
    <n v="12.2"/>
    <n v="6.02"/>
    <n v="1350"/>
    <x v="437"/>
    <x v="0"/>
    <x v="1"/>
    <x v="1"/>
    <x v="2"/>
    <x v="2"/>
    <x v="506"/>
    <n v="0.43"/>
    <x v="0"/>
    <x v="3"/>
    <x v="26"/>
    <x v="356"/>
    <n v="33055"/>
    <x v="89"/>
    <d v="2015-04-18T00:00:00"/>
    <x v="732"/>
    <n v="4"/>
    <n v="56.24"/>
    <n v="88233"/>
  </r>
  <r>
    <n v="18499"/>
    <x v="1"/>
    <n v="0.1"/>
    <n v="110.99"/>
    <n v="8.99"/>
    <n v="1351"/>
    <x v="438"/>
    <x v="0"/>
    <x v="1"/>
    <x v="2"/>
    <x v="5"/>
    <x v="3"/>
    <x v="507"/>
    <n v="0.56999999999999995"/>
    <x v="0"/>
    <x v="3"/>
    <x v="26"/>
    <x v="357"/>
    <n v="33063"/>
    <x v="39"/>
    <d v="2015-01-29T00:00:00"/>
    <x v="733"/>
    <n v="7"/>
    <n v="627.78"/>
    <n v="88232"/>
  </r>
  <r>
    <n v="24232"/>
    <x v="0"/>
    <n v="0.05"/>
    <n v="17.670000000000002"/>
    <n v="8.99"/>
    <n v="1352"/>
    <x v="439"/>
    <x v="2"/>
    <x v="1"/>
    <x v="1"/>
    <x v="2"/>
    <x v="2"/>
    <x v="283"/>
    <n v="0.47"/>
    <x v="0"/>
    <x v="1"/>
    <x v="30"/>
    <x v="358"/>
    <n v="20746"/>
    <x v="122"/>
    <d v="2015-05-01T00:00:00"/>
    <x v="734"/>
    <n v="16"/>
    <n v="283.44"/>
    <n v="88234"/>
  </r>
  <r>
    <n v="20870"/>
    <x v="0"/>
    <n v="0.1"/>
    <n v="4.13"/>
    <n v="0.99"/>
    <n v="1354"/>
    <x v="440"/>
    <x v="2"/>
    <x v="3"/>
    <x v="0"/>
    <x v="9"/>
    <x v="3"/>
    <x v="508"/>
    <n v="0.39"/>
    <x v="0"/>
    <x v="2"/>
    <x v="7"/>
    <x v="359"/>
    <n v="76086"/>
    <x v="143"/>
    <d v="2015-02-11T00:00:00"/>
    <x v="735"/>
    <n v="2"/>
    <n v="8.3000000000000007"/>
    <n v="91209"/>
  </r>
  <r>
    <n v="20871"/>
    <x v="0"/>
    <n v="0.04"/>
    <n v="4.9800000000000004"/>
    <n v="0.49"/>
    <n v="1354"/>
    <x v="440"/>
    <x v="2"/>
    <x v="3"/>
    <x v="0"/>
    <x v="9"/>
    <x v="3"/>
    <x v="509"/>
    <n v="0.39"/>
    <x v="0"/>
    <x v="2"/>
    <x v="7"/>
    <x v="359"/>
    <n v="76086"/>
    <x v="143"/>
    <d v="2015-02-13T00:00:00"/>
    <x v="736"/>
    <n v="2"/>
    <n v="10.039999999999999"/>
    <n v="91209"/>
  </r>
  <r>
    <n v="18733"/>
    <x v="3"/>
    <n v="0.03"/>
    <n v="125.99"/>
    <n v="7.69"/>
    <n v="1357"/>
    <x v="441"/>
    <x v="2"/>
    <x v="1"/>
    <x v="2"/>
    <x v="5"/>
    <x v="3"/>
    <x v="442"/>
    <n v="0.57999999999999996"/>
    <x v="0"/>
    <x v="2"/>
    <x v="7"/>
    <x v="360"/>
    <n v="78596"/>
    <x v="26"/>
    <d v="2015-06-05T00:00:00"/>
    <x v="737"/>
    <n v="9"/>
    <n v="981.65"/>
    <n v="88184"/>
  </r>
  <r>
    <n v="18645"/>
    <x v="0"/>
    <n v="7.0000000000000007E-2"/>
    <n v="119.99"/>
    <n v="16.8"/>
    <n v="1357"/>
    <x v="441"/>
    <x v="1"/>
    <x v="1"/>
    <x v="2"/>
    <x v="6"/>
    <x v="5"/>
    <x v="510"/>
    <n v="0.35"/>
    <x v="0"/>
    <x v="2"/>
    <x v="7"/>
    <x v="360"/>
    <n v="78596"/>
    <x v="162"/>
    <d v="2015-06-30T00:00:00"/>
    <x v="738"/>
    <n v="15"/>
    <n v="1748.69"/>
    <n v="88185"/>
  </r>
  <r>
    <n v="20830"/>
    <x v="0"/>
    <n v="0.03"/>
    <n v="14.34"/>
    <n v="5"/>
    <n v="1360"/>
    <x v="442"/>
    <x v="2"/>
    <x v="3"/>
    <x v="1"/>
    <x v="2"/>
    <x v="2"/>
    <x v="511"/>
    <n v="0.49"/>
    <x v="0"/>
    <x v="2"/>
    <x v="25"/>
    <x v="361"/>
    <n v="52761"/>
    <x v="161"/>
    <d v="2015-01-27T00:00:00"/>
    <x v="739"/>
    <n v="8"/>
    <n v="119.29"/>
    <n v="89595"/>
  </r>
  <r>
    <n v="20829"/>
    <x v="0"/>
    <n v="0.01"/>
    <n v="2.89"/>
    <n v="0.5"/>
    <n v="1361"/>
    <x v="443"/>
    <x v="2"/>
    <x v="3"/>
    <x v="0"/>
    <x v="9"/>
    <x v="3"/>
    <x v="277"/>
    <n v="0.38"/>
    <x v="0"/>
    <x v="2"/>
    <x v="22"/>
    <x v="362"/>
    <n v="48101"/>
    <x v="161"/>
    <d v="2015-01-28T00:00:00"/>
    <x v="461"/>
    <n v="1"/>
    <n v="3.08"/>
    <n v="89595"/>
  </r>
  <r>
    <n v="24432"/>
    <x v="2"/>
    <n v="0.01"/>
    <n v="6.48"/>
    <n v="6.22"/>
    <n v="1361"/>
    <x v="443"/>
    <x v="0"/>
    <x v="3"/>
    <x v="0"/>
    <x v="7"/>
    <x v="3"/>
    <x v="512"/>
    <n v="0.37"/>
    <x v="0"/>
    <x v="2"/>
    <x v="22"/>
    <x v="362"/>
    <n v="48101"/>
    <x v="104"/>
    <d v="2015-02-11T00:00:00"/>
    <x v="740"/>
    <n v="9"/>
    <n v="69.459999999999994"/>
    <n v="89596"/>
  </r>
  <r>
    <n v="24433"/>
    <x v="2"/>
    <n v="0.03"/>
    <n v="85.99"/>
    <n v="3.3"/>
    <n v="1361"/>
    <x v="443"/>
    <x v="2"/>
    <x v="3"/>
    <x v="2"/>
    <x v="5"/>
    <x v="2"/>
    <x v="181"/>
    <n v="0.37"/>
    <x v="0"/>
    <x v="2"/>
    <x v="22"/>
    <x v="362"/>
    <n v="48101"/>
    <x v="104"/>
    <d v="2015-02-12T00:00:00"/>
    <x v="741"/>
    <n v="16"/>
    <n v="1145.72"/>
    <n v="89596"/>
  </r>
  <r>
    <n v="23011"/>
    <x v="3"/>
    <n v="0.05"/>
    <n v="12.97"/>
    <n v="1.49"/>
    <n v="1363"/>
    <x v="444"/>
    <x v="2"/>
    <x v="3"/>
    <x v="0"/>
    <x v="8"/>
    <x v="3"/>
    <x v="513"/>
    <n v="0.35"/>
    <x v="0"/>
    <x v="3"/>
    <x v="26"/>
    <x v="363"/>
    <n v="32707"/>
    <x v="128"/>
    <d v="2015-02-06T00:00:00"/>
    <x v="742"/>
    <n v="2"/>
    <n v="26.37"/>
    <n v="89993"/>
  </r>
  <r>
    <n v="23012"/>
    <x v="3"/>
    <n v="0.06"/>
    <n v="5.81"/>
    <n v="3.37"/>
    <n v="1363"/>
    <x v="444"/>
    <x v="2"/>
    <x v="3"/>
    <x v="0"/>
    <x v="3"/>
    <x v="0"/>
    <x v="514"/>
    <n v="0.54"/>
    <x v="0"/>
    <x v="3"/>
    <x v="26"/>
    <x v="363"/>
    <n v="32707"/>
    <x v="128"/>
    <d v="2015-02-06T00:00:00"/>
    <x v="743"/>
    <n v="9"/>
    <n v="53.44"/>
    <n v="89993"/>
  </r>
  <r>
    <n v="19333"/>
    <x v="1"/>
    <n v="0.1"/>
    <n v="5.98"/>
    <n v="5.35"/>
    <n v="1364"/>
    <x v="445"/>
    <x v="2"/>
    <x v="1"/>
    <x v="0"/>
    <x v="7"/>
    <x v="3"/>
    <x v="515"/>
    <n v="0.4"/>
    <x v="0"/>
    <x v="1"/>
    <x v="30"/>
    <x v="358"/>
    <n v="20746"/>
    <x v="83"/>
    <d v="2015-03-17T00:00:00"/>
    <x v="744"/>
    <n v="10"/>
    <n v="57.34"/>
    <n v="89994"/>
  </r>
  <r>
    <n v="20539"/>
    <x v="3"/>
    <n v="0.03"/>
    <n v="73.98"/>
    <n v="14.52"/>
    <n v="1367"/>
    <x v="446"/>
    <x v="2"/>
    <x v="3"/>
    <x v="2"/>
    <x v="13"/>
    <x v="3"/>
    <x v="414"/>
    <n v="0.65"/>
    <x v="0"/>
    <x v="2"/>
    <x v="7"/>
    <x v="364"/>
    <n v="79424"/>
    <x v="0"/>
    <d v="2015-01-10T00:00:00"/>
    <x v="745"/>
    <n v="1"/>
    <n v="79.02"/>
    <n v="90513"/>
  </r>
  <r>
    <n v="26034"/>
    <x v="3"/>
    <n v="0.09"/>
    <n v="4.55"/>
    <n v="1.49"/>
    <n v="1368"/>
    <x v="447"/>
    <x v="2"/>
    <x v="3"/>
    <x v="0"/>
    <x v="8"/>
    <x v="3"/>
    <x v="516"/>
    <n v="0.35"/>
    <x v="0"/>
    <x v="2"/>
    <x v="7"/>
    <x v="365"/>
    <n v="75901"/>
    <x v="165"/>
    <d v="2015-03-25T00:00:00"/>
    <x v="746"/>
    <n v="6"/>
    <n v="25.45"/>
    <n v="90514"/>
  </r>
  <r>
    <n v="26035"/>
    <x v="3"/>
    <n v="7.0000000000000007E-2"/>
    <n v="9.7799999999999994"/>
    <n v="5.76"/>
    <n v="1369"/>
    <x v="448"/>
    <x v="0"/>
    <x v="3"/>
    <x v="0"/>
    <x v="4"/>
    <x v="3"/>
    <x v="453"/>
    <n v="0.35"/>
    <x v="0"/>
    <x v="2"/>
    <x v="7"/>
    <x v="366"/>
    <n v="76063"/>
    <x v="165"/>
    <d v="2015-03-25T00:00:00"/>
    <x v="747"/>
    <n v="11"/>
    <n v="110.72"/>
    <n v="90514"/>
  </r>
  <r>
    <n v="24534"/>
    <x v="2"/>
    <n v="0.06"/>
    <n v="44.01"/>
    <n v="3.5"/>
    <n v="1374"/>
    <x v="449"/>
    <x v="2"/>
    <x v="1"/>
    <x v="0"/>
    <x v="15"/>
    <x v="3"/>
    <x v="517"/>
    <n v="0.59"/>
    <x v="0"/>
    <x v="0"/>
    <x v="1"/>
    <x v="367"/>
    <n v="95207"/>
    <x v="31"/>
    <d v="2015-06-08T00:00:00"/>
    <x v="748"/>
    <n v="1"/>
    <n v="46.94"/>
    <n v="88212"/>
  </r>
  <r>
    <n v="19932"/>
    <x v="4"/>
    <n v="0.05"/>
    <n v="2.89"/>
    <n v="0.5"/>
    <n v="1380"/>
    <x v="450"/>
    <x v="2"/>
    <x v="1"/>
    <x v="0"/>
    <x v="9"/>
    <x v="3"/>
    <x v="277"/>
    <n v="0.38"/>
    <x v="0"/>
    <x v="1"/>
    <x v="16"/>
    <x v="368"/>
    <n v="3801"/>
    <x v="150"/>
    <d v="2015-07-03T00:00:00"/>
    <x v="749"/>
    <n v="9"/>
    <n v="26.18"/>
    <n v="88213"/>
  </r>
  <r>
    <n v="19018"/>
    <x v="3"/>
    <n v="0.03"/>
    <n v="2.23"/>
    <n v="4.57"/>
    <n v="1383"/>
    <x v="451"/>
    <x v="2"/>
    <x v="3"/>
    <x v="1"/>
    <x v="2"/>
    <x v="2"/>
    <x v="518"/>
    <n v="0.41"/>
    <x v="0"/>
    <x v="0"/>
    <x v="17"/>
    <x v="350"/>
    <n v="84120"/>
    <x v="90"/>
    <d v="2015-05-02T00:00:00"/>
    <x v="750"/>
    <n v="12"/>
    <n v="28.66"/>
    <n v="89406"/>
  </r>
  <r>
    <n v="25790"/>
    <x v="1"/>
    <n v="7.0000000000000007E-2"/>
    <n v="11.29"/>
    <n v="5.03"/>
    <n v="1384"/>
    <x v="452"/>
    <x v="2"/>
    <x v="3"/>
    <x v="0"/>
    <x v="10"/>
    <x v="3"/>
    <x v="519"/>
    <n v="0.59"/>
    <x v="0"/>
    <x v="3"/>
    <x v="8"/>
    <x v="369"/>
    <n v="22304"/>
    <x v="133"/>
    <d v="2015-07-02T00:00:00"/>
    <x v="751"/>
    <n v="11"/>
    <n v="123.18"/>
    <n v="89407"/>
  </r>
  <r>
    <n v="22984"/>
    <x v="4"/>
    <n v="0.02"/>
    <n v="70.97"/>
    <n v="3.5"/>
    <n v="1384"/>
    <x v="452"/>
    <x v="2"/>
    <x v="3"/>
    <x v="0"/>
    <x v="15"/>
    <x v="3"/>
    <x v="235"/>
    <n v="0.59"/>
    <x v="0"/>
    <x v="3"/>
    <x v="8"/>
    <x v="369"/>
    <n v="22304"/>
    <x v="31"/>
    <d v="2015-06-14T00:00:00"/>
    <x v="752"/>
    <n v="21"/>
    <n v="1533.59"/>
    <n v="89408"/>
  </r>
  <r>
    <n v="18970"/>
    <x v="2"/>
    <n v="0.06"/>
    <n v="1.74"/>
    <n v="4.08"/>
    <n v="1389"/>
    <x v="453"/>
    <x v="2"/>
    <x v="0"/>
    <x v="1"/>
    <x v="2"/>
    <x v="2"/>
    <x v="60"/>
    <n v="0.53"/>
    <x v="0"/>
    <x v="0"/>
    <x v="1"/>
    <x v="370"/>
    <n v="94025"/>
    <x v="51"/>
    <d v="2015-01-26T00:00:00"/>
    <x v="753"/>
    <n v="1"/>
    <n v="2.77"/>
    <n v="88726"/>
  </r>
  <r>
    <n v="19852"/>
    <x v="0"/>
    <n v="0.08"/>
    <n v="2.62"/>
    <n v="0.8"/>
    <n v="1389"/>
    <x v="453"/>
    <x v="0"/>
    <x v="2"/>
    <x v="0"/>
    <x v="3"/>
    <x v="0"/>
    <x v="505"/>
    <n v="0.39"/>
    <x v="0"/>
    <x v="0"/>
    <x v="1"/>
    <x v="370"/>
    <n v="94025"/>
    <x v="116"/>
    <d v="2015-05-15T00:00:00"/>
    <x v="754"/>
    <n v="12"/>
    <n v="31.55"/>
    <n v="88728"/>
  </r>
  <r>
    <n v="19111"/>
    <x v="0"/>
    <n v="0.09"/>
    <n v="2.61"/>
    <n v="0.5"/>
    <n v="1389"/>
    <x v="453"/>
    <x v="2"/>
    <x v="3"/>
    <x v="0"/>
    <x v="9"/>
    <x v="3"/>
    <x v="413"/>
    <n v="0.39"/>
    <x v="0"/>
    <x v="0"/>
    <x v="1"/>
    <x v="370"/>
    <n v="94025"/>
    <x v="26"/>
    <d v="2015-06-05T00:00:00"/>
    <x v="755"/>
    <n v="17"/>
    <n v="42.58"/>
    <n v="88729"/>
  </r>
  <r>
    <n v="18702"/>
    <x v="2"/>
    <n v="0.1"/>
    <n v="8.17"/>
    <n v="1.69"/>
    <n v="1390"/>
    <x v="454"/>
    <x v="2"/>
    <x v="0"/>
    <x v="0"/>
    <x v="7"/>
    <x v="0"/>
    <x v="520"/>
    <n v="0.38"/>
    <x v="0"/>
    <x v="0"/>
    <x v="1"/>
    <x v="367"/>
    <n v="95207"/>
    <x v="41"/>
    <d v="2015-05-16T00:00:00"/>
    <x v="756"/>
    <n v="19"/>
    <n v="145.36000000000001"/>
    <n v="88731"/>
  </r>
  <r>
    <n v="18703"/>
    <x v="2"/>
    <n v="0.03"/>
    <n v="110.99"/>
    <n v="2.5"/>
    <n v="1390"/>
    <x v="454"/>
    <x v="2"/>
    <x v="0"/>
    <x v="2"/>
    <x v="5"/>
    <x v="3"/>
    <x v="170"/>
    <n v="0.56999999999999995"/>
    <x v="0"/>
    <x v="0"/>
    <x v="1"/>
    <x v="367"/>
    <n v="95207"/>
    <x v="41"/>
    <d v="2015-05-18T00:00:00"/>
    <x v="757"/>
    <n v="38"/>
    <n v="3616.52"/>
    <n v="88731"/>
  </r>
  <r>
    <n v="20523"/>
    <x v="1"/>
    <n v="0"/>
    <n v="2.88"/>
    <n v="0.7"/>
    <n v="1391"/>
    <x v="455"/>
    <x v="0"/>
    <x v="3"/>
    <x v="0"/>
    <x v="0"/>
    <x v="0"/>
    <x v="122"/>
    <n v="0.56000000000000005"/>
    <x v="0"/>
    <x v="0"/>
    <x v="1"/>
    <x v="371"/>
    <n v="94086"/>
    <x v="158"/>
    <d v="2015-04-24T00:00:00"/>
    <x v="758"/>
    <n v="1"/>
    <n v="7.96"/>
    <n v="88727"/>
  </r>
  <r>
    <n v="20163"/>
    <x v="4"/>
    <n v="7.0000000000000007E-2"/>
    <n v="12.28"/>
    <n v="6.13"/>
    <n v="1391"/>
    <x v="455"/>
    <x v="2"/>
    <x v="2"/>
    <x v="0"/>
    <x v="10"/>
    <x v="3"/>
    <x v="521"/>
    <n v="0.56999999999999995"/>
    <x v="0"/>
    <x v="0"/>
    <x v="1"/>
    <x v="371"/>
    <n v="94086"/>
    <x v="32"/>
    <d v="2015-05-10T00:00:00"/>
    <x v="759"/>
    <n v="33"/>
    <n v="389.59"/>
    <n v="88730"/>
  </r>
  <r>
    <n v="5297"/>
    <x v="1"/>
    <n v="0"/>
    <n v="8.6"/>
    <n v="6.19"/>
    <n v="1402"/>
    <x v="456"/>
    <x v="2"/>
    <x v="0"/>
    <x v="0"/>
    <x v="8"/>
    <x v="3"/>
    <x v="331"/>
    <n v="0.38"/>
    <x v="0"/>
    <x v="2"/>
    <x v="12"/>
    <x v="25"/>
    <n v="60653"/>
    <x v="43"/>
    <d v="2015-01-15T00:00:00"/>
    <x v="760"/>
    <n v="48"/>
    <n v="447.89"/>
    <n v="37729"/>
  </r>
  <r>
    <n v="6080"/>
    <x v="3"/>
    <n v="0.04"/>
    <n v="30.73"/>
    <n v="4"/>
    <n v="1402"/>
    <x v="456"/>
    <x v="2"/>
    <x v="1"/>
    <x v="2"/>
    <x v="13"/>
    <x v="3"/>
    <x v="88"/>
    <n v="0.75"/>
    <x v="0"/>
    <x v="2"/>
    <x v="12"/>
    <x v="25"/>
    <n v="60653"/>
    <x v="72"/>
    <d v="2015-01-22T00:00:00"/>
    <x v="761"/>
    <n v="48"/>
    <n v="1420.84"/>
    <n v="43079"/>
  </r>
  <r>
    <n v="23297"/>
    <x v="1"/>
    <n v="0"/>
    <n v="8.6"/>
    <n v="6.19"/>
    <n v="1405"/>
    <x v="457"/>
    <x v="2"/>
    <x v="0"/>
    <x v="0"/>
    <x v="8"/>
    <x v="3"/>
    <x v="331"/>
    <n v="0.38"/>
    <x v="0"/>
    <x v="2"/>
    <x v="22"/>
    <x v="372"/>
    <n v="49017"/>
    <x v="43"/>
    <d v="2015-01-15T00:00:00"/>
    <x v="762"/>
    <n v="12"/>
    <n v="111.97"/>
    <n v="86144"/>
  </r>
  <r>
    <n v="24080"/>
    <x v="3"/>
    <n v="0.04"/>
    <n v="30.73"/>
    <n v="4"/>
    <n v="1405"/>
    <x v="457"/>
    <x v="2"/>
    <x v="1"/>
    <x v="2"/>
    <x v="13"/>
    <x v="3"/>
    <x v="88"/>
    <n v="0.75"/>
    <x v="0"/>
    <x v="2"/>
    <x v="22"/>
    <x v="372"/>
    <n v="49017"/>
    <x v="72"/>
    <d v="2015-01-22T00:00:00"/>
    <x v="761"/>
    <n v="12"/>
    <n v="355.21"/>
    <n v="86145"/>
  </r>
  <r>
    <n v="19417"/>
    <x v="3"/>
    <n v="0"/>
    <n v="65.989999999999995"/>
    <n v="5.26"/>
    <n v="1410"/>
    <x v="458"/>
    <x v="2"/>
    <x v="0"/>
    <x v="2"/>
    <x v="5"/>
    <x v="3"/>
    <x v="522"/>
    <n v="0.59"/>
    <x v="0"/>
    <x v="0"/>
    <x v="1"/>
    <x v="373"/>
    <n v="92553"/>
    <x v="74"/>
    <d v="2015-04-08T00:00:00"/>
    <x v="763"/>
    <n v="9"/>
    <n v="536.23"/>
    <n v="87086"/>
  </r>
  <r>
    <n v="24407"/>
    <x v="1"/>
    <n v="0.08"/>
    <n v="3.38"/>
    <n v="0.85"/>
    <n v="1412"/>
    <x v="459"/>
    <x v="2"/>
    <x v="0"/>
    <x v="0"/>
    <x v="0"/>
    <x v="0"/>
    <x v="523"/>
    <n v="0.48"/>
    <x v="0"/>
    <x v="0"/>
    <x v="1"/>
    <x v="374"/>
    <n v="94043"/>
    <x v="23"/>
    <d v="2015-02-04T00:00:00"/>
    <x v="764"/>
    <n v="12"/>
    <n v="38.81"/>
    <n v="87087"/>
  </r>
  <r>
    <n v="1417"/>
    <x v="3"/>
    <n v="0"/>
    <n v="65.989999999999995"/>
    <n v="5.26"/>
    <n v="1413"/>
    <x v="460"/>
    <x v="2"/>
    <x v="0"/>
    <x v="2"/>
    <x v="5"/>
    <x v="3"/>
    <x v="522"/>
    <n v="0.59"/>
    <x v="0"/>
    <x v="1"/>
    <x v="15"/>
    <x v="28"/>
    <n v="2113"/>
    <x v="74"/>
    <d v="2015-04-08T00:00:00"/>
    <x v="765"/>
    <n v="36"/>
    <n v="2144.92"/>
    <n v="10277"/>
  </r>
  <r>
    <n v="6406"/>
    <x v="1"/>
    <n v="0.02"/>
    <n v="16.48"/>
    <n v="1.99"/>
    <n v="1413"/>
    <x v="460"/>
    <x v="0"/>
    <x v="0"/>
    <x v="2"/>
    <x v="13"/>
    <x v="2"/>
    <x v="524"/>
    <n v="0.42"/>
    <x v="0"/>
    <x v="1"/>
    <x v="15"/>
    <x v="28"/>
    <n v="2113"/>
    <x v="23"/>
    <d v="2015-02-04T00:00:00"/>
    <x v="766"/>
    <n v="27"/>
    <n v="484.56"/>
    <n v="45539"/>
  </r>
  <r>
    <n v="25129"/>
    <x v="2"/>
    <n v="0.02"/>
    <n v="417.4"/>
    <n v="75.23"/>
    <n v="1416"/>
    <x v="461"/>
    <x v="1"/>
    <x v="2"/>
    <x v="1"/>
    <x v="11"/>
    <x v="5"/>
    <x v="249"/>
    <n v="0.79"/>
    <x v="0"/>
    <x v="2"/>
    <x v="38"/>
    <x v="375"/>
    <n v="46203"/>
    <x v="166"/>
    <d v="2015-05-07T00:00:00"/>
    <x v="767"/>
    <n v="1"/>
    <n v="471.21"/>
    <n v="90538"/>
  </r>
  <r>
    <n v="24722"/>
    <x v="0"/>
    <n v="0.04"/>
    <n v="46.89"/>
    <n v="5.0999999999999996"/>
    <n v="1416"/>
    <x v="461"/>
    <x v="2"/>
    <x v="2"/>
    <x v="0"/>
    <x v="15"/>
    <x v="4"/>
    <x v="480"/>
    <n v="0.46"/>
    <x v="0"/>
    <x v="2"/>
    <x v="38"/>
    <x v="375"/>
    <n v="46203"/>
    <x v="97"/>
    <d v="2015-06-27T00:00:00"/>
    <x v="768"/>
    <n v="4"/>
    <n v="182.61"/>
    <n v="90540"/>
  </r>
  <r>
    <n v="22823"/>
    <x v="4"/>
    <n v="7.0000000000000007E-2"/>
    <n v="4.84"/>
    <n v="0.71"/>
    <n v="1418"/>
    <x v="462"/>
    <x v="2"/>
    <x v="2"/>
    <x v="0"/>
    <x v="0"/>
    <x v="0"/>
    <x v="525"/>
    <n v="0.52"/>
    <x v="0"/>
    <x v="2"/>
    <x v="38"/>
    <x v="376"/>
    <n v="46901"/>
    <x v="167"/>
    <d v="2015-01-03T00:00:00"/>
    <x v="769"/>
    <n v="8"/>
    <n v="36.58"/>
    <n v="90539"/>
  </r>
  <r>
    <n v="24295"/>
    <x v="1"/>
    <n v="0.01"/>
    <n v="124.49"/>
    <n v="51.94"/>
    <n v="1419"/>
    <x v="463"/>
    <x v="1"/>
    <x v="2"/>
    <x v="1"/>
    <x v="11"/>
    <x v="5"/>
    <x v="156"/>
    <n v="0.63"/>
    <x v="0"/>
    <x v="2"/>
    <x v="38"/>
    <x v="377"/>
    <n v="47905"/>
    <x v="97"/>
    <d v="2015-06-26T00:00:00"/>
    <x v="770"/>
    <n v="18"/>
    <n v="2376.12"/>
    <n v="90540"/>
  </r>
  <r>
    <n v="19024"/>
    <x v="4"/>
    <n v="0.05"/>
    <n v="350.99"/>
    <n v="39"/>
    <n v="1424"/>
    <x v="464"/>
    <x v="1"/>
    <x v="1"/>
    <x v="1"/>
    <x v="1"/>
    <x v="1"/>
    <x v="455"/>
    <n v="0.55000000000000004"/>
    <x v="0"/>
    <x v="0"/>
    <x v="21"/>
    <x v="378"/>
    <n v="80112"/>
    <x v="38"/>
    <d v="2015-01-14T00:00:00"/>
    <x v="771"/>
    <n v="3"/>
    <n v="1020.08"/>
    <n v="89448"/>
  </r>
  <r>
    <n v="19025"/>
    <x v="4"/>
    <n v="0"/>
    <n v="8.74"/>
    <n v="1.39"/>
    <n v="1424"/>
    <x v="464"/>
    <x v="2"/>
    <x v="1"/>
    <x v="0"/>
    <x v="4"/>
    <x v="3"/>
    <x v="526"/>
    <n v="0.38"/>
    <x v="0"/>
    <x v="0"/>
    <x v="21"/>
    <x v="378"/>
    <n v="80112"/>
    <x v="38"/>
    <d v="2015-01-16T00:00:00"/>
    <x v="772"/>
    <n v="7"/>
    <n v="65.2"/>
    <n v="89448"/>
  </r>
  <r>
    <n v="19026"/>
    <x v="4"/>
    <n v="0.02"/>
    <n v="1.98"/>
    <n v="0.7"/>
    <n v="1424"/>
    <x v="464"/>
    <x v="2"/>
    <x v="1"/>
    <x v="0"/>
    <x v="3"/>
    <x v="0"/>
    <x v="133"/>
    <n v="0.83"/>
    <x v="0"/>
    <x v="0"/>
    <x v="21"/>
    <x v="378"/>
    <n v="80112"/>
    <x v="38"/>
    <d v="2015-01-16T00:00:00"/>
    <x v="773"/>
    <n v="11"/>
    <n v="22.59"/>
    <n v="89448"/>
  </r>
  <r>
    <n v="23620"/>
    <x v="1"/>
    <n v="0.05"/>
    <n v="8.0399999999999991"/>
    <n v="8.94"/>
    <n v="1424"/>
    <x v="464"/>
    <x v="2"/>
    <x v="1"/>
    <x v="0"/>
    <x v="8"/>
    <x v="3"/>
    <x v="376"/>
    <n v="0.4"/>
    <x v="0"/>
    <x v="0"/>
    <x v="21"/>
    <x v="378"/>
    <n v="80112"/>
    <x v="105"/>
    <d v="2015-06-22T00:00:00"/>
    <x v="774"/>
    <n v="15"/>
    <n v="121.36"/>
    <n v="89449"/>
  </r>
  <r>
    <n v="22824"/>
    <x v="4"/>
    <n v="0.04"/>
    <n v="2036.48"/>
    <n v="14.7"/>
    <n v="1425"/>
    <x v="465"/>
    <x v="1"/>
    <x v="2"/>
    <x v="2"/>
    <x v="6"/>
    <x v="1"/>
    <x v="220"/>
    <n v="0.55000000000000004"/>
    <x v="0"/>
    <x v="0"/>
    <x v="21"/>
    <x v="44"/>
    <n v="80525"/>
    <x v="167"/>
    <d v="2015-01-06T00:00:00"/>
    <x v="775"/>
    <n v="1"/>
    <n v="2013.67"/>
    <n v="89450"/>
  </r>
  <r>
    <n v="22407"/>
    <x v="4"/>
    <n v="0.09"/>
    <n v="125.99"/>
    <n v="2.5"/>
    <n v="1427"/>
    <x v="466"/>
    <x v="2"/>
    <x v="1"/>
    <x v="2"/>
    <x v="5"/>
    <x v="3"/>
    <x v="418"/>
    <n v="0.6"/>
    <x v="0"/>
    <x v="2"/>
    <x v="22"/>
    <x v="379"/>
    <n v="48708"/>
    <x v="64"/>
    <d v="2015-02-09T00:00:00"/>
    <x v="776"/>
    <n v="18"/>
    <n v="1824.33"/>
    <n v="90905"/>
  </r>
  <r>
    <n v="19810"/>
    <x v="1"/>
    <n v="0.05"/>
    <n v="9.7799999999999994"/>
    <n v="1.39"/>
    <n v="1432"/>
    <x v="467"/>
    <x v="2"/>
    <x v="0"/>
    <x v="0"/>
    <x v="4"/>
    <x v="3"/>
    <x v="453"/>
    <n v="0.39"/>
    <x v="0"/>
    <x v="2"/>
    <x v="38"/>
    <x v="375"/>
    <n v="46203"/>
    <x v="93"/>
    <d v="2015-03-06T00:00:00"/>
    <x v="777"/>
    <n v="11"/>
    <n v="107.65"/>
    <n v="86826"/>
  </r>
  <r>
    <n v="18762"/>
    <x v="4"/>
    <n v="7.0000000000000007E-2"/>
    <n v="10.98"/>
    <n v="4.8"/>
    <n v="1432"/>
    <x v="467"/>
    <x v="2"/>
    <x v="0"/>
    <x v="0"/>
    <x v="4"/>
    <x v="3"/>
    <x v="182"/>
    <n v="0.36"/>
    <x v="0"/>
    <x v="2"/>
    <x v="38"/>
    <x v="375"/>
    <n v="46203"/>
    <x v="105"/>
    <d v="2015-06-27T00:00:00"/>
    <x v="778"/>
    <n v="16"/>
    <n v="165.21"/>
    <n v="86827"/>
  </r>
  <r>
    <n v="19811"/>
    <x v="1"/>
    <n v="0.02"/>
    <n v="3.28"/>
    <n v="3.97"/>
    <n v="1433"/>
    <x v="468"/>
    <x v="0"/>
    <x v="0"/>
    <x v="0"/>
    <x v="0"/>
    <x v="0"/>
    <x v="365"/>
    <n v="0.56000000000000005"/>
    <x v="0"/>
    <x v="2"/>
    <x v="38"/>
    <x v="380"/>
    <n v="47130"/>
    <x v="93"/>
    <d v="2015-03-06T00:00:00"/>
    <x v="779"/>
    <n v="7"/>
    <n v="25.15"/>
    <n v="86826"/>
  </r>
  <r>
    <n v="20124"/>
    <x v="0"/>
    <n v="7.0000000000000007E-2"/>
    <n v="300.98"/>
    <n v="64.73"/>
    <n v="1433"/>
    <x v="468"/>
    <x v="1"/>
    <x v="0"/>
    <x v="1"/>
    <x v="1"/>
    <x v="1"/>
    <x v="527"/>
    <n v="0.56000000000000005"/>
    <x v="0"/>
    <x v="2"/>
    <x v="38"/>
    <x v="380"/>
    <n v="47130"/>
    <x v="168"/>
    <d v="2015-05-21T00:00:00"/>
    <x v="780"/>
    <n v="14"/>
    <n v="4285.5600000000004"/>
    <n v="86828"/>
  </r>
  <r>
    <n v="20125"/>
    <x v="0"/>
    <n v="0.01"/>
    <n v="20.98"/>
    <n v="45"/>
    <n v="1433"/>
    <x v="468"/>
    <x v="1"/>
    <x v="0"/>
    <x v="0"/>
    <x v="10"/>
    <x v="1"/>
    <x v="528"/>
    <n v="0.61"/>
    <x v="0"/>
    <x v="2"/>
    <x v="38"/>
    <x v="380"/>
    <n v="47130"/>
    <x v="168"/>
    <d v="2015-05-19T00:00:00"/>
    <x v="781"/>
    <n v="28"/>
    <n v="631.37"/>
    <n v="86828"/>
  </r>
  <r>
    <n v="21955"/>
    <x v="2"/>
    <n v="0.01"/>
    <n v="80.98"/>
    <n v="35"/>
    <n v="1438"/>
    <x v="469"/>
    <x v="2"/>
    <x v="0"/>
    <x v="0"/>
    <x v="10"/>
    <x v="6"/>
    <x v="354"/>
    <n v="0.83"/>
    <x v="0"/>
    <x v="1"/>
    <x v="10"/>
    <x v="381"/>
    <n v="44035"/>
    <x v="46"/>
    <d v="2015-01-24T00:00:00"/>
    <x v="782"/>
    <n v="3"/>
    <n v="267.83"/>
    <n v="90120"/>
  </r>
  <r>
    <n v="23415"/>
    <x v="2"/>
    <n v="0.05"/>
    <n v="6.48"/>
    <n v="6.22"/>
    <n v="1439"/>
    <x v="470"/>
    <x v="2"/>
    <x v="0"/>
    <x v="0"/>
    <x v="7"/>
    <x v="3"/>
    <x v="512"/>
    <n v="0.37"/>
    <x v="0"/>
    <x v="1"/>
    <x v="10"/>
    <x v="382"/>
    <n v="44117"/>
    <x v="65"/>
    <d v="2015-04-29T00:00:00"/>
    <x v="783"/>
    <n v="3"/>
    <n v="21.46"/>
    <n v="90121"/>
  </r>
  <r>
    <n v="22672"/>
    <x v="1"/>
    <n v="0.04"/>
    <n v="177.98"/>
    <n v="0.99"/>
    <n v="1442"/>
    <x v="471"/>
    <x v="2"/>
    <x v="0"/>
    <x v="0"/>
    <x v="15"/>
    <x v="3"/>
    <x v="529"/>
    <n v="0.56000000000000005"/>
    <x v="0"/>
    <x v="2"/>
    <x v="33"/>
    <x v="293"/>
    <n v="65807"/>
    <x v="97"/>
    <d v="2015-06-27T00:00:00"/>
    <x v="784"/>
    <n v="15"/>
    <n v="2767.95"/>
    <n v="89076"/>
  </r>
  <r>
    <n v="21945"/>
    <x v="4"/>
    <n v="0.02"/>
    <n v="15.99"/>
    <n v="13.18"/>
    <n v="1442"/>
    <x v="471"/>
    <x v="0"/>
    <x v="0"/>
    <x v="0"/>
    <x v="8"/>
    <x v="3"/>
    <x v="222"/>
    <n v="0.37"/>
    <x v="0"/>
    <x v="2"/>
    <x v="33"/>
    <x v="293"/>
    <n v="65807"/>
    <x v="111"/>
    <d v="2015-02-03T00:00:00"/>
    <x v="785"/>
    <n v="7"/>
    <n v="123.03"/>
    <n v="89077"/>
  </r>
  <r>
    <n v="21946"/>
    <x v="4"/>
    <n v="0.09"/>
    <n v="46.94"/>
    <n v="6.77"/>
    <n v="1442"/>
    <x v="471"/>
    <x v="0"/>
    <x v="0"/>
    <x v="1"/>
    <x v="2"/>
    <x v="3"/>
    <x v="530"/>
    <n v="0.44"/>
    <x v="0"/>
    <x v="2"/>
    <x v="33"/>
    <x v="293"/>
    <n v="65807"/>
    <x v="111"/>
    <d v="2015-01-30T00:00:00"/>
    <x v="786"/>
    <n v="10"/>
    <n v="431.84"/>
    <n v="89077"/>
  </r>
  <r>
    <n v="23793"/>
    <x v="3"/>
    <n v="0.1"/>
    <n v="218.08"/>
    <n v="18.059999999999999"/>
    <n v="1450"/>
    <x v="472"/>
    <x v="0"/>
    <x v="3"/>
    <x v="1"/>
    <x v="1"/>
    <x v="6"/>
    <x v="531"/>
    <n v="0.56999999999999995"/>
    <x v="0"/>
    <x v="0"/>
    <x v="1"/>
    <x v="383"/>
    <n v="96150"/>
    <x v="84"/>
    <d v="2015-05-25T00:00:00"/>
    <x v="787"/>
    <n v="12"/>
    <n v="2366.5100000000002"/>
    <n v="86735"/>
  </r>
  <r>
    <n v="25006"/>
    <x v="0"/>
    <n v="0.05"/>
    <n v="85.99"/>
    <n v="0.99"/>
    <n v="1459"/>
    <x v="473"/>
    <x v="2"/>
    <x v="3"/>
    <x v="2"/>
    <x v="5"/>
    <x v="0"/>
    <x v="141"/>
    <n v="0.55000000000000004"/>
    <x v="0"/>
    <x v="3"/>
    <x v="39"/>
    <x v="384"/>
    <n v="29687"/>
    <x v="121"/>
    <d v="2015-04-07T00:00:00"/>
    <x v="788"/>
    <n v="4"/>
    <n v="291.64"/>
    <n v="86734"/>
  </r>
  <r>
    <n v="18105"/>
    <x v="0"/>
    <n v="0.05"/>
    <n v="12.95"/>
    <n v="4.9800000000000004"/>
    <n v="1461"/>
    <x v="474"/>
    <x v="2"/>
    <x v="3"/>
    <x v="0"/>
    <x v="8"/>
    <x v="3"/>
    <x v="532"/>
    <n v="0.4"/>
    <x v="0"/>
    <x v="2"/>
    <x v="38"/>
    <x v="377"/>
    <n v="47905"/>
    <x v="42"/>
    <d v="2015-06-04T00:00:00"/>
    <x v="789"/>
    <n v="19"/>
    <n v="252.36"/>
    <n v="86397"/>
  </r>
  <r>
    <n v="23735"/>
    <x v="0"/>
    <n v="0"/>
    <n v="65.989999999999995"/>
    <n v="8.99"/>
    <n v="1466"/>
    <x v="475"/>
    <x v="2"/>
    <x v="2"/>
    <x v="2"/>
    <x v="5"/>
    <x v="3"/>
    <x v="377"/>
    <n v="0.56000000000000005"/>
    <x v="0"/>
    <x v="2"/>
    <x v="32"/>
    <x v="94"/>
    <n v="68601"/>
    <x v="164"/>
    <d v="2015-06-13T00:00:00"/>
    <x v="790"/>
    <n v="10"/>
    <n v="575.07000000000005"/>
    <n v="91115"/>
  </r>
  <r>
    <n v="25917"/>
    <x v="4"/>
    <n v="0.04"/>
    <n v="130.97999999999999"/>
    <n v="54.74"/>
    <n v="1466"/>
    <x v="475"/>
    <x v="1"/>
    <x v="2"/>
    <x v="1"/>
    <x v="14"/>
    <x v="5"/>
    <x v="136"/>
    <n v="0.69"/>
    <x v="0"/>
    <x v="2"/>
    <x v="32"/>
    <x v="94"/>
    <n v="68601"/>
    <x v="20"/>
    <d v="2015-06-12T00:00:00"/>
    <x v="791"/>
    <n v="14"/>
    <n v="1781.66"/>
    <n v="91116"/>
  </r>
  <r>
    <n v="25915"/>
    <x v="4"/>
    <n v="0.04"/>
    <n v="105.29"/>
    <n v="10.119999999999999"/>
    <n v="1469"/>
    <x v="476"/>
    <x v="2"/>
    <x v="2"/>
    <x v="1"/>
    <x v="2"/>
    <x v="6"/>
    <x v="533"/>
    <n v="0.79"/>
    <x v="0"/>
    <x v="0"/>
    <x v="17"/>
    <x v="385"/>
    <n v="84015"/>
    <x v="20"/>
    <d v="2015-06-16T00:00:00"/>
    <x v="792"/>
    <n v="9"/>
    <n v="940.64"/>
    <n v="91116"/>
  </r>
  <r>
    <n v="25916"/>
    <x v="4"/>
    <n v="7.0000000000000007E-2"/>
    <n v="31.76"/>
    <n v="45.51"/>
    <n v="1469"/>
    <x v="476"/>
    <x v="1"/>
    <x v="2"/>
    <x v="1"/>
    <x v="11"/>
    <x v="5"/>
    <x v="123"/>
    <n v="0.65"/>
    <x v="0"/>
    <x v="0"/>
    <x v="17"/>
    <x v="385"/>
    <n v="84015"/>
    <x v="20"/>
    <d v="2015-06-14T00:00:00"/>
    <x v="793"/>
    <n v="18"/>
    <n v="439.27"/>
    <n v="91116"/>
  </r>
  <r>
    <n v="21710"/>
    <x v="0"/>
    <n v="0.03"/>
    <n v="420.98"/>
    <n v="19.989999999999998"/>
    <n v="1471"/>
    <x v="477"/>
    <x v="2"/>
    <x v="1"/>
    <x v="0"/>
    <x v="8"/>
    <x v="3"/>
    <x v="534"/>
    <n v="0.35"/>
    <x v="0"/>
    <x v="1"/>
    <x v="10"/>
    <x v="386"/>
    <n v="43081"/>
    <x v="68"/>
    <d v="2015-03-22T00:00:00"/>
    <x v="794"/>
    <n v="10"/>
    <n v="4410.1899999999996"/>
    <n v="87077"/>
  </r>
  <r>
    <n v="23958"/>
    <x v="1"/>
    <n v="0.02"/>
    <n v="30.98"/>
    <n v="6.5"/>
    <n v="1472"/>
    <x v="478"/>
    <x v="0"/>
    <x v="1"/>
    <x v="2"/>
    <x v="13"/>
    <x v="3"/>
    <x v="449"/>
    <n v="0.79"/>
    <x v="0"/>
    <x v="1"/>
    <x v="10"/>
    <x v="387"/>
    <n v="44145"/>
    <x v="133"/>
    <d v="2015-07-01T00:00:00"/>
    <x v="795"/>
    <n v="17"/>
    <n v="552.89"/>
    <n v="87078"/>
  </r>
  <r>
    <n v="22313"/>
    <x v="3"/>
    <n v="0.05"/>
    <n v="20.27"/>
    <n v="3.99"/>
    <n v="1472"/>
    <x v="478"/>
    <x v="2"/>
    <x v="1"/>
    <x v="0"/>
    <x v="15"/>
    <x v="3"/>
    <x v="535"/>
    <n v="0.56999999999999995"/>
    <x v="0"/>
    <x v="1"/>
    <x v="10"/>
    <x v="387"/>
    <n v="44145"/>
    <x v="40"/>
    <d v="2015-05-26T00:00:00"/>
    <x v="796"/>
    <n v="30"/>
    <n v="621.55999999999995"/>
    <n v="87079"/>
  </r>
  <r>
    <n v="24937"/>
    <x v="2"/>
    <n v="0.04"/>
    <n v="9.7799999999999994"/>
    <n v="1.99"/>
    <n v="1473"/>
    <x v="479"/>
    <x v="0"/>
    <x v="1"/>
    <x v="2"/>
    <x v="13"/>
    <x v="2"/>
    <x v="536"/>
    <n v="0.43"/>
    <x v="0"/>
    <x v="1"/>
    <x v="10"/>
    <x v="388"/>
    <n v="44691"/>
    <x v="72"/>
    <d v="2015-01-22T00:00:00"/>
    <x v="797"/>
    <n v="9"/>
    <n v="88.83"/>
    <n v="87076"/>
  </r>
  <r>
    <n v="7544"/>
    <x v="1"/>
    <n v="7.0000000000000007E-2"/>
    <n v="8.9499999999999993"/>
    <n v="2.0099999999999998"/>
    <n v="1481"/>
    <x v="480"/>
    <x v="2"/>
    <x v="0"/>
    <x v="0"/>
    <x v="7"/>
    <x v="0"/>
    <x v="537"/>
    <n v="0.39"/>
    <x v="0"/>
    <x v="0"/>
    <x v="1"/>
    <x v="154"/>
    <n v="90049"/>
    <x v="12"/>
    <d v="2015-03-28T00:00:00"/>
    <x v="798"/>
    <n v="36"/>
    <n v="307.64999999999998"/>
    <n v="53953"/>
  </r>
  <r>
    <n v="25544"/>
    <x v="1"/>
    <n v="7.0000000000000007E-2"/>
    <n v="8.9499999999999993"/>
    <n v="2.0099999999999998"/>
    <n v="1482"/>
    <x v="481"/>
    <x v="2"/>
    <x v="0"/>
    <x v="0"/>
    <x v="7"/>
    <x v="0"/>
    <x v="537"/>
    <n v="0.39"/>
    <x v="0"/>
    <x v="2"/>
    <x v="22"/>
    <x v="379"/>
    <n v="48708"/>
    <x v="12"/>
    <d v="2015-03-28T00:00:00"/>
    <x v="799"/>
    <n v="9"/>
    <n v="76.91"/>
    <n v="91362"/>
  </r>
  <r>
    <n v="22745"/>
    <x v="1"/>
    <n v="0.05"/>
    <n v="9.65"/>
    <n v="6.22"/>
    <n v="1482"/>
    <x v="481"/>
    <x v="2"/>
    <x v="0"/>
    <x v="1"/>
    <x v="2"/>
    <x v="3"/>
    <x v="105"/>
    <n v="0.55000000000000004"/>
    <x v="0"/>
    <x v="2"/>
    <x v="22"/>
    <x v="379"/>
    <n v="48708"/>
    <x v="136"/>
    <d v="2015-02-28T00:00:00"/>
    <x v="800"/>
    <n v="15"/>
    <n v="151.34"/>
    <n v="91363"/>
  </r>
  <r>
    <n v="21806"/>
    <x v="0"/>
    <n v="0.06"/>
    <n v="99.99"/>
    <n v="19.989999999999998"/>
    <n v="1484"/>
    <x v="482"/>
    <x v="2"/>
    <x v="1"/>
    <x v="2"/>
    <x v="13"/>
    <x v="3"/>
    <x v="419"/>
    <n v="0.52"/>
    <x v="0"/>
    <x v="2"/>
    <x v="12"/>
    <x v="389"/>
    <n v="60016"/>
    <x v="140"/>
    <d v="2015-03-14T00:00:00"/>
    <x v="801"/>
    <n v="3"/>
    <n v="290.24"/>
    <n v="91235"/>
  </r>
  <r>
    <n v="21807"/>
    <x v="0"/>
    <n v="0"/>
    <n v="193.17"/>
    <n v="19.989999999999998"/>
    <n v="1484"/>
    <x v="482"/>
    <x v="2"/>
    <x v="1"/>
    <x v="0"/>
    <x v="10"/>
    <x v="3"/>
    <x v="538"/>
    <n v="0.71"/>
    <x v="0"/>
    <x v="2"/>
    <x v="12"/>
    <x v="389"/>
    <n v="60016"/>
    <x v="140"/>
    <d v="2015-03-12T00:00:00"/>
    <x v="802"/>
    <n v="5"/>
    <n v="971.4"/>
    <n v="91235"/>
  </r>
  <r>
    <n v="21808"/>
    <x v="0"/>
    <n v="0.08"/>
    <n v="20.99"/>
    <n v="3.3"/>
    <n v="1484"/>
    <x v="482"/>
    <x v="0"/>
    <x v="1"/>
    <x v="2"/>
    <x v="5"/>
    <x v="2"/>
    <x v="321"/>
    <n v="0.81"/>
    <x v="0"/>
    <x v="2"/>
    <x v="12"/>
    <x v="389"/>
    <n v="60016"/>
    <x v="140"/>
    <d v="2015-03-11T00:00:00"/>
    <x v="803"/>
    <n v="11"/>
    <n v="193.51"/>
    <n v="91235"/>
  </r>
  <r>
    <n v="22763"/>
    <x v="1"/>
    <n v="0.04"/>
    <n v="11.5"/>
    <n v="7.19"/>
    <n v="1485"/>
    <x v="483"/>
    <x v="2"/>
    <x v="1"/>
    <x v="0"/>
    <x v="8"/>
    <x v="3"/>
    <x v="539"/>
    <n v="0.4"/>
    <x v="0"/>
    <x v="2"/>
    <x v="12"/>
    <x v="390"/>
    <n v="60516"/>
    <x v="63"/>
    <d v="2015-02-23T00:00:00"/>
    <x v="804"/>
    <n v="14"/>
    <n v="157.81"/>
    <n v="91236"/>
  </r>
  <r>
    <n v="22764"/>
    <x v="1"/>
    <n v="0.02"/>
    <n v="15.7"/>
    <n v="11.25"/>
    <n v="1485"/>
    <x v="483"/>
    <x v="2"/>
    <x v="1"/>
    <x v="0"/>
    <x v="10"/>
    <x v="3"/>
    <x v="540"/>
    <n v="0.6"/>
    <x v="0"/>
    <x v="2"/>
    <x v="12"/>
    <x v="390"/>
    <n v="60516"/>
    <x v="63"/>
    <d v="2015-02-21T00:00:00"/>
    <x v="805"/>
    <n v="1"/>
    <n v="19.440000000000001"/>
    <n v="91236"/>
  </r>
  <r>
    <n v="22765"/>
    <x v="1"/>
    <n v="0.05"/>
    <n v="225.02"/>
    <n v="28.66"/>
    <n v="1485"/>
    <x v="483"/>
    <x v="1"/>
    <x v="1"/>
    <x v="0"/>
    <x v="10"/>
    <x v="1"/>
    <x v="541"/>
    <n v="0.72"/>
    <x v="0"/>
    <x v="2"/>
    <x v="12"/>
    <x v="390"/>
    <n v="60516"/>
    <x v="63"/>
    <d v="2015-02-22T00:00:00"/>
    <x v="806"/>
    <n v="21"/>
    <n v="4636.63"/>
    <n v="91236"/>
  </r>
  <r>
    <n v="18460"/>
    <x v="0"/>
    <n v="0.04"/>
    <n v="119.99"/>
    <n v="14"/>
    <n v="1492"/>
    <x v="484"/>
    <x v="1"/>
    <x v="0"/>
    <x v="2"/>
    <x v="6"/>
    <x v="1"/>
    <x v="319"/>
    <n v="0.36"/>
    <x v="0"/>
    <x v="2"/>
    <x v="33"/>
    <x v="391"/>
    <n v="65721"/>
    <x v="154"/>
    <d v="2015-06-18T00:00:00"/>
    <x v="807"/>
    <n v="6"/>
    <n v="739.07"/>
    <n v="88004"/>
  </r>
  <r>
    <n v="19472"/>
    <x v="2"/>
    <n v="0.06"/>
    <n v="8.3699999999999992"/>
    <n v="10.16"/>
    <n v="1494"/>
    <x v="485"/>
    <x v="2"/>
    <x v="0"/>
    <x v="1"/>
    <x v="2"/>
    <x v="6"/>
    <x v="439"/>
    <n v="0.59"/>
    <x v="0"/>
    <x v="1"/>
    <x v="30"/>
    <x v="392"/>
    <n v="21222"/>
    <x v="140"/>
    <d v="2015-03-13T00:00:00"/>
    <x v="808"/>
    <n v="18"/>
    <n v="157.63999999999999"/>
    <n v="85880"/>
  </r>
  <r>
    <n v="19473"/>
    <x v="2"/>
    <n v="0.09"/>
    <n v="6.48"/>
    <n v="9.17"/>
    <n v="1494"/>
    <x v="485"/>
    <x v="0"/>
    <x v="0"/>
    <x v="0"/>
    <x v="7"/>
    <x v="3"/>
    <x v="92"/>
    <n v="0.37"/>
    <x v="0"/>
    <x v="1"/>
    <x v="30"/>
    <x v="392"/>
    <n v="21222"/>
    <x v="140"/>
    <d v="2015-03-13T00:00:00"/>
    <x v="809"/>
    <n v="6"/>
    <n v="42.16"/>
    <n v="85880"/>
  </r>
  <r>
    <n v="24286"/>
    <x v="2"/>
    <n v="0.09"/>
    <n v="6.28"/>
    <n v="5.29"/>
    <n v="1497"/>
    <x v="486"/>
    <x v="2"/>
    <x v="0"/>
    <x v="1"/>
    <x v="2"/>
    <x v="3"/>
    <x v="148"/>
    <n v="0.43"/>
    <x v="0"/>
    <x v="1"/>
    <x v="4"/>
    <x v="393"/>
    <n v="14901"/>
    <x v="140"/>
    <d v="2015-03-12T00:00:00"/>
    <x v="810"/>
    <n v="2"/>
    <n v="14.08"/>
    <n v="85880"/>
  </r>
  <r>
    <n v="24287"/>
    <x v="2"/>
    <n v="0.03"/>
    <n v="15.14"/>
    <n v="4.53"/>
    <n v="1497"/>
    <x v="486"/>
    <x v="2"/>
    <x v="0"/>
    <x v="0"/>
    <x v="10"/>
    <x v="3"/>
    <x v="436"/>
    <n v="0.81"/>
    <x v="0"/>
    <x v="1"/>
    <x v="4"/>
    <x v="393"/>
    <n v="14901"/>
    <x v="140"/>
    <d v="2015-03-13T00:00:00"/>
    <x v="811"/>
    <n v="17"/>
    <n v="256.73"/>
    <n v="85880"/>
  </r>
  <r>
    <n v="20016"/>
    <x v="3"/>
    <n v="0.05"/>
    <n v="2.16"/>
    <n v="6.05"/>
    <n v="1499"/>
    <x v="487"/>
    <x v="2"/>
    <x v="1"/>
    <x v="0"/>
    <x v="8"/>
    <x v="3"/>
    <x v="542"/>
    <n v="0.37"/>
    <x v="0"/>
    <x v="3"/>
    <x v="26"/>
    <x v="394"/>
    <n v="33134"/>
    <x v="128"/>
    <d v="2015-02-05T00:00:00"/>
    <x v="812"/>
    <n v="8"/>
    <n v="18.59"/>
    <n v="90731"/>
  </r>
  <r>
    <n v="20017"/>
    <x v="3"/>
    <n v="0.03"/>
    <n v="6.48"/>
    <n v="6.6"/>
    <n v="1499"/>
    <x v="487"/>
    <x v="2"/>
    <x v="1"/>
    <x v="0"/>
    <x v="7"/>
    <x v="3"/>
    <x v="205"/>
    <n v="0.37"/>
    <x v="0"/>
    <x v="3"/>
    <x v="26"/>
    <x v="394"/>
    <n v="33134"/>
    <x v="128"/>
    <d v="2015-02-05T00:00:00"/>
    <x v="813"/>
    <n v="9"/>
    <n v="58.83"/>
    <n v="90731"/>
  </r>
  <r>
    <n v="20018"/>
    <x v="3"/>
    <n v="0.08"/>
    <n v="146.05000000000001"/>
    <n v="80.2"/>
    <n v="1499"/>
    <x v="487"/>
    <x v="1"/>
    <x v="1"/>
    <x v="1"/>
    <x v="11"/>
    <x v="5"/>
    <x v="115"/>
    <n v="0.71"/>
    <x v="0"/>
    <x v="3"/>
    <x v="26"/>
    <x v="394"/>
    <n v="33134"/>
    <x v="128"/>
    <d v="2015-02-05T00:00:00"/>
    <x v="814"/>
    <n v="11"/>
    <n v="1557.66"/>
    <n v="90731"/>
  </r>
  <r>
    <n v="21682"/>
    <x v="2"/>
    <n v="0.08"/>
    <n v="3.69"/>
    <n v="0.5"/>
    <n v="1502"/>
    <x v="488"/>
    <x v="2"/>
    <x v="2"/>
    <x v="0"/>
    <x v="9"/>
    <x v="3"/>
    <x v="543"/>
    <n v="0.38"/>
    <x v="0"/>
    <x v="3"/>
    <x v="26"/>
    <x v="395"/>
    <n v="33065"/>
    <x v="163"/>
    <d v="2015-05-10T00:00:00"/>
    <x v="815"/>
    <n v="38"/>
    <n v="129.43"/>
    <n v="89193"/>
  </r>
  <r>
    <n v="18868"/>
    <x v="4"/>
    <n v="0.08"/>
    <n v="5.84"/>
    <n v="1"/>
    <n v="1502"/>
    <x v="488"/>
    <x v="0"/>
    <x v="2"/>
    <x v="0"/>
    <x v="0"/>
    <x v="0"/>
    <x v="544"/>
    <n v="0.38"/>
    <x v="0"/>
    <x v="3"/>
    <x v="26"/>
    <x v="395"/>
    <n v="33065"/>
    <x v="159"/>
    <d v="2015-07-03T00:00:00"/>
    <x v="816"/>
    <n v="11"/>
    <n v="61.39"/>
    <n v="89194"/>
  </r>
  <r>
    <n v="18869"/>
    <x v="4"/>
    <n v="0"/>
    <n v="205.99"/>
    <n v="8.99"/>
    <n v="1502"/>
    <x v="488"/>
    <x v="2"/>
    <x v="2"/>
    <x v="2"/>
    <x v="5"/>
    <x v="3"/>
    <x v="545"/>
    <n v="0.6"/>
    <x v="0"/>
    <x v="3"/>
    <x v="26"/>
    <x v="395"/>
    <n v="33065"/>
    <x v="159"/>
    <d v="2015-07-02T00:00:00"/>
    <x v="817"/>
    <n v="13"/>
    <n v="2435.52"/>
    <n v="89194"/>
  </r>
  <r>
    <n v="18061"/>
    <x v="4"/>
    <n v="0"/>
    <n v="85.99"/>
    <n v="0.99"/>
    <n v="1505"/>
    <x v="489"/>
    <x v="2"/>
    <x v="2"/>
    <x v="2"/>
    <x v="5"/>
    <x v="0"/>
    <x v="163"/>
    <n v="0.85"/>
    <x v="0"/>
    <x v="2"/>
    <x v="7"/>
    <x v="396"/>
    <n v="77840"/>
    <x v="1"/>
    <d v="2015-06-18T00:00:00"/>
    <x v="818"/>
    <n v="6"/>
    <n v="464.86"/>
    <n v="86181"/>
  </r>
  <r>
    <n v="23329"/>
    <x v="2"/>
    <n v="0.09"/>
    <n v="20.98"/>
    <n v="1.49"/>
    <n v="1511"/>
    <x v="490"/>
    <x v="2"/>
    <x v="0"/>
    <x v="0"/>
    <x v="8"/>
    <x v="3"/>
    <x v="546"/>
    <n v="0.35"/>
    <x v="0"/>
    <x v="2"/>
    <x v="38"/>
    <x v="397"/>
    <n v="47302"/>
    <x v="33"/>
    <d v="2015-06-24T00:00:00"/>
    <x v="819"/>
    <n v="14"/>
    <n v="288.67"/>
    <n v="90303"/>
  </r>
  <r>
    <n v="23470"/>
    <x v="2"/>
    <n v="0.06"/>
    <n v="55.48"/>
    <n v="4.8499999999999996"/>
    <n v="1519"/>
    <x v="491"/>
    <x v="2"/>
    <x v="3"/>
    <x v="0"/>
    <x v="7"/>
    <x v="3"/>
    <x v="547"/>
    <n v="0.37"/>
    <x v="0"/>
    <x v="1"/>
    <x v="14"/>
    <x v="113"/>
    <n v="4210"/>
    <x v="110"/>
    <d v="2015-06-14T00:00:00"/>
    <x v="820"/>
    <n v="19"/>
    <n v="1030.51"/>
    <n v="89957"/>
  </r>
  <r>
    <n v="23471"/>
    <x v="2"/>
    <n v="0.1"/>
    <n v="122.99"/>
    <n v="70.2"/>
    <n v="1522"/>
    <x v="492"/>
    <x v="1"/>
    <x v="3"/>
    <x v="1"/>
    <x v="1"/>
    <x v="1"/>
    <x v="36"/>
    <n v="0.74"/>
    <x v="0"/>
    <x v="2"/>
    <x v="3"/>
    <x v="398"/>
    <n v="55305"/>
    <x v="110"/>
    <d v="2015-06-15T00:00:00"/>
    <x v="821"/>
    <n v="17"/>
    <n v="2026.91"/>
    <n v="89957"/>
  </r>
  <r>
    <n v="19269"/>
    <x v="0"/>
    <n v="0.04"/>
    <n v="11.34"/>
    <n v="5.01"/>
    <n v="1526"/>
    <x v="493"/>
    <x v="2"/>
    <x v="1"/>
    <x v="0"/>
    <x v="7"/>
    <x v="3"/>
    <x v="195"/>
    <n v="0.36"/>
    <x v="0"/>
    <x v="3"/>
    <x v="43"/>
    <x v="399"/>
    <n v="35211"/>
    <x v="104"/>
    <d v="2015-02-11T00:00:00"/>
    <x v="822"/>
    <n v="10"/>
    <n v="115.53"/>
    <n v="86812"/>
  </r>
  <r>
    <n v="24974"/>
    <x v="2"/>
    <n v="0.03"/>
    <n v="30.98"/>
    <n v="8.99"/>
    <n v="1527"/>
    <x v="494"/>
    <x v="0"/>
    <x v="2"/>
    <x v="0"/>
    <x v="0"/>
    <x v="2"/>
    <x v="548"/>
    <n v="0.57999999999999996"/>
    <x v="0"/>
    <x v="3"/>
    <x v="43"/>
    <x v="400"/>
    <n v="35601"/>
    <x v="85"/>
    <d v="2015-01-11T00:00:00"/>
    <x v="823"/>
    <n v="5"/>
    <n v="162.38999999999999"/>
    <n v="86813"/>
  </r>
  <r>
    <n v="22253"/>
    <x v="4"/>
    <n v="0.03"/>
    <n v="65.989999999999995"/>
    <n v="5.26"/>
    <n v="1527"/>
    <x v="494"/>
    <x v="2"/>
    <x v="1"/>
    <x v="2"/>
    <x v="5"/>
    <x v="3"/>
    <x v="167"/>
    <n v="0.56000000000000005"/>
    <x v="0"/>
    <x v="3"/>
    <x v="43"/>
    <x v="400"/>
    <n v="35601"/>
    <x v="25"/>
    <d v="2015-04-09T00:00:00"/>
    <x v="824"/>
    <n v="23"/>
    <n v="1316.03"/>
    <n v="86814"/>
  </r>
  <r>
    <n v="21455"/>
    <x v="4"/>
    <n v="0.09"/>
    <n v="50.98"/>
    <n v="6.5"/>
    <n v="1527"/>
    <x v="494"/>
    <x v="2"/>
    <x v="1"/>
    <x v="2"/>
    <x v="13"/>
    <x v="3"/>
    <x v="338"/>
    <n v="0.73"/>
    <x v="0"/>
    <x v="3"/>
    <x v="43"/>
    <x v="400"/>
    <n v="35601"/>
    <x v="8"/>
    <d v="2015-05-28T00:00:00"/>
    <x v="825"/>
    <n v="28"/>
    <n v="1395.41"/>
    <n v="86815"/>
  </r>
  <r>
    <n v="24975"/>
    <x v="2"/>
    <n v="0.01"/>
    <n v="525.98"/>
    <n v="19.989999999999998"/>
    <n v="1528"/>
    <x v="495"/>
    <x v="2"/>
    <x v="2"/>
    <x v="0"/>
    <x v="8"/>
    <x v="3"/>
    <x v="549"/>
    <n v="0.37"/>
    <x v="0"/>
    <x v="3"/>
    <x v="24"/>
    <x v="401"/>
    <n v="27288"/>
    <x v="85"/>
    <d v="2015-01-11T00:00:00"/>
    <x v="826"/>
    <n v="9"/>
    <n v="4920.8100000000004"/>
    <n v="86813"/>
  </r>
  <r>
    <n v="21199"/>
    <x v="2"/>
    <n v="7.0000000000000007E-2"/>
    <n v="4.91"/>
    <n v="0.5"/>
    <n v="1531"/>
    <x v="496"/>
    <x v="2"/>
    <x v="3"/>
    <x v="0"/>
    <x v="9"/>
    <x v="3"/>
    <x v="550"/>
    <n v="0.36"/>
    <x v="0"/>
    <x v="3"/>
    <x v="26"/>
    <x v="402"/>
    <n v="32137"/>
    <x v="60"/>
    <d v="2015-01-18T00:00:00"/>
    <x v="827"/>
    <n v="6"/>
    <n v="28.22"/>
    <n v="88852"/>
  </r>
  <r>
    <n v="21596"/>
    <x v="0"/>
    <n v="0.02"/>
    <n v="4.8899999999999997"/>
    <n v="4.93"/>
    <n v="1533"/>
    <x v="497"/>
    <x v="2"/>
    <x v="0"/>
    <x v="2"/>
    <x v="13"/>
    <x v="2"/>
    <x v="154"/>
    <n v="0.66"/>
    <x v="0"/>
    <x v="2"/>
    <x v="33"/>
    <x v="403"/>
    <n v="63130"/>
    <x v="92"/>
    <d v="2015-02-07T00:00:00"/>
    <x v="828"/>
    <n v="14"/>
    <n v="74.010000000000005"/>
    <n v="91328"/>
  </r>
  <r>
    <n v="21597"/>
    <x v="0"/>
    <n v="7.0000000000000007E-2"/>
    <n v="10.06"/>
    <n v="2.06"/>
    <n v="1533"/>
    <x v="497"/>
    <x v="2"/>
    <x v="0"/>
    <x v="0"/>
    <x v="7"/>
    <x v="0"/>
    <x v="85"/>
    <n v="0.39"/>
    <x v="0"/>
    <x v="2"/>
    <x v="33"/>
    <x v="403"/>
    <n v="63130"/>
    <x v="92"/>
    <d v="2015-02-07T00:00:00"/>
    <x v="829"/>
    <n v="5"/>
    <n v="48.1"/>
    <n v="91328"/>
  </r>
  <r>
    <n v="23147"/>
    <x v="4"/>
    <n v="0"/>
    <n v="599.99"/>
    <n v="24.49"/>
    <n v="1548"/>
    <x v="498"/>
    <x v="2"/>
    <x v="0"/>
    <x v="2"/>
    <x v="16"/>
    <x v="6"/>
    <x v="551"/>
    <n v="0.44"/>
    <x v="0"/>
    <x v="2"/>
    <x v="38"/>
    <x v="404"/>
    <n v="47374"/>
    <x v="96"/>
    <d v="2015-06-25T00:00:00"/>
    <x v="830"/>
    <n v="18"/>
    <n v="11015.82"/>
    <n v="88487"/>
  </r>
  <r>
    <n v="19627"/>
    <x v="4"/>
    <n v="7.0000000000000007E-2"/>
    <n v="17.7"/>
    <n v="9.4700000000000006"/>
    <n v="1551"/>
    <x v="499"/>
    <x v="2"/>
    <x v="3"/>
    <x v="0"/>
    <x v="10"/>
    <x v="3"/>
    <x v="552"/>
    <n v="0.59"/>
    <x v="0"/>
    <x v="3"/>
    <x v="37"/>
    <x v="405"/>
    <n v="39530"/>
    <x v="97"/>
    <d v="2015-07-01T00:00:00"/>
    <x v="831"/>
    <n v="18"/>
    <n v="300.67"/>
    <n v="87488"/>
  </r>
  <r>
    <n v="20993"/>
    <x v="2"/>
    <n v="0.01"/>
    <n v="348.21"/>
    <n v="40.19"/>
    <n v="1552"/>
    <x v="500"/>
    <x v="1"/>
    <x v="2"/>
    <x v="1"/>
    <x v="11"/>
    <x v="5"/>
    <x v="553"/>
    <n v="0.62"/>
    <x v="0"/>
    <x v="3"/>
    <x v="37"/>
    <x v="406"/>
    <n v="39056"/>
    <x v="167"/>
    <d v="2015-01-04T00:00:00"/>
    <x v="832"/>
    <n v="2"/>
    <n v="723.54"/>
    <n v="87486"/>
  </r>
  <r>
    <n v="24862"/>
    <x v="1"/>
    <n v="0.03"/>
    <n v="12.28"/>
    <n v="6.35"/>
    <n v="1553"/>
    <x v="501"/>
    <x v="2"/>
    <x v="2"/>
    <x v="0"/>
    <x v="7"/>
    <x v="3"/>
    <x v="554"/>
    <n v="0.38"/>
    <x v="0"/>
    <x v="3"/>
    <x v="37"/>
    <x v="407"/>
    <n v="38701"/>
    <x v="27"/>
    <d v="2015-03-24T00:00:00"/>
    <x v="833"/>
    <n v="7"/>
    <n v="87.53"/>
    <n v="87484"/>
  </r>
  <r>
    <n v="26135"/>
    <x v="0"/>
    <n v="0.04"/>
    <n v="10.98"/>
    <n v="3.99"/>
    <n v="1554"/>
    <x v="502"/>
    <x v="2"/>
    <x v="2"/>
    <x v="0"/>
    <x v="15"/>
    <x v="3"/>
    <x v="555"/>
    <n v="0.57999999999999996"/>
    <x v="0"/>
    <x v="3"/>
    <x v="37"/>
    <x v="408"/>
    <n v="39503"/>
    <x v="73"/>
    <d v="2015-05-18T00:00:00"/>
    <x v="834"/>
    <n v="15"/>
    <n v="172.22"/>
    <n v="87485"/>
  </r>
  <r>
    <n v="25409"/>
    <x v="0"/>
    <n v="0.03"/>
    <n v="124.49"/>
    <n v="51.94"/>
    <n v="1554"/>
    <x v="502"/>
    <x v="1"/>
    <x v="3"/>
    <x v="1"/>
    <x v="11"/>
    <x v="5"/>
    <x v="156"/>
    <n v="0.63"/>
    <x v="0"/>
    <x v="3"/>
    <x v="37"/>
    <x v="408"/>
    <n v="39503"/>
    <x v="169"/>
    <d v="2015-02-14T00:00:00"/>
    <x v="835"/>
    <n v="7"/>
    <n v="894.88"/>
    <n v="87487"/>
  </r>
  <r>
    <n v="18294"/>
    <x v="1"/>
    <n v="0.06"/>
    <n v="2.89"/>
    <n v="0.99"/>
    <n v="1556"/>
    <x v="503"/>
    <x v="2"/>
    <x v="3"/>
    <x v="0"/>
    <x v="9"/>
    <x v="3"/>
    <x v="556"/>
    <n v="0.38"/>
    <x v="0"/>
    <x v="3"/>
    <x v="8"/>
    <x v="369"/>
    <n v="22304"/>
    <x v="144"/>
    <d v="2015-06-03T00:00:00"/>
    <x v="836"/>
    <n v="6"/>
    <n v="16.670000000000002"/>
    <n v="87425"/>
  </r>
  <r>
    <n v="18295"/>
    <x v="1"/>
    <n v="0.08"/>
    <n v="22.84"/>
    <n v="11.54"/>
    <n v="1556"/>
    <x v="503"/>
    <x v="2"/>
    <x v="3"/>
    <x v="0"/>
    <x v="7"/>
    <x v="3"/>
    <x v="64"/>
    <n v="0.39"/>
    <x v="0"/>
    <x v="3"/>
    <x v="8"/>
    <x v="369"/>
    <n v="22304"/>
    <x v="144"/>
    <d v="2015-06-03T00:00:00"/>
    <x v="837"/>
    <n v="9"/>
    <n v="195.16"/>
    <n v="87425"/>
  </r>
  <r>
    <n v="18511"/>
    <x v="4"/>
    <n v="0.09"/>
    <n v="60.98"/>
    <n v="49"/>
    <n v="1557"/>
    <x v="504"/>
    <x v="2"/>
    <x v="3"/>
    <x v="0"/>
    <x v="15"/>
    <x v="6"/>
    <x v="557"/>
    <n v="0.59"/>
    <x v="0"/>
    <x v="3"/>
    <x v="8"/>
    <x v="409"/>
    <n v="22003"/>
    <x v="78"/>
    <d v="2015-04-02T00:00:00"/>
    <x v="838"/>
    <n v="15"/>
    <n v="879.62"/>
    <n v="87426"/>
  </r>
  <r>
    <n v="18512"/>
    <x v="4"/>
    <n v="0.05"/>
    <n v="29.89"/>
    <n v="1.99"/>
    <n v="1557"/>
    <x v="504"/>
    <x v="2"/>
    <x v="3"/>
    <x v="2"/>
    <x v="13"/>
    <x v="2"/>
    <x v="468"/>
    <n v="0.5"/>
    <x v="0"/>
    <x v="3"/>
    <x v="8"/>
    <x v="409"/>
    <n v="22003"/>
    <x v="78"/>
    <d v="2015-03-27T00:00:00"/>
    <x v="839"/>
    <n v="12"/>
    <n v="361.19"/>
    <n v="87426"/>
  </r>
  <r>
    <n v="26229"/>
    <x v="2"/>
    <n v="0.1"/>
    <n v="226.67"/>
    <n v="28.16"/>
    <n v="1559"/>
    <x v="505"/>
    <x v="1"/>
    <x v="3"/>
    <x v="1"/>
    <x v="1"/>
    <x v="1"/>
    <x v="558"/>
    <n v="0.59"/>
    <x v="0"/>
    <x v="3"/>
    <x v="8"/>
    <x v="410"/>
    <n v="24060"/>
    <x v="112"/>
    <d v="2015-04-17T00:00:00"/>
    <x v="840"/>
    <n v="5"/>
    <n v="1088.26"/>
    <n v="87424"/>
  </r>
  <r>
    <n v="19130"/>
    <x v="0"/>
    <n v="0.02"/>
    <n v="11.34"/>
    <n v="11.25"/>
    <n v="1561"/>
    <x v="506"/>
    <x v="2"/>
    <x v="0"/>
    <x v="0"/>
    <x v="7"/>
    <x v="3"/>
    <x v="559"/>
    <n v="0.36"/>
    <x v="0"/>
    <x v="2"/>
    <x v="7"/>
    <x v="366"/>
    <n v="76063"/>
    <x v="151"/>
    <d v="2015-03-02T00:00:00"/>
    <x v="841"/>
    <n v="9"/>
    <n v="105.75"/>
    <n v="88093"/>
  </r>
  <r>
    <n v="19208"/>
    <x v="2"/>
    <n v="0.05"/>
    <n v="12.2"/>
    <n v="6.02"/>
    <n v="1561"/>
    <x v="506"/>
    <x v="2"/>
    <x v="0"/>
    <x v="1"/>
    <x v="2"/>
    <x v="2"/>
    <x v="506"/>
    <n v="0.43"/>
    <x v="0"/>
    <x v="2"/>
    <x v="7"/>
    <x v="366"/>
    <n v="76063"/>
    <x v="53"/>
    <d v="2015-04-14T00:00:00"/>
    <x v="842"/>
    <n v="5"/>
    <n v="63.93"/>
    <n v="88094"/>
  </r>
  <r>
    <n v="20464"/>
    <x v="3"/>
    <n v="7.0000000000000007E-2"/>
    <n v="20.95"/>
    <n v="5.99"/>
    <n v="1574"/>
    <x v="507"/>
    <x v="2"/>
    <x v="3"/>
    <x v="2"/>
    <x v="13"/>
    <x v="3"/>
    <x v="560"/>
    <n v="0.65"/>
    <x v="0"/>
    <x v="3"/>
    <x v="24"/>
    <x v="411"/>
    <n v="28314"/>
    <x v="170"/>
    <d v="2015-02-10T00:00:00"/>
    <x v="843"/>
    <n v="19"/>
    <n v="391.4"/>
    <n v="86966"/>
  </r>
  <r>
    <n v="22127"/>
    <x v="4"/>
    <n v="0.1"/>
    <n v="11.58"/>
    <n v="6.97"/>
    <n v="1580"/>
    <x v="508"/>
    <x v="2"/>
    <x v="0"/>
    <x v="0"/>
    <x v="4"/>
    <x v="3"/>
    <x v="240"/>
    <n v="0.35"/>
    <x v="0"/>
    <x v="1"/>
    <x v="14"/>
    <x v="412"/>
    <n v="4901"/>
    <x v="160"/>
    <d v="2015-02-20T00:00:00"/>
    <x v="844"/>
    <n v="1"/>
    <n v="14.53"/>
    <n v="90934"/>
  </r>
  <r>
    <n v="25013"/>
    <x v="3"/>
    <n v="0.03"/>
    <n v="19.04"/>
    <n v="6.38"/>
    <n v="1590"/>
    <x v="509"/>
    <x v="0"/>
    <x v="0"/>
    <x v="1"/>
    <x v="2"/>
    <x v="3"/>
    <x v="561"/>
    <n v="0.56000000000000005"/>
    <x v="0"/>
    <x v="1"/>
    <x v="10"/>
    <x v="413"/>
    <n v="44094"/>
    <x v="36"/>
    <d v="2015-04-04T00:00:00"/>
    <x v="845"/>
    <n v="7"/>
    <n v="144.03"/>
    <n v="86668"/>
  </r>
  <r>
    <n v="25011"/>
    <x v="3"/>
    <n v="0.02"/>
    <n v="5.53"/>
    <n v="6.98"/>
    <n v="1593"/>
    <x v="510"/>
    <x v="2"/>
    <x v="0"/>
    <x v="0"/>
    <x v="8"/>
    <x v="3"/>
    <x v="562"/>
    <n v="0.39"/>
    <x v="0"/>
    <x v="2"/>
    <x v="23"/>
    <x v="57"/>
    <n v="74006"/>
    <x v="36"/>
    <d v="2015-04-06T00:00:00"/>
    <x v="846"/>
    <n v="8"/>
    <n v="48.81"/>
    <n v="86668"/>
  </r>
  <r>
    <n v="21059"/>
    <x v="0"/>
    <n v="0.01"/>
    <n v="500.98"/>
    <n v="26"/>
    <n v="1595"/>
    <x v="511"/>
    <x v="1"/>
    <x v="0"/>
    <x v="1"/>
    <x v="1"/>
    <x v="1"/>
    <x v="1"/>
    <n v="0.6"/>
    <x v="0"/>
    <x v="1"/>
    <x v="36"/>
    <x v="414"/>
    <n v="25705"/>
    <x v="171"/>
    <d v="2015-05-12T00:00:00"/>
    <x v="847"/>
    <n v="14"/>
    <n v="7360.2"/>
    <n v="90796"/>
  </r>
  <r>
    <n v="21060"/>
    <x v="0"/>
    <n v="0.08"/>
    <n v="9.77"/>
    <n v="6.02"/>
    <n v="1595"/>
    <x v="511"/>
    <x v="2"/>
    <x v="0"/>
    <x v="1"/>
    <x v="2"/>
    <x v="4"/>
    <x v="563"/>
    <n v="0.48"/>
    <x v="0"/>
    <x v="1"/>
    <x v="36"/>
    <x v="414"/>
    <n v="25705"/>
    <x v="171"/>
    <d v="2015-05-12T00:00:00"/>
    <x v="848"/>
    <n v="9"/>
    <n v="89.06"/>
    <n v="90796"/>
  </r>
  <r>
    <n v="21061"/>
    <x v="0"/>
    <n v="0.09"/>
    <n v="3.28"/>
    <n v="0.98"/>
    <n v="1595"/>
    <x v="511"/>
    <x v="2"/>
    <x v="0"/>
    <x v="0"/>
    <x v="0"/>
    <x v="0"/>
    <x v="564"/>
    <n v="0.59"/>
    <x v="0"/>
    <x v="1"/>
    <x v="36"/>
    <x v="414"/>
    <n v="25705"/>
    <x v="171"/>
    <d v="2015-05-13T00:00:00"/>
    <x v="849"/>
    <n v="42"/>
    <n v="134.97"/>
    <n v="90796"/>
  </r>
  <r>
    <n v="21928"/>
    <x v="2"/>
    <n v="0.1"/>
    <n v="9.11"/>
    <n v="2.15"/>
    <n v="1602"/>
    <x v="512"/>
    <x v="2"/>
    <x v="1"/>
    <x v="0"/>
    <x v="7"/>
    <x v="0"/>
    <x v="452"/>
    <n v="0.4"/>
    <x v="0"/>
    <x v="1"/>
    <x v="30"/>
    <x v="415"/>
    <n v="20601"/>
    <x v="98"/>
    <d v="2015-04-12T00:00:00"/>
    <x v="850"/>
    <n v="2"/>
    <n v="17.420000000000002"/>
    <n v="89680"/>
  </r>
  <r>
    <n v="23533"/>
    <x v="2"/>
    <n v="0.09"/>
    <n v="2.1800000000000002"/>
    <n v="0.78"/>
    <n v="1603"/>
    <x v="513"/>
    <x v="2"/>
    <x v="2"/>
    <x v="0"/>
    <x v="3"/>
    <x v="0"/>
    <x v="565"/>
    <n v="0.52"/>
    <x v="0"/>
    <x v="1"/>
    <x v="4"/>
    <x v="416"/>
    <n v="11598"/>
    <x v="59"/>
    <d v="2015-01-18T00:00:00"/>
    <x v="851"/>
    <n v="9"/>
    <n v="19.12"/>
    <n v="89679"/>
  </r>
  <r>
    <n v="23534"/>
    <x v="2"/>
    <n v="0.05"/>
    <n v="179.29"/>
    <n v="29.21"/>
    <n v="1603"/>
    <x v="513"/>
    <x v="1"/>
    <x v="2"/>
    <x v="1"/>
    <x v="11"/>
    <x v="5"/>
    <x v="218"/>
    <n v="0.76"/>
    <x v="0"/>
    <x v="1"/>
    <x v="4"/>
    <x v="416"/>
    <n v="11598"/>
    <x v="59"/>
    <d v="2015-01-18T00:00:00"/>
    <x v="852"/>
    <n v="1"/>
    <n v="186.64"/>
    <n v="89679"/>
  </r>
  <r>
    <n v="18450"/>
    <x v="3"/>
    <n v="0.05"/>
    <n v="1.98"/>
    <n v="4.7699999999999996"/>
    <n v="1606"/>
    <x v="514"/>
    <x v="2"/>
    <x v="1"/>
    <x v="0"/>
    <x v="8"/>
    <x v="3"/>
    <x v="566"/>
    <n v="0.4"/>
    <x v="0"/>
    <x v="1"/>
    <x v="4"/>
    <x v="417"/>
    <n v="11010"/>
    <x v="0"/>
    <d v="2015-01-08T00:00:00"/>
    <x v="853"/>
    <n v="1"/>
    <n v="3.53"/>
    <n v="87993"/>
  </r>
  <r>
    <n v="18451"/>
    <x v="3"/>
    <n v="7.0000000000000007E-2"/>
    <n v="699.99"/>
    <n v="24.49"/>
    <n v="1606"/>
    <x v="514"/>
    <x v="0"/>
    <x v="1"/>
    <x v="2"/>
    <x v="16"/>
    <x v="6"/>
    <x v="199"/>
    <n v="0.41"/>
    <x v="0"/>
    <x v="1"/>
    <x v="4"/>
    <x v="417"/>
    <n v="11010"/>
    <x v="0"/>
    <d v="2015-01-08T00:00:00"/>
    <x v="854"/>
    <n v="1"/>
    <n v="706.56"/>
    <n v="87993"/>
  </r>
  <r>
    <n v="18452"/>
    <x v="3"/>
    <n v="7.0000000000000007E-2"/>
    <n v="6783.02"/>
    <n v="24.49"/>
    <n v="1606"/>
    <x v="514"/>
    <x v="2"/>
    <x v="1"/>
    <x v="2"/>
    <x v="6"/>
    <x v="6"/>
    <x v="458"/>
    <n v="0.39"/>
    <x v="0"/>
    <x v="1"/>
    <x v="4"/>
    <x v="417"/>
    <n v="11010"/>
    <x v="0"/>
    <d v="2015-01-08T00:00:00"/>
    <x v="855"/>
    <n v="2"/>
    <n v="13121.07"/>
    <n v="87993"/>
  </r>
  <r>
    <n v="22921"/>
    <x v="1"/>
    <n v="0.01"/>
    <n v="15.16"/>
    <n v="15.09"/>
    <n v="1607"/>
    <x v="515"/>
    <x v="2"/>
    <x v="1"/>
    <x v="0"/>
    <x v="8"/>
    <x v="3"/>
    <x v="567"/>
    <n v="0.39"/>
    <x v="0"/>
    <x v="1"/>
    <x v="4"/>
    <x v="418"/>
    <n v="11520"/>
    <x v="112"/>
    <d v="2015-04-15T00:00:00"/>
    <x v="856"/>
    <n v="7"/>
    <n v="110.93"/>
    <n v="87994"/>
  </r>
  <r>
    <n v="24951"/>
    <x v="4"/>
    <n v="0.1"/>
    <n v="5.68"/>
    <n v="3.6"/>
    <n v="1607"/>
    <x v="515"/>
    <x v="0"/>
    <x v="1"/>
    <x v="0"/>
    <x v="12"/>
    <x v="2"/>
    <x v="568"/>
    <n v="0.56000000000000005"/>
    <x v="0"/>
    <x v="1"/>
    <x v="4"/>
    <x v="418"/>
    <n v="11520"/>
    <x v="92"/>
    <d v="2015-02-10T00:00:00"/>
    <x v="857"/>
    <n v="21"/>
    <n v="118.35"/>
    <n v="87995"/>
  </r>
  <r>
    <n v="22682"/>
    <x v="0"/>
    <n v="0.03"/>
    <n v="2.16"/>
    <n v="6.05"/>
    <n v="1609"/>
    <x v="516"/>
    <x v="2"/>
    <x v="3"/>
    <x v="0"/>
    <x v="8"/>
    <x v="3"/>
    <x v="542"/>
    <n v="0.37"/>
    <x v="0"/>
    <x v="0"/>
    <x v="1"/>
    <x v="419"/>
    <n v="95823"/>
    <x v="171"/>
    <d v="2015-05-12T00:00:00"/>
    <x v="858"/>
    <n v="7"/>
    <n v="17.309999999999999"/>
    <n v="87824"/>
  </r>
  <r>
    <n v="22683"/>
    <x v="0"/>
    <n v="0.03"/>
    <n v="9.7100000000000009"/>
    <n v="9.4499999999999993"/>
    <n v="1609"/>
    <x v="516"/>
    <x v="2"/>
    <x v="3"/>
    <x v="0"/>
    <x v="10"/>
    <x v="3"/>
    <x v="173"/>
    <n v="0.6"/>
    <x v="0"/>
    <x v="0"/>
    <x v="1"/>
    <x v="419"/>
    <n v="95823"/>
    <x v="171"/>
    <d v="2015-05-11T00:00:00"/>
    <x v="859"/>
    <n v="2"/>
    <n v="23.56"/>
    <n v="87824"/>
  </r>
  <r>
    <n v="18394"/>
    <x v="4"/>
    <n v="0.06"/>
    <n v="40.97"/>
    <n v="1.99"/>
    <n v="1614"/>
    <x v="517"/>
    <x v="2"/>
    <x v="3"/>
    <x v="2"/>
    <x v="13"/>
    <x v="2"/>
    <x v="569"/>
    <n v="0.42"/>
    <x v="0"/>
    <x v="1"/>
    <x v="15"/>
    <x v="420"/>
    <n v="1748"/>
    <x v="4"/>
    <d v="2015-04-12T00:00:00"/>
    <x v="860"/>
    <n v="12"/>
    <n v="494.49"/>
    <n v="87823"/>
  </r>
  <r>
    <n v="19501"/>
    <x v="0"/>
    <n v="0.09"/>
    <n v="12.88"/>
    <n v="4.59"/>
    <n v="1618"/>
    <x v="518"/>
    <x v="2"/>
    <x v="3"/>
    <x v="0"/>
    <x v="12"/>
    <x v="0"/>
    <x v="570"/>
    <n v="0.82"/>
    <x v="0"/>
    <x v="2"/>
    <x v="38"/>
    <x v="421"/>
    <n v="46322"/>
    <x v="34"/>
    <d v="2015-04-06T00:00:00"/>
    <x v="861"/>
    <n v="13"/>
    <n v="158.13"/>
    <n v="90248"/>
  </r>
  <r>
    <n v="19502"/>
    <x v="0"/>
    <n v="0.02"/>
    <n v="45.99"/>
    <n v="4.99"/>
    <n v="1620"/>
    <x v="519"/>
    <x v="0"/>
    <x v="3"/>
    <x v="2"/>
    <x v="5"/>
    <x v="3"/>
    <x v="571"/>
    <n v="0.56999999999999995"/>
    <x v="0"/>
    <x v="1"/>
    <x v="19"/>
    <x v="298"/>
    <n v="17602"/>
    <x v="34"/>
    <d v="2015-04-07T00:00:00"/>
    <x v="862"/>
    <n v="4"/>
    <n v="163.01"/>
    <n v="90248"/>
  </r>
  <r>
    <n v="23750"/>
    <x v="0"/>
    <n v="0.06"/>
    <n v="15.01"/>
    <n v="8.4"/>
    <n v="1623"/>
    <x v="520"/>
    <x v="2"/>
    <x v="2"/>
    <x v="0"/>
    <x v="8"/>
    <x v="3"/>
    <x v="572"/>
    <n v="0.39"/>
    <x v="0"/>
    <x v="2"/>
    <x v="38"/>
    <x v="422"/>
    <n v="46375"/>
    <x v="84"/>
    <d v="2015-05-26T00:00:00"/>
    <x v="863"/>
    <n v="22"/>
    <n v="333.04"/>
    <n v="87611"/>
  </r>
  <r>
    <n v="23751"/>
    <x v="0"/>
    <n v="0.09"/>
    <n v="40.479999999999997"/>
    <n v="19.989999999999998"/>
    <n v="1623"/>
    <x v="520"/>
    <x v="2"/>
    <x v="2"/>
    <x v="2"/>
    <x v="13"/>
    <x v="3"/>
    <x v="295"/>
    <n v="0.77"/>
    <x v="0"/>
    <x v="2"/>
    <x v="38"/>
    <x v="422"/>
    <n v="46375"/>
    <x v="84"/>
    <d v="2015-05-26T00:00:00"/>
    <x v="864"/>
    <n v="12"/>
    <n v="472.44"/>
    <n v="87611"/>
  </r>
  <r>
    <n v="23752"/>
    <x v="0"/>
    <n v="0.05"/>
    <n v="12.28"/>
    <n v="6.13"/>
    <n v="1623"/>
    <x v="520"/>
    <x v="2"/>
    <x v="2"/>
    <x v="0"/>
    <x v="10"/>
    <x v="3"/>
    <x v="521"/>
    <n v="0.56999999999999995"/>
    <x v="0"/>
    <x v="2"/>
    <x v="38"/>
    <x v="422"/>
    <n v="46375"/>
    <x v="84"/>
    <d v="2015-05-25T00:00:00"/>
    <x v="865"/>
    <n v="1"/>
    <n v="18.73"/>
    <n v="87611"/>
  </r>
  <r>
    <n v="21145"/>
    <x v="3"/>
    <n v="0.08"/>
    <n v="213.45"/>
    <n v="14.7"/>
    <n v="1625"/>
    <x v="521"/>
    <x v="1"/>
    <x v="1"/>
    <x v="2"/>
    <x v="6"/>
    <x v="1"/>
    <x v="90"/>
    <n v="0.59"/>
    <x v="0"/>
    <x v="1"/>
    <x v="4"/>
    <x v="423"/>
    <n v="11542"/>
    <x v="12"/>
    <d v="2015-03-29T00:00:00"/>
    <x v="866"/>
    <n v="12"/>
    <n v="2427.1799999999998"/>
    <n v="90600"/>
  </r>
  <r>
    <n v="21146"/>
    <x v="3"/>
    <n v="0.1"/>
    <n v="55.98"/>
    <n v="13.88"/>
    <n v="1625"/>
    <x v="521"/>
    <x v="2"/>
    <x v="1"/>
    <x v="0"/>
    <x v="7"/>
    <x v="3"/>
    <x v="573"/>
    <n v="0.36"/>
    <x v="0"/>
    <x v="1"/>
    <x v="4"/>
    <x v="423"/>
    <n v="11542"/>
    <x v="12"/>
    <d v="2015-03-29T00:00:00"/>
    <x v="867"/>
    <n v="8"/>
    <n v="434.85"/>
    <n v="90600"/>
  </r>
  <r>
    <n v="21147"/>
    <x v="3"/>
    <n v="0"/>
    <n v="16.059999999999999"/>
    <n v="8.34"/>
    <n v="1625"/>
    <x v="521"/>
    <x v="2"/>
    <x v="1"/>
    <x v="0"/>
    <x v="10"/>
    <x v="3"/>
    <x v="574"/>
    <n v="0.59"/>
    <x v="0"/>
    <x v="1"/>
    <x v="4"/>
    <x v="423"/>
    <n v="11542"/>
    <x v="12"/>
    <d v="2015-03-28T00:00:00"/>
    <x v="868"/>
    <n v="1"/>
    <n v="19.16"/>
    <n v="90600"/>
  </r>
  <r>
    <n v="21270"/>
    <x v="3"/>
    <n v="0"/>
    <n v="209.37"/>
    <n v="69"/>
    <n v="1625"/>
    <x v="521"/>
    <x v="2"/>
    <x v="1"/>
    <x v="1"/>
    <x v="11"/>
    <x v="6"/>
    <x v="575"/>
    <n v="0.79"/>
    <x v="0"/>
    <x v="1"/>
    <x v="4"/>
    <x v="423"/>
    <n v="11542"/>
    <x v="160"/>
    <d v="2015-02-18T00:00:00"/>
    <x v="869"/>
    <n v="11"/>
    <n v="1959.88"/>
    <n v="90601"/>
  </r>
  <r>
    <n v="23604"/>
    <x v="0"/>
    <n v="0.06"/>
    <n v="43.57"/>
    <n v="16.36"/>
    <n v="1627"/>
    <x v="522"/>
    <x v="2"/>
    <x v="0"/>
    <x v="0"/>
    <x v="10"/>
    <x v="3"/>
    <x v="576"/>
    <n v="0.55000000000000004"/>
    <x v="0"/>
    <x v="3"/>
    <x v="20"/>
    <x v="424"/>
    <n v="37743"/>
    <x v="5"/>
    <d v="2015-05-30T00:00:00"/>
    <x v="870"/>
    <n v="17"/>
    <n v="710.16"/>
    <n v="90602"/>
  </r>
  <r>
    <n v="19769"/>
    <x v="0"/>
    <n v="0.08"/>
    <n v="8.09"/>
    <n v="7.96"/>
    <n v="1632"/>
    <x v="523"/>
    <x v="0"/>
    <x v="1"/>
    <x v="1"/>
    <x v="2"/>
    <x v="3"/>
    <x v="38"/>
    <n v="0.49"/>
    <x v="0"/>
    <x v="3"/>
    <x v="37"/>
    <x v="425"/>
    <n v="39401"/>
    <x v="43"/>
    <d v="2015-01-16T00:00:00"/>
    <x v="871"/>
    <n v="6"/>
    <n v="48.25"/>
    <n v="90530"/>
  </r>
  <r>
    <n v="20359"/>
    <x v="0"/>
    <n v="0.02"/>
    <n v="25.99"/>
    <n v="5.37"/>
    <n v="1632"/>
    <x v="523"/>
    <x v="2"/>
    <x v="1"/>
    <x v="0"/>
    <x v="0"/>
    <x v="3"/>
    <x v="577"/>
    <n v="0.56000000000000005"/>
    <x v="0"/>
    <x v="3"/>
    <x v="37"/>
    <x v="425"/>
    <n v="39401"/>
    <x v="112"/>
    <d v="2015-04-17T00:00:00"/>
    <x v="872"/>
    <n v="9"/>
    <n v="243.24"/>
    <n v="90533"/>
  </r>
  <r>
    <n v="24786"/>
    <x v="1"/>
    <n v="0.03"/>
    <n v="5.98"/>
    <n v="3.85"/>
    <n v="1633"/>
    <x v="524"/>
    <x v="2"/>
    <x v="1"/>
    <x v="2"/>
    <x v="13"/>
    <x v="2"/>
    <x v="412"/>
    <n v="0.68"/>
    <x v="0"/>
    <x v="3"/>
    <x v="37"/>
    <x v="426"/>
    <n v="38637"/>
    <x v="104"/>
    <d v="2015-02-12T00:00:00"/>
    <x v="873"/>
    <n v="6"/>
    <n v="38.54"/>
    <n v="90531"/>
  </r>
  <r>
    <n v="26340"/>
    <x v="1"/>
    <n v="0.08"/>
    <n v="100.97"/>
    <n v="14"/>
    <n v="1634"/>
    <x v="525"/>
    <x v="1"/>
    <x v="1"/>
    <x v="2"/>
    <x v="6"/>
    <x v="1"/>
    <x v="578"/>
    <n v="0.37"/>
    <x v="0"/>
    <x v="3"/>
    <x v="37"/>
    <x v="427"/>
    <n v="39212"/>
    <x v="37"/>
    <d v="2015-04-10T00:00:00"/>
    <x v="874"/>
    <n v="15"/>
    <n v="1483.16"/>
    <n v="90532"/>
  </r>
  <r>
    <n v="19144"/>
    <x v="2"/>
    <n v="0.08"/>
    <n v="115.99"/>
    <n v="56.14"/>
    <n v="1636"/>
    <x v="526"/>
    <x v="1"/>
    <x v="1"/>
    <x v="2"/>
    <x v="6"/>
    <x v="1"/>
    <x v="486"/>
    <n v="0.4"/>
    <x v="0"/>
    <x v="0"/>
    <x v="1"/>
    <x v="428"/>
    <n v="93905"/>
    <x v="101"/>
    <d v="2015-01-16T00:00:00"/>
    <x v="875"/>
    <n v="5"/>
    <n v="562.92999999999995"/>
    <n v="89704"/>
  </r>
  <r>
    <n v="19145"/>
    <x v="2"/>
    <n v="0.08"/>
    <n v="4.28"/>
    <n v="0.94"/>
    <n v="1636"/>
    <x v="526"/>
    <x v="2"/>
    <x v="1"/>
    <x v="0"/>
    <x v="0"/>
    <x v="0"/>
    <x v="579"/>
    <n v="0.56000000000000005"/>
    <x v="0"/>
    <x v="0"/>
    <x v="1"/>
    <x v="428"/>
    <n v="93905"/>
    <x v="101"/>
    <d v="2015-01-17T00:00:00"/>
    <x v="876"/>
    <n v="7"/>
    <n v="29.18"/>
    <n v="89704"/>
  </r>
  <r>
    <n v="20869"/>
    <x v="0"/>
    <n v="0.04"/>
    <n v="136.97999999999999"/>
    <n v="24.49"/>
    <n v="1636"/>
    <x v="526"/>
    <x v="0"/>
    <x v="1"/>
    <x v="1"/>
    <x v="2"/>
    <x v="6"/>
    <x v="580"/>
    <n v="0.59"/>
    <x v="0"/>
    <x v="0"/>
    <x v="1"/>
    <x v="428"/>
    <n v="93905"/>
    <x v="38"/>
    <d v="2015-01-14T00:00:00"/>
    <x v="877"/>
    <n v="12"/>
    <n v="1634.13"/>
    <n v="89706"/>
  </r>
  <r>
    <n v="26109"/>
    <x v="2"/>
    <n v="0.08"/>
    <n v="55.48"/>
    <n v="6.79"/>
    <n v="1639"/>
    <x v="527"/>
    <x v="2"/>
    <x v="1"/>
    <x v="0"/>
    <x v="7"/>
    <x v="3"/>
    <x v="581"/>
    <n v="0.37"/>
    <x v="0"/>
    <x v="1"/>
    <x v="18"/>
    <x v="429"/>
    <n v="6901"/>
    <x v="115"/>
    <d v="2015-02-28T00:00:00"/>
    <x v="878"/>
    <n v="4"/>
    <n v="214.14"/>
    <n v="89705"/>
  </r>
  <r>
    <n v="18274"/>
    <x v="4"/>
    <n v="0.09"/>
    <n v="107.53"/>
    <n v="5.81"/>
    <n v="1644"/>
    <x v="528"/>
    <x v="2"/>
    <x v="2"/>
    <x v="1"/>
    <x v="2"/>
    <x v="4"/>
    <x v="582"/>
    <n v="0.65"/>
    <x v="0"/>
    <x v="2"/>
    <x v="7"/>
    <x v="430"/>
    <n v="77546"/>
    <x v="110"/>
    <d v="2015-06-16T00:00:00"/>
    <x v="879"/>
    <n v="1"/>
    <n v="100.79"/>
    <n v="87342"/>
  </r>
  <r>
    <n v="24265"/>
    <x v="1"/>
    <n v="0.06"/>
    <n v="3.29"/>
    <n v="1.35"/>
    <n v="1646"/>
    <x v="529"/>
    <x v="2"/>
    <x v="2"/>
    <x v="0"/>
    <x v="3"/>
    <x v="0"/>
    <x v="93"/>
    <n v="0.4"/>
    <x v="0"/>
    <x v="1"/>
    <x v="4"/>
    <x v="431"/>
    <n v="11714"/>
    <x v="24"/>
    <d v="2015-03-17T00:00:00"/>
    <x v="880"/>
    <n v="11"/>
    <n v="35.97"/>
    <n v="90932"/>
  </r>
  <r>
    <n v="21947"/>
    <x v="2"/>
    <n v="0.08"/>
    <n v="46.89"/>
    <n v="5.0999999999999996"/>
    <n v="1648"/>
    <x v="530"/>
    <x v="2"/>
    <x v="0"/>
    <x v="0"/>
    <x v="15"/>
    <x v="4"/>
    <x v="480"/>
    <n v="0.46"/>
    <x v="0"/>
    <x v="2"/>
    <x v="12"/>
    <x v="432"/>
    <n v="60098"/>
    <x v="78"/>
    <d v="2015-03-27T00:00:00"/>
    <x v="881"/>
    <n v="17"/>
    <n v="735.7"/>
    <n v="91043"/>
  </r>
  <r>
    <n v="21948"/>
    <x v="2"/>
    <n v="0.05"/>
    <n v="12.98"/>
    <n v="3.14"/>
    <n v="1648"/>
    <x v="530"/>
    <x v="2"/>
    <x v="0"/>
    <x v="0"/>
    <x v="12"/>
    <x v="2"/>
    <x v="47"/>
    <n v="0.6"/>
    <x v="0"/>
    <x v="2"/>
    <x v="12"/>
    <x v="432"/>
    <n v="60098"/>
    <x v="78"/>
    <d v="2015-03-25T00:00:00"/>
    <x v="882"/>
    <n v="18"/>
    <n v="225.59"/>
    <n v="91043"/>
  </r>
  <r>
    <n v="20603"/>
    <x v="2"/>
    <n v="0.03"/>
    <n v="48.58"/>
    <n v="3.99"/>
    <n v="1649"/>
    <x v="531"/>
    <x v="0"/>
    <x v="0"/>
    <x v="0"/>
    <x v="15"/>
    <x v="3"/>
    <x v="583"/>
    <n v="0.56000000000000005"/>
    <x v="0"/>
    <x v="1"/>
    <x v="4"/>
    <x v="416"/>
    <n v="11598"/>
    <x v="152"/>
    <d v="2015-02-26T00:00:00"/>
    <x v="883"/>
    <n v="3"/>
    <n v="145.12"/>
    <n v="91041"/>
  </r>
  <r>
    <n v="24016"/>
    <x v="0"/>
    <n v="0.05"/>
    <n v="6.48"/>
    <n v="2.74"/>
    <n v="1650"/>
    <x v="532"/>
    <x v="2"/>
    <x v="0"/>
    <x v="2"/>
    <x v="13"/>
    <x v="2"/>
    <x v="584"/>
    <n v="0.71"/>
    <x v="0"/>
    <x v="3"/>
    <x v="24"/>
    <x v="433"/>
    <n v="27203"/>
    <x v="19"/>
    <d v="2015-05-09T00:00:00"/>
    <x v="884"/>
    <n v="15"/>
    <n v="94.27"/>
    <n v="91042"/>
  </r>
  <r>
    <n v="24017"/>
    <x v="0"/>
    <n v="0.09"/>
    <n v="12.53"/>
    <n v="0.5"/>
    <n v="1650"/>
    <x v="532"/>
    <x v="2"/>
    <x v="0"/>
    <x v="0"/>
    <x v="9"/>
    <x v="3"/>
    <x v="585"/>
    <n v="0.38"/>
    <x v="0"/>
    <x v="3"/>
    <x v="24"/>
    <x v="433"/>
    <n v="27203"/>
    <x v="19"/>
    <d v="2015-05-10T00:00:00"/>
    <x v="885"/>
    <n v="7"/>
    <n v="82.21"/>
    <n v="91042"/>
  </r>
  <r>
    <n v="24019"/>
    <x v="0"/>
    <n v="0.08"/>
    <n v="65.989999999999995"/>
    <n v="8.99"/>
    <n v="1650"/>
    <x v="532"/>
    <x v="0"/>
    <x v="0"/>
    <x v="2"/>
    <x v="5"/>
    <x v="3"/>
    <x v="586"/>
    <n v="0.55000000000000004"/>
    <x v="0"/>
    <x v="3"/>
    <x v="24"/>
    <x v="433"/>
    <n v="27203"/>
    <x v="19"/>
    <d v="2015-05-11T00:00:00"/>
    <x v="886"/>
    <n v="8"/>
    <n v="417.47"/>
    <n v="91042"/>
  </r>
  <r>
    <n v="19251"/>
    <x v="1"/>
    <n v="0"/>
    <n v="101.41"/>
    <n v="35"/>
    <n v="1653"/>
    <x v="533"/>
    <x v="0"/>
    <x v="0"/>
    <x v="0"/>
    <x v="10"/>
    <x v="6"/>
    <x v="308"/>
    <n v="0.82"/>
    <x v="0"/>
    <x v="0"/>
    <x v="1"/>
    <x v="434"/>
    <n v="91360"/>
    <x v="76"/>
    <d v="2015-01-25T00:00:00"/>
    <x v="887"/>
    <n v="10"/>
    <n v="1104.32"/>
    <n v="89885"/>
  </r>
  <r>
    <n v="19252"/>
    <x v="1"/>
    <n v="0.1"/>
    <n v="95.99"/>
    <n v="4.9000000000000004"/>
    <n v="1653"/>
    <x v="533"/>
    <x v="2"/>
    <x v="0"/>
    <x v="2"/>
    <x v="5"/>
    <x v="3"/>
    <x v="75"/>
    <n v="0.56000000000000005"/>
    <x v="0"/>
    <x v="0"/>
    <x v="1"/>
    <x v="434"/>
    <n v="91360"/>
    <x v="76"/>
    <d v="2015-01-25T00:00:00"/>
    <x v="888"/>
    <n v="2"/>
    <n v="149.80000000000001"/>
    <n v="89885"/>
  </r>
  <r>
    <n v="24187"/>
    <x v="0"/>
    <n v="0.1"/>
    <n v="3.6"/>
    <n v="2.2000000000000002"/>
    <n v="1665"/>
    <x v="534"/>
    <x v="2"/>
    <x v="3"/>
    <x v="0"/>
    <x v="7"/>
    <x v="0"/>
    <x v="587"/>
    <n v="0.39"/>
    <x v="0"/>
    <x v="0"/>
    <x v="1"/>
    <x v="435"/>
    <n v="92653"/>
    <x v="115"/>
    <d v="2015-02-27T00:00:00"/>
    <x v="889"/>
    <n v="2"/>
    <n v="6.97"/>
    <n v="90678"/>
  </r>
  <r>
    <n v="21491"/>
    <x v="4"/>
    <n v="0.03"/>
    <n v="35.409999999999997"/>
    <n v="1.99"/>
    <n v="1670"/>
    <x v="535"/>
    <x v="2"/>
    <x v="2"/>
    <x v="2"/>
    <x v="13"/>
    <x v="2"/>
    <x v="588"/>
    <n v="0.43"/>
    <x v="0"/>
    <x v="3"/>
    <x v="8"/>
    <x v="410"/>
    <n v="24060"/>
    <x v="158"/>
    <d v="2015-04-26T00:00:00"/>
    <x v="890"/>
    <n v="10"/>
    <n v="367.52"/>
    <n v="86722"/>
  </r>
  <r>
    <n v="21492"/>
    <x v="4"/>
    <n v="0"/>
    <n v="142.86000000000001"/>
    <n v="19.989999999999998"/>
    <n v="1670"/>
    <x v="535"/>
    <x v="2"/>
    <x v="2"/>
    <x v="0"/>
    <x v="10"/>
    <x v="3"/>
    <x v="589"/>
    <n v="0.56000000000000005"/>
    <x v="0"/>
    <x v="3"/>
    <x v="8"/>
    <x v="410"/>
    <n v="24060"/>
    <x v="158"/>
    <d v="2015-05-03T00:00:00"/>
    <x v="891"/>
    <n v="11"/>
    <n v="1576.35"/>
    <n v="86722"/>
  </r>
  <r>
    <n v="23578"/>
    <x v="4"/>
    <n v="0.1"/>
    <n v="4.13"/>
    <n v="0.99"/>
    <n v="1671"/>
    <x v="536"/>
    <x v="2"/>
    <x v="2"/>
    <x v="0"/>
    <x v="9"/>
    <x v="3"/>
    <x v="508"/>
    <n v="0.39"/>
    <x v="0"/>
    <x v="3"/>
    <x v="8"/>
    <x v="436"/>
    <n v="22015"/>
    <x v="170"/>
    <d v="2015-02-13T00:00:00"/>
    <x v="892"/>
    <n v="13"/>
    <n v="52.16"/>
    <n v="86724"/>
  </r>
  <r>
    <n v="22007"/>
    <x v="2"/>
    <n v="0.03"/>
    <n v="223.98"/>
    <n v="15.01"/>
    <n v="1671"/>
    <x v="536"/>
    <x v="2"/>
    <x v="2"/>
    <x v="0"/>
    <x v="8"/>
    <x v="3"/>
    <x v="590"/>
    <n v="0.38"/>
    <x v="0"/>
    <x v="3"/>
    <x v="8"/>
    <x v="436"/>
    <n v="22015"/>
    <x v="3"/>
    <d v="2015-05-13T00:00:00"/>
    <x v="893"/>
    <n v="21"/>
    <n v="4881.84"/>
    <n v="86725"/>
  </r>
  <r>
    <n v="25066"/>
    <x v="4"/>
    <n v="0.02"/>
    <n v="284.98"/>
    <n v="69.55"/>
    <n v="1672"/>
    <x v="537"/>
    <x v="1"/>
    <x v="2"/>
    <x v="1"/>
    <x v="1"/>
    <x v="1"/>
    <x v="391"/>
    <n v="0.6"/>
    <x v="0"/>
    <x v="3"/>
    <x v="8"/>
    <x v="437"/>
    <n v="22901"/>
    <x v="31"/>
    <d v="2015-06-12T00:00:00"/>
    <x v="894"/>
    <n v="3"/>
    <n v="926.3"/>
    <n v="86723"/>
  </r>
  <r>
    <n v="25067"/>
    <x v="4"/>
    <n v="0.08"/>
    <n v="55.48"/>
    <n v="14.3"/>
    <n v="1672"/>
    <x v="537"/>
    <x v="2"/>
    <x v="2"/>
    <x v="0"/>
    <x v="7"/>
    <x v="3"/>
    <x v="14"/>
    <n v="0.37"/>
    <x v="0"/>
    <x v="3"/>
    <x v="8"/>
    <x v="437"/>
    <n v="22901"/>
    <x v="31"/>
    <d v="2015-06-09T00:00:00"/>
    <x v="895"/>
    <n v="17"/>
    <n v="942.53"/>
    <n v="86723"/>
  </r>
  <r>
    <n v="18150"/>
    <x v="3"/>
    <n v="7.0000000000000007E-2"/>
    <n v="13.73"/>
    <n v="6.85"/>
    <n v="1679"/>
    <x v="538"/>
    <x v="2"/>
    <x v="3"/>
    <x v="1"/>
    <x v="2"/>
    <x v="0"/>
    <x v="226"/>
    <n v="0.54"/>
    <x v="0"/>
    <x v="1"/>
    <x v="10"/>
    <x v="438"/>
    <n v="45324"/>
    <x v="80"/>
    <d v="2015-03-21T00:00:00"/>
    <x v="896"/>
    <n v="21"/>
    <n v="276.64"/>
    <n v="86646"/>
  </r>
  <r>
    <n v="23524"/>
    <x v="4"/>
    <n v="0.09"/>
    <n v="30.98"/>
    <n v="19.510000000000002"/>
    <n v="1680"/>
    <x v="539"/>
    <x v="2"/>
    <x v="3"/>
    <x v="0"/>
    <x v="4"/>
    <x v="3"/>
    <x v="591"/>
    <n v="0.36"/>
    <x v="0"/>
    <x v="1"/>
    <x v="10"/>
    <x v="79"/>
    <n v="45014"/>
    <x v="32"/>
    <d v="2015-05-05T00:00:00"/>
    <x v="897"/>
    <n v="18"/>
    <n v="514.62"/>
    <n v="86645"/>
  </r>
  <r>
    <n v="23525"/>
    <x v="4"/>
    <n v="0.03"/>
    <n v="49.34"/>
    <n v="10.25"/>
    <n v="1680"/>
    <x v="539"/>
    <x v="2"/>
    <x v="3"/>
    <x v="1"/>
    <x v="2"/>
    <x v="6"/>
    <x v="592"/>
    <n v="0.56999999999999995"/>
    <x v="0"/>
    <x v="1"/>
    <x v="10"/>
    <x v="79"/>
    <n v="45014"/>
    <x v="32"/>
    <d v="2015-05-05T00:00:00"/>
    <x v="898"/>
    <n v="17"/>
    <n v="817.32"/>
    <n v="86645"/>
  </r>
  <r>
    <n v="1976"/>
    <x v="1"/>
    <n v="0.04"/>
    <n v="6.28"/>
    <n v="5.41"/>
    <n v="1682"/>
    <x v="540"/>
    <x v="2"/>
    <x v="3"/>
    <x v="1"/>
    <x v="2"/>
    <x v="3"/>
    <x v="593"/>
    <n v="0.53"/>
    <x v="0"/>
    <x v="2"/>
    <x v="12"/>
    <x v="25"/>
    <n v="60611"/>
    <x v="79"/>
    <d v="2015-02-16T00:00:00"/>
    <x v="899"/>
    <n v="43"/>
    <n v="284.48"/>
    <n v="14115"/>
  </r>
  <r>
    <n v="5358"/>
    <x v="1"/>
    <n v="0.08"/>
    <n v="4.9800000000000004"/>
    <n v="4.7"/>
    <n v="1682"/>
    <x v="540"/>
    <x v="2"/>
    <x v="3"/>
    <x v="0"/>
    <x v="7"/>
    <x v="3"/>
    <x v="594"/>
    <n v="0.38"/>
    <x v="0"/>
    <x v="2"/>
    <x v="12"/>
    <x v="25"/>
    <n v="60611"/>
    <x v="88"/>
    <d v="2015-03-15T00:00:00"/>
    <x v="900"/>
    <n v="47"/>
    <n v="225.98"/>
    <n v="38080"/>
  </r>
  <r>
    <n v="19976"/>
    <x v="1"/>
    <n v="0.04"/>
    <n v="6.28"/>
    <n v="5.41"/>
    <n v="1683"/>
    <x v="541"/>
    <x v="2"/>
    <x v="3"/>
    <x v="1"/>
    <x v="2"/>
    <x v="3"/>
    <x v="593"/>
    <n v="0.53"/>
    <x v="0"/>
    <x v="2"/>
    <x v="7"/>
    <x v="439"/>
    <n v="77301"/>
    <x v="79"/>
    <d v="2015-02-16T00:00:00"/>
    <x v="901"/>
    <n v="11"/>
    <n v="72.77"/>
    <n v="90612"/>
  </r>
  <r>
    <n v="23358"/>
    <x v="1"/>
    <n v="0.08"/>
    <n v="4.9800000000000004"/>
    <n v="4.7"/>
    <n v="1683"/>
    <x v="541"/>
    <x v="2"/>
    <x v="3"/>
    <x v="0"/>
    <x v="7"/>
    <x v="3"/>
    <x v="594"/>
    <n v="0.38"/>
    <x v="0"/>
    <x v="2"/>
    <x v="7"/>
    <x v="439"/>
    <n v="77301"/>
    <x v="88"/>
    <d v="2015-03-15T00:00:00"/>
    <x v="900"/>
    <n v="12"/>
    <n v="57.7"/>
    <n v="90613"/>
  </r>
  <r>
    <n v="19751"/>
    <x v="4"/>
    <n v="0.08"/>
    <n v="2.08"/>
    <n v="5.33"/>
    <n v="1686"/>
    <x v="542"/>
    <x v="2"/>
    <x v="0"/>
    <x v="1"/>
    <x v="2"/>
    <x v="3"/>
    <x v="261"/>
    <n v="0.43"/>
    <x v="0"/>
    <x v="2"/>
    <x v="12"/>
    <x v="440"/>
    <n v="60123"/>
    <x v="95"/>
    <d v="2015-03-10T00:00:00"/>
    <x v="902"/>
    <n v="9"/>
    <n v="19.670000000000002"/>
    <n v="86973"/>
  </r>
  <r>
    <n v="25690"/>
    <x v="0"/>
    <n v="0"/>
    <n v="48.91"/>
    <n v="35"/>
    <n v="1689"/>
    <x v="543"/>
    <x v="2"/>
    <x v="0"/>
    <x v="0"/>
    <x v="10"/>
    <x v="6"/>
    <x v="595"/>
    <n v="0.83"/>
    <x v="0"/>
    <x v="2"/>
    <x v="38"/>
    <x v="421"/>
    <n v="46322"/>
    <x v="120"/>
    <d v="2015-03-25T00:00:00"/>
    <x v="903"/>
    <n v="10"/>
    <n v="514.79"/>
    <n v="91077"/>
  </r>
  <r>
    <n v="22798"/>
    <x v="4"/>
    <n v="0.05"/>
    <n v="115.99"/>
    <n v="5.26"/>
    <n v="1690"/>
    <x v="544"/>
    <x v="2"/>
    <x v="0"/>
    <x v="2"/>
    <x v="5"/>
    <x v="3"/>
    <x v="596"/>
    <n v="0.56999999999999995"/>
    <x v="0"/>
    <x v="1"/>
    <x v="19"/>
    <x v="441"/>
    <n v="17112"/>
    <x v="76"/>
    <d v="2015-01-28T00:00:00"/>
    <x v="904"/>
    <n v="9"/>
    <n v="893.53"/>
    <n v="91076"/>
  </r>
  <r>
    <n v="23626"/>
    <x v="1"/>
    <n v="0.09"/>
    <n v="95.43"/>
    <n v="19.989999999999998"/>
    <n v="1690"/>
    <x v="544"/>
    <x v="2"/>
    <x v="0"/>
    <x v="0"/>
    <x v="10"/>
    <x v="3"/>
    <x v="303"/>
    <n v="0.79"/>
    <x v="0"/>
    <x v="1"/>
    <x v="19"/>
    <x v="441"/>
    <n v="17112"/>
    <x v="144"/>
    <d v="2015-06-02T00:00:00"/>
    <x v="905"/>
    <n v="22"/>
    <n v="2053.6"/>
    <n v="91078"/>
  </r>
  <r>
    <n v="19481"/>
    <x v="1"/>
    <n v="0"/>
    <n v="6.84"/>
    <n v="8.3699999999999992"/>
    <n v="1692"/>
    <x v="545"/>
    <x v="2"/>
    <x v="3"/>
    <x v="0"/>
    <x v="12"/>
    <x v="2"/>
    <x v="597"/>
    <n v="0.57999999999999996"/>
    <x v="0"/>
    <x v="2"/>
    <x v="13"/>
    <x v="63"/>
    <n v="67114"/>
    <x v="172"/>
    <d v="2015-01-24T00:00:00"/>
    <x v="906"/>
    <n v="5"/>
    <n v="37.89"/>
    <n v="90189"/>
  </r>
  <r>
    <n v="19482"/>
    <x v="1"/>
    <n v="7.0000000000000007E-2"/>
    <n v="30.98"/>
    <n v="5.76"/>
    <n v="1693"/>
    <x v="546"/>
    <x v="2"/>
    <x v="3"/>
    <x v="0"/>
    <x v="7"/>
    <x v="3"/>
    <x v="479"/>
    <n v="0.4"/>
    <x v="0"/>
    <x v="3"/>
    <x v="8"/>
    <x v="442"/>
    <n v="20190"/>
    <x v="172"/>
    <d v="2015-01-25T00:00:00"/>
    <x v="907"/>
    <n v="11"/>
    <n v="343.79"/>
    <n v="90189"/>
  </r>
  <r>
    <n v="21262"/>
    <x v="4"/>
    <n v="0.01"/>
    <n v="15.67"/>
    <n v="1.39"/>
    <n v="1693"/>
    <x v="546"/>
    <x v="0"/>
    <x v="3"/>
    <x v="0"/>
    <x v="4"/>
    <x v="3"/>
    <x v="598"/>
    <n v="0.38"/>
    <x v="0"/>
    <x v="3"/>
    <x v="8"/>
    <x v="442"/>
    <n v="20190"/>
    <x v="171"/>
    <d v="2015-05-11T00:00:00"/>
    <x v="908"/>
    <n v="11"/>
    <n v="188.09"/>
    <n v="90190"/>
  </r>
  <r>
    <n v="24941"/>
    <x v="3"/>
    <n v="0"/>
    <n v="13.43"/>
    <n v="5.5"/>
    <n v="1697"/>
    <x v="547"/>
    <x v="2"/>
    <x v="1"/>
    <x v="0"/>
    <x v="10"/>
    <x v="3"/>
    <x v="599"/>
    <n v="0.56999999999999995"/>
    <x v="0"/>
    <x v="3"/>
    <x v="40"/>
    <x v="443"/>
    <n v="71901"/>
    <x v="59"/>
    <d v="2015-01-17T00:00:00"/>
    <x v="909"/>
    <n v="9"/>
    <n v="129.54"/>
    <n v="86338"/>
  </r>
  <r>
    <n v="18275"/>
    <x v="4"/>
    <n v="0.05"/>
    <n v="3.98"/>
    <n v="5.26"/>
    <n v="1699"/>
    <x v="548"/>
    <x v="2"/>
    <x v="2"/>
    <x v="0"/>
    <x v="8"/>
    <x v="3"/>
    <x v="600"/>
    <n v="0.38"/>
    <x v="0"/>
    <x v="1"/>
    <x v="19"/>
    <x v="444"/>
    <n v="19057"/>
    <x v="78"/>
    <d v="2015-03-29T00:00:00"/>
    <x v="910"/>
    <n v="12"/>
    <n v="49.44"/>
    <n v="87345"/>
  </r>
  <r>
    <n v="18276"/>
    <x v="4"/>
    <n v="0.01"/>
    <n v="6.48"/>
    <n v="5.4"/>
    <n v="1699"/>
    <x v="548"/>
    <x v="2"/>
    <x v="2"/>
    <x v="0"/>
    <x v="7"/>
    <x v="3"/>
    <x v="601"/>
    <n v="0.37"/>
    <x v="0"/>
    <x v="1"/>
    <x v="19"/>
    <x v="444"/>
    <n v="19057"/>
    <x v="78"/>
    <d v="2015-03-25T00:00:00"/>
    <x v="911"/>
    <n v="2"/>
    <n v="14.29"/>
    <n v="87345"/>
  </r>
  <r>
    <n v="24158"/>
    <x v="3"/>
    <n v="0.05"/>
    <n v="14.81"/>
    <n v="13.32"/>
    <n v="1702"/>
    <x v="549"/>
    <x v="2"/>
    <x v="1"/>
    <x v="0"/>
    <x v="15"/>
    <x v="3"/>
    <x v="296"/>
    <n v="0.43"/>
    <x v="0"/>
    <x v="3"/>
    <x v="37"/>
    <x v="445"/>
    <n v="39301"/>
    <x v="60"/>
    <d v="2015-01-20T00:00:00"/>
    <x v="912"/>
    <n v="3"/>
    <n v="45.28"/>
    <n v="90473"/>
  </r>
  <r>
    <n v="24159"/>
    <x v="3"/>
    <n v="0.05"/>
    <n v="4.2"/>
    <n v="2.2599999999999998"/>
    <n v="1702"/>
    <x v="549"/>
    <x v="0"/>
    <x v="1"/>
    <x v="0"/>
    <x v="7"/>
    <x v="0"/>
    <x v="445"/>
    <n v="0.36"/>
    <x v="0"/>
    <x v="3"/>
    <x v="37"/>
    <x v="445"/>
    <n v="39301"/>
    <x v="60"/>
    <d v="2015-01-19T00:00:00"/>
    <x v="913"/>
    <n v="3"/>
    <n v="13.57"/>
    <n v="90473"/>
  </r>
  <r>
    <n v="25761"/>
    <x v="3"/>
    <n v="0.05"/>
    <n v="5.68"/>
    <n v="1.39"/>
    <n v="1708"/>
    <x v="550"/>
    <x v="2"/>
    <x v="2"/>
    <x v="0"/>
    <x v="4"/>
    <x v="3"/>
    <x v="360"/>
    <n v="0.38"/>
    <x v="0"/>
    <x v="1"/>
    <x v="10"/>
    <x v="446"/>
    <n v="44118"/>
    <x v="60"/>
    <d v="2015-01-18T00:00:00"/>
    <x v="914"/>
    <n v="10"/>
    <n v="55.48"/>
    <n v="88781"/>
  </r>
  <r>
    <n v="26037"/>
    <x v="1"/>
    <n v="0.03"/>
    <n v="205.99"/>
    <n v="3"/>
    <n v="1708"/>
    <x v="550"/>
    <x v="2"/>
    <x v="2"/>
    <x v="2"/>
    <x v="5"/>
    <x v="3"/>
    <x v="58"/>
    <n v="0.57999999999999996"/>
    <x v="0"/>
    <x v="1"/>
    <x v="10"/>
    <x v="446"/>
    <n v="44118"/>
    <x v="135"/>
    <d v="2015-05-21T00:00:00"/>
    <x v="915"/>
    <n v="29"/>
    <n v="5319.35"/>
    <n v="88784"/>
  </r>
  <r>
    <n v="23822"/>
    <x v="1"/>
    <n v="0.01"/>
    <n v="14.28"/>
    <n v="2.99"/>
    <n v="1709"/>
    <x v="551"/>
    <x v="2"/>
    <x v="3"/>
    <x v="0"/>
    <x v="8"/>
    <x v="3"/>
    <x v="602"/>
    <n v="0.39"/>
    <x v="0"/>
    <x v="1"/>
    <x v="19"/>
    <x v="447"/>
    <n v="19464"/>
    <x v="72"/>
    <d v="2015-01-22T00:00:00"/>
    <x v="916"/>
    <n v="2"/>
    <n v="30.44"/>
    <n v="88782"/>
  </r>
  <r>
    <n v="24577"/>
    <x v="3"/>
    <n v="0.04"/>
    <n v="95.43"/>
    <n v="19.989999999999998"/>
    <n v="1709"/>
    <x v="551"/>
    <x v="2"/>
    <x v="2"/>
    <x v="0"/>
    <x v="10"/>
    <x v="3"/>
    <x v="303"/>
    <n v="0.79"/>
    <x v="0"/>
    <x v="1"/>
    <x v="19"/>
    <x v="447"/>
    <n v="19464"/>
    <x v="16"/>
    <d v="2015-05-12T00:00:00"/>
    <x v="917"/>
    <n v="33"/>
    <n v="3251.76"/>
    <n v="88783"/>
  </r>
  <r>
    <n v="19287"/>
    <x v="1"/>
    <n v="7.0000000000000007E-2"/>
    <n v="7.59"/>
    <n v="4"/>
    <n v="1711"/>
    <x v="552"/>
    <x v="2"/>
    <x v="0"/>
    <x v="1"/>
    <x v="2"/>
    <x v="0"/>
    <x v="150"/>
    <n v="0.42"/>
    <x v="0"/>
    <x v="3"/>
    <x v="29"/>
    <x v="448"/>
    <n v="30062"/>
    <x v="44"/>
    <d v="2015-03-18T00:00:00"/>
    <x v="918"/>
    <n v="3"/>
    <n v="22.48"/>
    <n v="87747"/>
  </r>
  <r>
    <n v="21655"/>
    <x v="4"/>
    <n v="0.03"/>
    <n v="11.66"/>
    <n v="7.95"/>
    <n v="1712"/>
    <x v="553"/>
    <x v="2"/>
    <x v="0"/>
    <x v="0"/>
    <x v="0"/>
    <x v="2"/>
    <x v="603"/>
    <n v="0.57999999999999996"/>
    <x v="0"/>
    <x v="3"/>
    <x v="29"/>
    <x v="449"/>
    <n v="30907"/>
    <x v="86"/>
    <d v="2015-04-20T00:00:00"/>
    <x v="919"/>
    <n v="22"/>
    <n v="267.32"/>
    <n v="87749"/>
  </r>
  <r>
    <n v="25078"/>
    <x v="0"/>
    <n v="0.01"/>
    <n v="23.99"/>
    <n v="6.3"/>
    <n v="1713"/>
    <x v="554"/>
    <x v="2"/>
    <x v="0"/>
    <x v="2"/>
    <x v="6"/>
    <x v="4"/>
    <x v="604"/>
    <n v="0.38"/>
    <x v="0"/>
    <x v="3"/>
    <x v="29"/>
    <x v="450"/>
    <n v="30265"/>
    <x v="124"/>
    <d v="2015-05-31T00:00:00"/>
    <x v="920"/>
    <n v="11"/>
    <n v="284.39"/>
    <n v="87748"/>
  </r>
  <r>
    <n v="19884"/>
    <x v="4"/>
    <n v="0.01"/>
    <n v="300.98"/>
    <n v="64.73"/>
    <n v="1718"/>
    <x v="555"/>
    <x v="1"/>
    <x v="3"/>
    <x v="1"/>
    <x v="1"/>
    <x v="1"/>
    <x v="527"/>
    <n v="0.56000000000000005"/>
    <x v="0"/>
    <x v="3"/>
    <x v="24"/>
    <x v="451"/>
    <n v="27529"/>
    <x v="129"/>
    <d v="2015-03-15T00:00:00"/>
    <x v="921"/>
    <n v="3"/>
    <n v="974.14"/>
    <n v="90621"/>
  </r>
  <r>
    <n v="20619"/>
    <x v="3"/>
    <n v="0.06"/>
    <n v="16.48"/>
    <n v="1.99"/>
    <n v="1719"/>
    <x v="556"/>
    <x v="2"/>
    <x v="0"/>
    <x v="2"/>
    <x v="13"/>
    <x v="2"/>
    <x v="524"/>
    <n v="0.42"/>
    <x v="0"/>
    <x v="3"/>
    <x v="43"/>
    <x v="452"/>
    <n v="35473"/>
    <x v="60"/>
    <d v="2015-01-19T00:00:00"/>
    <x v="922"/>
    <n v="8"/>
    <n v="128.13"/>
    <n v="90786"/>
  </r>
  <r>
    <n v="22596"/>
    <x v="0"/>
    <n v="0.04"/>
    <n v="12.44"/>
    <n v="6.27"/>
    <n v="1721"/>
    <x v="557"/>
    <x v="2"/>
    <x v="0"/>
    <x v="0"/>
    <x v="10"/>
    <x v="4"/>
    <x v="605"/>
    <n v="0.56999999999999995"/>
    <x v="0"/>
    <x v="3"/>
    <x v="40"/>
    <x v="453"/>
    <n v="72401"/>
    <x v="41"/>
    <d v="2015-05-17T00:00:00"/>
    <x v="923"/>
    <n v="37"/>
    <n v="464.94"/>
    <n v="90787"/>
  </r>
  <r>
    <n v="5670"/>
    <x v="4"/>
    <n v="0.1"/>
    <n v="49.99"/>
    <n v="19.989999999999998"/>
    <n v="1723"/>
    <x v="558"/>
    <x v="0"/>
    <x v="0"/>
    <x v="2"/>
    <x v="13"/>
    <x v="3"/>
    <x v="606"/>
    <n v="0.45"/>
    <x v="0"/>
    <x v="0"/>
    <x v="1"/>
    <x v="454"/>
    <n v="92037"/>
    <x v="70"/>
    <d v="2015-02-05T00:00:00"/>
    <x v="924"/>
    <n v="46"/>
    <n v="2188.06"/>
    <n v="40101"/>
  </r>
  <r>
    <n v="6212"/>
    <x v="3"/>
    <n v="0.05"/>
    <n v="6.68"/>
    <n v="5.66"/>
    <n v="1723"/>
    <x v="558"/>
    <x v="2"/>
    <x v="0"/>
    <x v="0"/>
    <x v="7"/>
    <x v="3"/>
    <x v="424"/>
    <n v="0.37"/>
    <x v="0"/>
    <x v="0"/>
    <x v="1"/>
    <x v="454"/>
    <n v="92037"/>
    <x v="131"/>
    <d v="2015-02-09T00:00:00"/>
    <x v="925"/>
    <n v="46"/>
    <n v="320.93"/>
    <n v="44002"/>
  </r>
  <r>
    <n v="6213"/>
    <x v="3"/>
    <n v="0.03"/>
    <n v="17.7"/>
    <n v="9.4700000000000006"/>
    <n v="1723"/>
    <x v="558"/>
    <x v="2"/>
    <x v="0"/>
    <x v="0"/>
    <x v="10"/>
    <x v="3"/>
    <x v="552"/>
    <n v="0.59"/>
    <x v="0"/>
    <x v="0"/>
    <x v="1"/>
    <x v="454"/>
    <n v="92037"/>
    <x v="131"/>
    <d v="2015-02-07T00:00:00"/>
    <x v="926"/>
    <n v="14"/>
    <n v="261.85000000000002"/>
    <n v="44002"/>
  </r>
  <r>
    <n v="4596"/>
    <x v="0"/>
    <n v="0.04"/>
    <n v="12.44"/>
    <n v="6.27"/>
    <n v="1723"/>
    <x v="558"/>
    <x v="2"/>
    <x v="0"/>
    <x v="0"/>
    <x v="10"/>
    <x v="4"/>
    <x v="605"/>
    <n v="0.56999999999999995"/>
    <x v="0"/>
    <x v="0"/>
    <x v="1"/>
    <x v="454"/>
    <n v="92037"/>
    <x v="41"/>
    <d v="2015-05-17T00:00:00"/>
    <x v="927"/>
    <n v="146"/>
    <n v="1834.61"/>
    <n v="32710"/>
  </r>
  <r>
    <n v="18244"/>
    <x v="0"/>
    <n v="0.05"/>
    <n v="35.99"/>
    <n v="1.1000000000000001"/>
    <n v="1725"/>
    <x v="559"/>
    <x v="2"/>
    <x v="0"/>
    <x v="2"/>
    <x v="5"/>
    <x v="3"/>
    <x v="337"/>
    <n v="0.55000000000000004"/>
    <x v="0"/>
    <x v="1"/>
    <x v="10"/>
    <x v="455"/>
    <n v="43026"/>
    <x v="163"/>
    <d v="2015-05-09T00:00:00"/>
    <x v="928"/>
    <n v="9"/>
    <n v="261.56"/>
    <n v="87193"/>
  </r>
  <r>
    <n v="24872"/>
    <x v="1"/>
    <n v="0.1"/>
    <n v="14.98"/>
    <n v="7.69"/>
    <n v="1727"/>
    <x v="560"/>
    <x v="0"/>
    <x v="2"/>
    <x v="0"/>
    <x v="10"/>
    <x v="3"/>
    <x v="607"/>
    <n v="0.56999999999999995"/>
    <x v="0"/>
    <x v="1"/>
    <x v="10"/>
    <x v="456"/>
    <n v="44240"/>
    <x v="72"/>
    <d v="2015-01-23T00:00:00"/>
    <x v="929"/>
    <n v="8"/>
    <n v="114.81"/>
    <n v="87194"/>
  </r>
  <r>
    <n v="26066"/>
    <x v="0"/>
    <n v="0.04"/>
    <n v="55.48"/>
    <n v="6.79"/>
    <n v="1728"/>
    <x v="561"/>
    <x v="2"/>
    <x v="0"/>
    <x v="0"/>
    <x v="7"/>
    <x v="3"/>
    <x v="581"/>
    <n v="0.37"/>
    <x v="0"/>
    <x v="1"/>
    <x v="10"/>
    <x v="457"/>
    <n v="45429"/>
    <x v="11"/>
    <d v="2015-02-24T00:00:00"/>
    <x v="930"/>
    <n v="10"/>
    <n v="546.21"/>
    <n v="87195"/>
  </r>
  <r>
    <n v="24545"/>
    <x v="0"/>
    <n v="0.1"/>
    <n v="65.989999999999995"/>
    <n v="3.99"/>
    <n v="1730"/>
    <x v="562"/>
    <x v="0"/>
    <x v="2"/>
    <x v="2"/>
    <x v="5"/>
    <x v="3"/>
    <x v="382"/>
    <n v="0.59"/>
    <x v="0"/>
    <x v="0"/>
    <x v="44"/>
    <x v="458"/>
    <n v="83843"/>
    <x v="74"/>
    <d v="2015-04-09T00:00:00"/>
    <x v="931"/>
    <n v="5"/>
    <n v="272.86"/>
    <n v="90653"/>
  </r>
  <r>
    <n v="566"/>
    <x v="1"/>
    <n v="0.02"/>
    <n v="60.98"/>
    <n v="49"/>
    <n v="1733"/>
    <x v="563"/>
    <x v="2"/>
    <x v="2"/>
    <x v="0"/>
    <x v="15"/>
    <x v="6"/>
    <x v="557"/>
    <n v="0.59"/>
    <x v="0"/>
    <x v="1"/>
    <x v="41"/>
    <x v="246"/>
    <n v="20012"/>
    <x v="36"/>
    <d v="2015-04-06T00:00:00"/>
    <x v="932"/>
    <n v="34"/>
    <n v="2119.54"/>
    <n v="3841"/>
  </r>
  <r>
    <n v="567"/>
    <x v="1"/>
    <n v="0.02"/>
    <n v="1270.99"/>
    <n v="19.989999999999998"/>
    <n v="1733"/>
    <x v="563"/>
    <x v="2"/>
    <x v="2"/>
    <x v="0"/>
    <x v="8"/>
    <x v="3"/>
    <x v="219"/>
    <n v="0.35"/>
    <x v="0"/>
    <x v="1"/>
    <x v="41"/>
    <x v="246"/>
    <n v="20012"/>
    <x v="36"/>
    <d v="2015-04-06T00:00:00"/>
    <x v="933"/>
    <n v="36"/>
    <n v="45737.33"/>
    <n v="3841"/>
  </r>
  <r>
    <n v="8389"/>
    <x v="0"/>
    <n v="0.02"/>
    <n v="30.98"/>
    <n v="17.079999999999998"/>
    <n v="1733"/>
    <x v="563"/>
    <x v="2"/>
    <x v="2"/>
    <x v="0"/>
    <x v="7"/>
    <x v="3"/>
    <x v="608"/>
    <n v="0.4"/>
    <x v="0"/>
    <x v="1"/>
    <x v="41"/>
    <x v="246"/>
    <n v="20012"/>
    <x v="162"/>
    <d v="2015-06-29T00:00:00"/>
    <x v="934"/>
    <n v="13"/>
    <n v="438.25"/>
    <n v="59937"/>
  </r>
  <r>
    <n v="18566"/>
    <x v="1"/>
    <n v="0.02"/>
    <n v="60.98"/>
    <n v="49"/>
    <n v="1734"/>
    <x v="564"/>
    <x v="2"/>
    <x v="2"/>
    <x v="0"/>
    <x v="15"/>
    <x v="6"/>
    <x v="557"/>
    <n v="0.59"/>
    <x v="0"/>
    <x v="1"/>
    <x v="4"/>
    <x v="459"/>
    <n v="10528"/>
    <x v="36"/>
    <d v="2015-04-06T00:00:00"/>
    <x v="935"/>
    <n v="9"/>
    <n v="561.05999999999995"/>
    <n v="88443"/>
  </r>
  <r>
    <n v="18567"/>
    <x v="1"/>
    <n v="0.02"/>
    <n v="1270.99"/>
    <n v="19.989999999999998"/>
    <n v="1734"/>
    <x v="564"/>
    <x v="2"/>
    <x v="2"/>
    <x v="0"/>
    <x v="8"/>
    <x v="3"/>
    <x v="219"/>
    <n v="0.35"/>
    <x v="0"/>
    <x v="1"/>
    <x v="4"/>
    <x v="459"/>
    <n v="10528"/>
    <x v="36"/>
    <d v="2015-04-06T00:00:00"/>
    <x v="936"/>
    <n v="9"/>
    <n v="11434.33"/>
    <n v="88443"/>
  </r>
  <r>
    <n v="18568"/>
    <x v="1"/>
    <n v="0.05"/>
    <n v="205.99"/>
    <n v="8.99"/>
    <n v="1734"/>
    <x v="564"/>
    <x v="0"/>
    <x v="2"/>
    <x v="2"/>
    <x v="5"/>
    <x v="3"/>
    <x v="545"/>
    <n v="0.6"/>
    <x v="0"/>
    <x v="1"/>
    <x v="4"/>
    <x v="459"/>
    <n v="10528"/>
    <x v="36"/>
    <d v="2015-04-06T00:00:00"/>
    <x v="937"/>
    <n v="19"/>
    <n v="3229.24"/>
    <n v="88443"/>
  </r>
  <r>
    <n v="26389"/>
    <x v="0"/>
    <n v="0.02"/>
    <n v="30.98"/>
    <n v="17.079999999999998"/>
    <n v="1735"/>
    <x v="565"/>
    <x v="2"/>
    <x v="2"/>
    <x v="0"/>
    <x v="7"/>
    <x v="3"/>
    <x v="608"/>
    <n v="0.4"/>
    <x v="0"/>
    <x v="1"/>
    <x v="4"/>
    <x v="460"/>
    <n v="11550"/>
    <x v="162"/>
    <d v="2015-06-29T00:00:00"/>
    <x v="938"/>
    <n v="3"/>
    <n v="101.13"/>
    <n v="88444"/>
  </r>
  <r>
    <n v="18012"/>
    <x v="1"/>
    <n v="0.09"/>
    <n v="30.93"/>
    <n v="3.92"/>
    <n v="1737"/>
    <x v="566"/>
    <x v="2"/>
    <x v="0"/>
    <x v="1"/>
    <x v="2"/>
    <x v="2"/>
    <x v="609"/>
    <n v="0.44"/>
    <x v="0"/>
    <x v="3"/>
    <x v="24"/>
    <x v="451"/>
    <n v="27529"/>
    <x v="26"/>
    <d v="2015-06-05T00:00:00"/>
    <x v="939"/>
    <n v="16"/>
    <n v="451.83"/>
    <n v="85866"/>
  </r>
  <r>
    <n v="18013"/>
    <x v="1"/>
    <n v="0.03"/>
    <n v="1.68"/>
    <n v="0.7"/>
    <n v="1737"/>
    <x v="566"/>
    <x v="0"/>
    <x v="0"/>
    <x v="0"/>
    <x v="0"/>
    <x v="0"/>
    <x v="610"/>
    <n v="0.6"/>
    <x v="0"/>
    <x v="3"/>
    <x v="24"/>
    <x v="451"/>
    <n v="27529"/>
    <x v="26"/>
    <d v="2015-06-05T00:00:00"/>
    <x v="940"/>
    <n v="11"/>
    <n v="20.239999999999998"/>
    <n v="85866"/>
  </r>
  <r>
    <n v="18306"/>
    <x v="3"/>
    <n v="0.08"/>
    <n v="175.99"/>
    <n v="4.99"/>
    <n v="1738"/>
    <x v="567"/>
    <x v="2"/>
    <x v="0"/>
    <x v="2"/>
    <x v="5"/>
    <x v="3"/>
    <x v="32"/>
    <n v="0.59"/>
    <x v="0"/>
    <x v="3"/>
    <x v="24"/>
    <x v="461"/>
    <n v="28052"/>
    <x v="145"/>
    <d v="2015-03-28T00:00:00"/>
    <x v="941"/>
    <n v="10"/>
    <n v="1486.34"/>
    <n v="85865"/>
  </r>
  <r>
    <n v="18804"/>
    <x v="4"/>
    <n v="0.04"/>
    <n v="35.44"/>
    <n v="19.989999999999998"/>
    <n v="1738"/>
    <x v="567"/>
    <x v="2"/>
    <x v="0"/>
    <x v="0"/>
    <x v="7"/>
    <x v="3"/>
    <x v="611"/>
    <n v="0.38"/>
    <x v="0"/>
    <x v="3"/>
    <x v="24"/>
    <x v="461"/>
    <n v="28052"/>
    <x v="110"/>
    <d v="2015-06-21T00:00:00"/>
    <x v="942"/>
    <n v="11"/>
    <n v="406.26"/>
    <n v="85868"/>
  </r>
  <r>
    <n v="22593"/>
    <x v="0"/>
    <n v="0.09"/>
    <n v="349.45"/>
    <n v="60"/>
    <n v="1739"/>
    <x v="568"/>
    <x v="1"/>
    <x v="0"/>
    <x v="1"/>
    <x v="11"/>
    <x v="1"/>
    <x v="356"/>
    <m/>
    <x v="0"/>
    <x v="3"/>
    <x v="24"/>
    <x v="462"/>
    <n v="27534"/>
    <x v="32"/>
    <d v="2015-05-04T00:00:00"/>
    <x v="943"/>
    <n v="17"/>
    <n v="5835.41"/>
    <n v="85867"/>
  </r>
  <r>
    <n v="20591"/>
    <x v="3"/>
    <n v="0"/>
    <n v="55.99"/>
    <n v="2.5"/>
    <n v="1743"/>
    <x v="569"/>
    <x v="2"/>
    <x v="3"/>
    <x v="2"/>
    <x v="5"/>
    <x v="2"/>
    <x v="612"/>
    <n v="0.83"/>
    <x v="0"/>
    <x v="2"/>
    <x v="7"/>
    <x v="430"/>
    <n v="77546"/>
    <x v="6"/>
    <d v="2015-02-14T00:00:00"/>
    <x v="944"/>
    <n v="1"/>
    <n v="52.1"/>
    <n v="91025"/>
  </r>
  <r>
    <n v="2571"/>
    <x v="1"/>
    <n v="0.02"/>
    <n v="4.13"/>
    <n v="6.89"/>
    <n v="1745"/>
    <x v="570"/>
    <x v="2"/>
    <x v="1"/>
    <x v="0"/>
    <x v="9"/>
    <x v="3"/>
    <x v="613"/>
    <n v="0.39"/>
    <x v="0"/>
    <x v="3"/>
    <x v="29"/>
    <x v="135"/>
    <n v="30305"/>
    <x v="85"/>
    <d v="2015-01-10T00:00:00"/>
    <x v="945"/>
    <n v="9"/>
    <n v="45.87"/>
    <n v="18561"/>
  </r>
  <r>
    <n v="1863"/>
    <x v="4"/>
    <n v="0.04"/>
    <n v="60.65"/>
    <n v="12.23"/>
    <n v="1745"/>
    <x v="570"/>
    <x v="2"/>
    <x v="1"/>
    <x v="1"/>
    <x v="2"/>
    <x v="4"/>
    <x v="614"/>
    <n v="0.64"/>
    <x v="0"/>
    <x v="3"/>
    <x v="29"/>
    <x v="135"/>
    <n v="30305"/>
    <x v="79"/>
    <d v="2015-02-16T00:00:00"/>
    <x v="946"/>
    <n v="4"/>
    <n v="256.77"/>
    <n v="13408"/>
  </r>
  <r>
    <n v="1692"/>
    <x v="0"/>
    <n v="0.04"/>
    <n v="124.49"/>
    <n v="51.94"/>
    <n v="1745"/>
    <x v="570"/>
    <x v="1"/>
    <x v="3"/>
    <x v="1"/>
    <x v="11"/>
    <x v="5"/>
    <x v="156"/>
    <n v="0.63"/>
    <x v="0"/>
    <x v="3"/>
    <x v="29"/>
    <x v="135"/>
    <n v="30305"/>
    <x v="20"/>
    <d v="2015-06-14T00:00:00"/>
    <x v="947"/>
    <n v="4"/>
    <n v="605.82000000000005"/>
    <n v="12224"/>
  </r>
  <r>
    <n v="1693"/>
    <x v="0"/>
    <n v="0.1"/>
    <n v="35.99"/>
    <n v="5"/>
    <n v="1745"/>
    <x v="570"/>
    <x v="2"/>
    <x v="3"/>
    <x v="2"/>
    <x v="5"/>
    <x v="0"/>
    <x v="615"/>
    <n v="0.82"/>
    <x v="0"/>
    <x v="3"/>
    <x v="29"/>
    <x v="135"/>
    <n v="30305"/>
    <x v="20"/>
    <d v="2015-06-12T00:00:00"/>
    <x v="948"/>
    <n v="54"/>
    <n v="1569"/>
    <n v="12224"/>
  </r>
  <r>
    <n v="19692"/>
    <x v="0"/>
    <n v="0.04"/>
    <n v="124.49"/>
    <n v="51.94"/>
    <n v="1748"/>
    <x v="571"/>
    <x v="1"/>
    <x v="3"/>
    <x v="1"/>
    <x v="11"/>
    <x v="5"/>
    <x v="156"/>
    <n v="0.63"/>
    <x v="0"/>
    <x v="2"/>
    <x v="23"/>
    <x v="463"/>
    <n v="73703"/>
    <x v="20"/>
    <d v="2015-06-14T00:00:00"/>
    <x v="949"/>
    <n v="1"/>
    <n v="151.46"/>
    <n v="87245"/>
  </r>
  <r>
    <n v="20571"/>
    <x v="1"/>
    <n v="0.02"/>
    <n v="4.13"/>
    <n v="6.89"/>
    <n v="1749"/>
    <x v="572"/>
    <x v="2"/>
    <x v="1"/>
    <x v="0"/>
    <x v="9"/>
    <x v="3"/>
    <x v="613"/>
    <n v="0.39"/>
    <x v="0"/>
    <x v="2"/>
    <x v="23"/>
    <x v="464"/>
    <n v="73505"/>
    <x v="85"/>
    <d v="2015-01-10T00:00:00"/>
    <x v="950"/>
    <n v="2"/>
    <n v="10.19"/>
    <n v="87243"/>
  </r>
  <r>
    <n v="19863"/>
    <x v="4"/>
    <n v="0.04"/>
    <n v="60.65"/>
    <n v="12.23"/>
    <n v="1749"/>
    <x v="572"/>
    <x v="2"/>
    <x v="1"/>
    <x v="1"/>
    <x v="2"/>
    <x v="4"/>
    <x v="614"/>
    <n v="0.64"/>
    <x v="0"/>
    <x v="2"/>
    <x v="23"/>
    <x v="464"/>
    <n v="73505"/>
    <x v="79"/>
    <d v="2015-02-16T00:00:00"/>
    <x v="951"/>
    <n v="1"/>
    <n v="64.19"/>
    <n v="87244"/>
  </r>
  <r>
    <n v="19477"/>
    <x v="4"/>
    <n v="0.04"/>
    <n v="8.5"/>
    <n v="1.99"/>
    <n v="1754"/>
    <x v="573"/>
    <x v="2"/>
    <x v="3"/>
    <x v="2"/>
    <x v="13"/>
    <x v="2"/>
    <x v="302"/>
    <n v="0.49"/>
    <x v="0"/>
    <x v="0"/>
    <x v="1"/>
    <x v="465"/>
    <n v="90503"/>
    <x v="139"/>
    <d v="2015-02-28T00:00:00"/>
    <x v="952"/>
    <n v="14"/>
    <n v="118.57"/>
    <n v="90178"/>
  </r>
  <r>
    <n v="19478"/>
    <x v="4"/>
    <n v="0.1"/>
    <n v="15.99"/>
    <n v="9.4"/>
    <n v="1754"/>
    <x v="573"/>
    <x v="2"/>
    <x v="3"/>
    <x v="2"/>
    <x v="6"/>
    <x v="3"/>
    <x v="616"/>
    <n v="0.49"/>
    <x v="0"/>
    <x v="0"/>
    <x v="1"/>
    <x v="465"/>
    <n v="90503"/>
    <x v="139"/>
    <d v="2015-02-27T00:00:00"/>
    <x v="953"/>
    <n v="5"/>
    <n v="79.47"/>
    <n v="90178"/>
  </r>
  <r>
    <n v="19479"/>
    <x v="4"/>
    <n v="0.09"/>
    <n v="95.99"/>
    <n v="8.99"/>
    <n v="1754"/>
    <x v="573"/>
    <x v="2"/>
    <x v="3"/>
    <x v="2"/>
    <x v="5"/>
    <x v="3"/>
    <x v="617"/>
    <n v="0.56999999999999995"/>
    <x v="0"/>
    <x v="0"/>
    <x v="1"/>
    <x v="465"/>
    <n v="90503"/>
    <x v="139"/>
    <d v="2015-03-03T00:00:00"/>
    <x v="954"/>
    <n v="8"/>
    <n v="627.28"/>
    <n v="90178"/>
  </r>
  <r>
    <n v="25920"/>
    <x v="0"/>
    <n v="0"/>
    <n v="115.99"/>
    <n v="5.92"/>
    <n v="1764"/>
    <x v="574"/>
    <x v="2"/>
    <x v="3"/>
    <x v="2"/>
    <x v="5"/>
    <x v="3"/>
    <x v="618"/>
    <n v="0.57999999999999996"/>
    <x v="0"/>
    <x v="3"/>
    <x v="26"/>
    <x v="466"/>
    <n v="34698"/>
    <x v="46"/>
    <d v="2015-01-22T00:00:00"/>
    <x v="955"/>
    <n v="11"/>
    <n v="1160.42"/>
    <n v="89775"/>
  </r>
  <r>
    <n v="25608"/>
    <x v="0"/>
    <n v="0.06"/>
    <n v="19.98"/>
    <n v="10.49"/>
    <n v="1764"/>
    <x v="574"/>
    <x v="2"/>
    <x v="3"/>
    <x v="1"/>
    <x v="2"/>
    <x v="3"/>
    <x v="619"/>
    <n v="0.49"/>
    <x v="0"/>
    <x v="3"/>
    <x v="26"/>
    <x v="466"/>
    <n v="34698"/>
    <x v="151"/>
    <d v="2015-03-03T00:00:00"/>
    <x v="956"/>
    <n v="5"/>
    <n v="103.37"/>
    <n v="89776"/>
  </r>
  <r>
    <n v="25609"/>
    <x v="0"/>
    <n v="0.08"/>
    <n v="1.76"/>
    <n v="4.8600000000000003"/>
    <n v="1764"/>
    <x v="574"/>
    <x v="2"/>
    <x v="3"/>
    <x v="1"/>
    <x v="2"/>
    <x v="3"/>
    <x v="620"/>
    <n v="0.41"/>
    <x v="0"/>
    <x v="3"/>
    <x v="26"/>
    <x v="466"/>
    <n v="34698"/>
    <x v="151"/>
    <d v="2015-03-02T00:00:00"/>
    <x v="957"/>
    <n v="23"/>
    <n v="40.22"/>
    <n v="89776"/>
  </r>
  <r>
    <n v="25054"/>
    <x v="1"/>
    <n v="0"/>
    <n v="5.77"/>
    <n v="4.97"/>
    <n v="1765"/>
    <x v="575"/>
    <x v="2"/>
    <x v="3"/>
    <x v="0"/>
    <x v="8"/>
    <x v="3"/>
    <x v="621"/>
    <n v="0.35"/>
    <x v="0"/>
    <x v="2"/>
    <x v="33"/>
    <x v="467"/>
    <n v="63141"/>
    <x v="82"/>
    <d v="2015-05-05T00:00:00"/>
    <x v="958"/>
    <n v="8"/>
    <n v="52.43"/>
    <n v="89777"/>
  </r>
  <r>
    <n v="20636"/>
    <x v="2"/>
    <n v="0.01"/>
    <n v="50.98"/>
    <n v="6.5"/>
    <n v="1767"/>
    <x v="576"/>
    <x v="2"/>
    <x v="1"/>
    <x v="2"/>
    <x v="13"/>
    <x v="3"/>
    <x v="338"/>
    <n v="0.73"/>
    <x v="0"/>
    <x v="3"/>
    <x v="29"/>
    <x v="450"/>
    <n v="30265"/>
    <x v="173"/>
    <d v="2015-03-27T00:00:00"/>
    <x v="959"/>
    <n v="16"/>
    <n v="818.49"/>
    <n v="89211"/>
  </r>
  <r>
    <n v="24894"/>
    <x v="3"/>
    <n v="7.0000000000000007E-2"/>
    <n v="60.98"/>
    <n v="49"/>
    <n v="1771"/>
    <x v="577"/>
    <x v="2"/>
    <x v="1"/>
    <x v="0"/>
    <x v="15"/>
    <x v="6"/>
    <x v="557"/>
    <n v="0.59"/>
    <x v="0"/>
    <x v="2"/>
    <x v="12"/>
    <x v="418"/>
    <n v="61032"/>
    <x v="127"/>
    <d v="2015-03-07T00:00:00"/>
    <x v="960"/>
    <n v="7"/>
    <n v="410.17"/>
    <n v="89106"/>
  </r>
  <r>
    <n v="19826"/>
    <x v="4"/>
    <n v="0.09"/>
    <n v="12.95"/>
    <n v="4.9800000000000004"/>
    <n v="1775"/>
    <x v="578"/>
    <x v="2"/>
    <x v="3"/>
    <x v="0"/>
    <x v="8"/>
    <x v="3"/>
    <x v="532"/>
    <n v="0.4"/>
    <x v="0"/>
    <x v="2"/>
    <x v="38"/>
    <x v="468"/>
    <n v="46614"/>
    <x v="110"/>
    <d v="2015-06-21T00:00:00"/>
    <x v="961"/>
    <n v="21"/>
    <n v="269.54000000000002"/>
    <n v="89944"/>
  </r>
  <r>
    <n v="20278"/>
    <x v="1"/>
    <n v="0.08"/>
    <n v="5.78"/>
    <n v="5.67"/>
    <n v="1776"/>
    <x v="579"/>
    <x v="2"/>
    <x v="3"/>
    <x v="0"/>
    <x v="7"/>
    <x v="3"/>
    <x v="221"/>
    <n v="0.36"/>
    <x v="0"/>
    <x v="2"/>
    <x v="38"/>
    <x v="469"/>
    <n v="47802"/>
    <x v="128"/>
    <d v="2015-02-05T00:00:00"/>
    <x v="962"/>
    <n v="19"/>
    <n v="106.57"/>
    <n v="89941"/>
  </r>
  <r>
    <n v="20391"/>
    <x v="4"/>
    <n v="7.0000000000000007E-2"/>
    <n v="5.43"/>
    <n v="0.95"/>
    <n v="1777"/>
    <x v="580"/>
    <x v="2"/>
    <x v="3"/>
    <x v="0"/>
    <x v="7"/>
    <x v="0"/>
    <x v="217"/>
    <n v="0.36"/>
    <x v="0"/>
    <x v="2"/>
    <x v="38"/>
    <x v="470"/>
    <n v="46383"/>
    <x v="126"/>
    <d v="2015-04-26T00:00:00"/>
    <x v="963"/>
    <n v="7"/>
    <n v="38.409999999999997"/>
    <n v="89939"/>
  </r>
  <r>
    <n v="21163"/>
    <x v="4"/>
    <n v="0.02"/>
    <n v="10.06"/>
    <n v="2.06"/>
    <n v="1777"/>
    <x v="580"/>
    <x v="2"/>
    <x v="3"/>
    <x v="0"/>
    <x v="7"/>
    <x v="0"/>
    <x v="85"/>
    <n v="0.39"/>
    <x v="0"/>
    <x v="2"/>
    <x v="38"/>
    <x v="470"/>
    <n v="46383"/>
    <x v="35"/>
    <d v="2015-01-08T00:00:00"/>
    <x v="964"/>
    <n v="13"/>
    <n v="131.34"/>
    <n v="89940"/>
  </r>
  <r>
    <n v="20600"/>
    <x v="1"/>
    <n v="0.03"/>
    <n v="19.989999999999998"/>
    <n v="11.17"/>
    <n v="1777"/>
    <x v="580"/>
    <x v="2"/>
    <x v="0"/>
    <x v="1"/>
    <x v="2"/>
    <x v="6"/>
    <x v="172"/>
    <n v="0.6"/>
    <x v="0"/>
    <x v="2"/>
    <x v="38"/>
    <x v="470"/>
    <n v="46383"/>
    <x v="57"/>
    <d v="2015-04-03T00:00:00"/>
    <x v="965"/>
    <n v="12"/>
    <n v="251.61"/>
    <n v="89942"/>
  </r>
  <r>
    <n v="25498"/>
    <x v="0"/>
    <n v="0.06"/>
    <n v="13.99"/>
    <n v="7.51"/>
    <n v="1778"/>
    <x v="581"/>
    <x v="2"/>
    <x v="3"/>
    <x v="2"/>
    <x v="6"/>
    <x v="4"/>
    <x v="490"/>
    <n v="0.39"/>
    <x v="0"/>
    <x v="2"/>
    <x v="38"/>
    <x v="471"/>
    <n v="47906"/>
    <x v="16"/>
    <d v="2015-05-12T00:00:00"/>
    <x v="966"/>
    <n v="21"/>
    <n v="287.99"/>
    <n v="89943"/>
  </r>
  <r>
    <n v="25499"/>
    <x v="0"/>
    <n v="0.06"/>
    <n v="15.04"/>
    <n v="1.97"/>
    <n v="1778"/>
    <x v="581"/>
    <x v="2"/>
    <x v="3"/>
    <x v="0"/>
    <x v="7"/>
    <x v="0"/>
    <x v="231"/>
    <n v="0.39"/>
    <x v="0"/>
    <x v="2"/>
    <x v="38"/>
    <x v="471"/>
    <n v="47906"/>
    <x v="16"/>
    <d v="2015-05-10T00:00:00"/>
    <x v="967"/>
    <n v="3"/>
    <n v="46.86"/>
    <n v="89943"/>
  </r>
  <r>
    <n v="19237"/>
    <x v="0"/>
    <n v="0"/>
    <n v="55.48"/>
    <n v="14.3"/>
    <n v="1781"/>
    <x v="582"/>
    <x v="2"/>
    <x v="0"/>
    <x v="0"/>
    <x v="7"/>
    <x v="3"/>
    <x v="14"/>
    <n v="0.37"/>
    <x v="0"/>
    <x v="0"/>
    <x v="1"/>
    <x v="472"/>
    <n v="94070"/>
    <x v="20"/>
    <d v="2015-06-14T00:00:00"/>
    <x v="968"/>
    <n v="11"/>
    <n v="658.62"/>
    <n v="89857"/>
  </r>
  <r>
    <n v="19419"/>
    <x v="4"/>
    <n v="0.03"/>
    <n v="5.08"/>
    <n v="2.0299999999999998"/>
    <n v="1781"/>
    <x v="582"/>
    <x v="2"/>
    <x v="1"/>
    <x v="1"/>
    <x v="2"/>
    <x v="0"/>
    <x v="622"/>
    <n v="0.51"/>
    <x v="0"/>
    <x v="0"/>
    <x v="1"/>
    <x v="472"/>
    <n v="94070"/>
    <x v="0"/>
    <d v="2015-01-12T00:00:00"/>
    <x v="969"/>
    <n v="4"/>
    <n v="21.96"/>
    <n v="89858"/>
  </r>
  <r>
    <n v="21283"/>
    <x v="0"/>
    <n v="0.03"/>
    <n v="3.28"/>
    <n v="3.97"/>
    <n v="1782"/>
    <x v="583"/>
    <x v="2"/>
    <x v="1"/>
    <x v="0"/>
    <x v="0"/>
    <x v="0"/>
    <x v="623"/>
    <n v="0.56000000000000005"/>
    <x v="0"/>
    <x v="0"/>
    <x v="1"/>
    <x v="473"/>
    <n v="92672"/>
    <x v="61"/>
    <d v="2015-01-08T00:00:00"/>
    <x v="970"/>
    <n v="7"/>
    <n v="24.57"/>
    <n v="89856"/>
  </r>
  <r>
    <n v="23966"/>
    <x v="2"/>
    <n v="0.04"/>
    <n v="205.99"/>
    <n v="8.99"/>
    <n v="1788"/>
    <x v="584"/>
    <x v="2"/>
    <x v="3"/>
    <x v="2"/>
    <x v="5"/>
    <x v="3"/>
    <x v="20"/>
    <n v="0.56000000000000005"/>
    <x v="0"/>
    <x v="3"/>
    <x v="29"/>
    <x v="432"/>
    <n v="30188"/>
    <x v="72"/>
    <d v="2015-01-22T00:00:00"/>
    <x v="971"/>
    <n v="6"/>
    <n v="1008.53"/>
    <n v="88256"/>
  </r>
  <r>
    <n v="21284"/>
    <x v="2"/>
    <n v="0.04"/>
    <n v="880.98"/>
    <n v="44.55"/>
    <n v="1793"/>
    <x v="585"/>
    <x v="1"/>
    <x v="1"/>
    <x v="1"/>
    <x v="14"/>
    <x v="5"/>
    <x v="270"/>
    <n v="0.62"/>
    <x v="0"/>
    <x v="2"/>
    <x v="12"/>
    <x v="474"/>
    <n v="61401"/>
    <x v="61"/>
    <d v="2015-01-07T00:00:00"/>
    <x v="972"/>
    <n v="8"/>
    <n v="6968.9"/>
    <n v="87853"/>
  </r>
  <r>
    <n v="22986"/>
    <x v="2"/>
    <n v="0.04"/>
    <n v="3.68"/>
    <n v="1.32"/>
    <n v="1802"/>
    <x v="586"/>
    <x v="2"/>
    <x v="0"/>
    <x v="0"/>
    <x v="12"/>
    <x v="0"/>
    <x v="300"/>
    <n v="0.83"/>
    <x v="0"/>
    <x v="3"/>
    <x v="26"/>
    <x v="466"/>
    <n v="34698"/>
    <x v="144"/>
    <d v="2015-06-02T00:00:00"/>
    <x v="973"/>
    <n v="11"/>
    <n v="41.29"/>
    <n v="91543"/>
  </r>
  <r>
    <n v="18901"/>
    <x v="3"/>
    <n v="0.01"/>
    <n v="8.1199999999999992"/>
    <n v="2.83"/>
    <n v="1808"/>
    <x v="587"/>
    <x v="0"/>
    <x v="1"/>
    <x v="2"/>
    <x v="13"/>
    <x v="2"/>
    <x v="293"/>
    <n v="0.77"/>
    <x v="0"/>
    <x v="1"/>
    <x v="36"/>
    <x v="475"/>
    <n v="26101"/>
    <x v="83"/>
    <d v="2015-03-18T00:00:00"/>
    <x v="974"/>
    <n v="10"/>
    <n v="88.64"/>
    <n v="89251"/>
  </r>
  <r>
    <n v="21746"/>
    <x v="1"/>
    <n v="0.09"/>
    <n v="77.510000000000005"/>
    <n v="4"/>
    <n v="1814"/>
    <x v="588"/>
    <x v="0"/>
    <x v="1"/>
    <x v="2"/>
    <x v="13"/>
    <x v="3"/>
    <x v="624"/>
    <n v="0.76"/>
    <x v="0"/>
    <x v="3"/>
    <x v="37"/>
    <x v="476"/>
    <n v="38654"/>
    <x v="94"/>
    <d v="2015-05-25T00:00:00"/>
    <x v="975"/>
    <n v="17"/>
    <n v="1300.54"/>
    <n v="90524"/>
  </r>
  <r>
    <n v="21747"/>
    <x v="1"/>
    <n v="0"/>
    <n v="2.88"/>
    <n v="0.7"/>
    <n v="1814"/>
    <x v="588"/>
    <x v="2"/>
    <x v="1"/>
    <x v="0"/>
    <x v="0"/>
    <x v="0"/>
    <x v="122"/>
    <n v="0.56000000000000005"/>
    <x v="0"/>
    <x v="3"/>
    <x v="37"/>
    <x v="476"/>
    <n v="38654"/>
    <x v="94"/>
    <d v="2015-05-25T00:00:00"/>
    <x v="976"/>
    <n v="13"/>
    <n v="38.06"/>
    <n v="90524"/>
  </r>
  <r>
    <n v="24463"/>
    <x v="3"/>
    <n v="0.06"/>
    <n v="90.97"/>
    <n v="14"/>
    <n v="1815"/>
    <x v="589"/>
    <x v="1"/>
    <x v="1"/>
    <x v="2"/>
    <x v="6"/>
    <x v="1"/>
    <x v="625"/>
    <n v="0.36"/>
    <x v="0"/>
    <x v="3"/>
    <x v="37"/>
    <x v="477"/>
    <n v="39208"/>
    <x v="143"/>
    <d v="2015-02-12T00:00:00"/>
    <x v="977"/>
    <n v="14"/>
    <n v="1263.3499999999999"/>
    <n v="90525"/>
  </r>
  <r>
    <n v="22843"/>
    <x v="4"/>
    <n v="0.01"/>
    <n v="10.48"/>
    <n v="2.89"/>
    <n v="1816"/>
    <x v="590"/>
    <x v="2"/>
    <x v="3"/>
    <x v="0"/>
    <x v="0"/>
    <x v="2"/>
    <x v="626"/>
    <n v="0.6"/>
    <x v="0"/>
    <x v="2"/>
    <x v="22"/>
    <x v="20"/>
    <n v="48187"/>
    <x v="64"/>
    <d v="2015-02-07T00:00:00"/>
    <x v="978"/>
    <n v="19"/>
    <n v="202.38"/>
    <n v="85990"/>
  </r>
  <r>
    <n v="24622"/>
    <x v="1"/>
    <n v="0.06"/>
    <n v="17.98"/>
    <n v="8.51"/>
    <n v="1818"/>
    <x v="591"/>
    <x v="2"/>
    <x v="3"/>
    <x v="2"/>
    <x v="6"/>
    <x v="4"/>
    <x v="18"/>
    <n v="0.4"/>
    <x v="0"/>
    <x v="2"/>
    <x v="22"/>
    <x v="478"/>
    <n v="48126"/>
    <x v="112"/>
    <d v="2015-04-17T00:00:00"/>
    <x v="979"/>
    <n v="3"/>
    <n v="56.38"/>
    <n v="85991"/>
  </r>
  <r>
    <n v="24623"/>
    <x v="1"/>
    <n v="0.1"/>
    <n v="9.99"/>
    <n v="4.78"/>
    <n v="1818"/>
    <x v="591"/>
    <x v="0"/>
    <x v="3"/>
    <x v="0"/>
    <x v="7"/>
    <x v="3"/>
    <x v="627"/>
    <n v="0.4"/>
    <x v="0"/>
    <x v="2"/>
    <x v="22"/>
    <x v="478"/>
    <n v="48126"/>
    <x v="112"/>
    <d v="2015-04-18T00:00:00"/>
    <x v="980"/>
    <n v="12"/>
    <n v="119.13"/>
    <n v="85991"/>
  </r>
  <r>
    <n v="4843"/>
    <x v="4"/>
    <n v="0.01"/>
    <n v="10.48"/>
    <n v="2.89"/>
    <n v="1821"/>
    <x v="592"/>
    <x v="2"/>
    <x v="3"/>
    <x v="0"/>
    <x v="0"/>
    <x v="2"/>
    <x v="626"/>
    <n v="0.6"/>
    <x v="0"/>
    <x v="1"/>
    <x v="4"/>
    <x v="8"/>
    <n v="10177"/>
    <x v="64"/>
    <d v="2015-02-07T00:00:00"/>
    <x v="981"/>
    <n v="76"/>
    <n v="809.51"/>
    <n v="34435"/>
  </r>
  <r>
    <n v="6621"/>
    <x v="1"/>
    <n v="7.0000000000000007E-2"/>
    <n v="18.649999999999999"/>
    <n v="3.77"/>
    <n v="1821"/>
    <x v="592"/>
    <x v="2"/>
    <x v="3"/>
    <x v="1"/>
    <x v="2"/>
    <x v="2"/>
    <x v="628"/>
    <n v="0.39"/>
    <x v="0"/>
    <x v="1"/>
    <x v="4"/>
    <x v="8"/>
    <n v="10177"/>
    <x v="112"/>
    <d v="2015-04-16T00:00:00"/>
    <x v="982"/>
    <n v="34"/>
    <n v="643.64"/>
    <n v="47108"/>
  </r>
  <r>
    <n v="6622"/>
    <x v="1"/>
    <n v="0.06"/>
    <n v="17.98"/>
    <n v="8.51"/>
    <n v="1821"/>
    <x v="592"/>
    <x v="2"/>
    <x v="3"/>
    <x v="2"/>
    <x v="6"/>
    <x v="4"/>
    <x v="18"/>
    <n v="0.4"/>
    <x v="0"/>
    <x v="1"/>
    <x v="4"/>
    <x v="8"/>
    <n v="10177"/>
    <x v="112"/>
    <d v="2015-04-17T00:00:00"/>
    <x v="983"/>
    <n v="13"/>
    <n v="244.31"/>
    <n v="47108"/>
  </r>
  <r>
    <n v="6623"/>
    <x v="1"/>
    <n v="0.1"/>
    <n v="9.99"/>
    <n v="4.78"/>
    <n v="1821"/>
    <x v="592"/>
    <x v="0"/>
    <x v="3"/>
    <x v="0"/>
    <x v="7"/>
    <x v="3"/>
    <x v="627"/>
    <n v="0.4"/>
    <x v="0"/>
    <x v="1"/>
    <x v="4"/>
    <x v="8"/>
    <n v="10177"/>
    <x v="112"/>
    <d v="2015-04-18T00:00:00"/>
    <x v="984"/>
    <n v="47"/>
    <n v="466.58"/>
    <n v="47108"/>
  </r>
  <r>
    <n v="6624"/>
    <x v="1"/>
    <n v="0.08"/>
    <n v="175.99"/>
    <n v="8.99"/>
    <n v="1821"/>
    <x v="592"/>
    <x v="0"/>
    <x v="3"/>
    <x v="2"/>
    <x v="5"/>
    <x v="3"/>
    <x v="44"/>
    <n v="0.56999999999999995"/>
    <x v="0"/>
    <x v="1"/>
    <x v="4"/>
    <x v="8"/>
    <n v="10177"/>
    <x v="112"/>
    <d v="2015-04-16T00:00:00"/>
    <x v="985"/>
    <n v="16"/>
    <n v="2290.69"/>
    <n v="47108"/>
  </r>
  <r>
    <n v="19596"/>
    <x v="3"/>
    <n v="0.1"/>
    <n v="52.99"/>
    <n v="19.989999999999998"/>
    <n v="1826"/>
    <x v="593"/>
    <x v="0"/>
    <x v="0"/>
    <x v="0"/>
    <x v="10"/>
    <x v="3"/>
    <x v="629"/>
    <n v="0.81"/>
    <x v="0"/>
    <x v="2"/>
    <x v="25"/>
    <x v="479"/>
    <n v="52722"/>
    <x v="106"/>
    <d v="2015-04-19T00:00:00"/>
    <x v="986"/>
    <n v="7"/>
    <n v="337.59"/>
    <n v="86958"/>
  </r>
  <r>
    <n v="18199"/>
    <x v="3"/>
    <n v="0"/>
    <n v="9.27"/>
    <n v="4.3899999999999997"/>
    <n v="1826"/>
    <x v="593"/>
    <x v="2"/>
    <x v="0"/>
    <x v="0"/>
    <x v="7"/>
    <x v="0"/>
    <x v="630"/>
    <n v="0.38"/>
    <x v="0"/>
    <x v="2"/>
    <x v="25"/>
    <x v="479"/>
    <n v="52722"/>
    <x v="3"/>
    <d v="2015-05-14T00:00:00"/>
    <x v="987"/>
    <n v="1"/>
    <n v="10.65"/>
    <n v="86959"/>
  </r>
  <r>
    <n v="20551"/>
    <x v="1"/>
    <n v="0"/>
    <n v="5.98"/>
    <n v="0.96"/>
    <n v="1827"/>
    <x v="594"/>
    <x v="2"/>
    <x v="0"/>
    <x v="0"/>
    <x v="0"/>
    <x v="0"/>
    <x v="631"/>
    <n v="0.6"/>
    <x v="0"/>
    <x v="2"/>
    <x v="25"/>
    <x v="19"/>
    <n v="52601"/>
    <x v="153"/>
    <d v="2015-02-20T00:00:00"/>
    <x v="988"/>
    <n v="9"/>
    <n v="55.13"/>
    <n v="86956"/>
  </r>
  <r>
    <n v="19597"/>
    <x v="3"/>
    <n v="7.0000000000000007E-2"/>
    <n v="100.98"/>
    <n v="57.38"/>
    <n v="1827"/>
    <x v="594"/>
    <x v="1"/>
    <x v="0"/>
    <x v="1"/>
    <x v="14"/>
    <x v="5"/>
    <x v="632"/>
    <n v="0.78"/>
    <x v="0"/>
    <x v="2"/>
    <x v="25"/>
    <x v="19"/>
    <n v="52601"/>
    <x v="106"/>
    <d v="2015-04-21T00:00:00"/>
    <x v="989"/>
    <n v="2"/>
    <n v="215.32"/>
    <n v="86958"/>
  </r>
  <r>
    <n v="19598"/>
    <x v="3"/>
    <n v="0.03"/>
    <n v="85.99"/>
    <n v="0.99"/>
    <n v="1827"/>
    <x v="594"/>
    <x v="2"/>
    <x v="0"/>
    <x v="2"/>
    <x v="5"/>
    <x v="0"/>
    <x v="141"/>
    <n v="0.55000000000000004"/>
    <x v="0"/>
    <x v="2"/>
    <x v="25"/>
    <x v="19"/>
    <n v="52601"/>
    <x v="106"/>
    <d v="2015-04-20T00:00:00"/>
    <x v="990"/>
    <n v="5"/>
    <n v="382.85"/>
    <n v="86958"/>
  </r>
  <r>
    <n v="20553"/>
    <x v="1"/>
    <n v="0.02"/>
    <n v="5.98"/>
    <n v="5.46"/>
    <n v="1828"/>
    <x v="595"/>
    <x v="2"/>
    <x v="0"/>
    <x v="0"/>
    <x v="7"/>
    <x v="3"/>
    <x v="381"/>
    <n v="0.36"/>
    <x v="0"/>
    <x v="2"/>
    <x v="25"/>
    <x v="480"/>
    <n v="50613"/>
    <x v="153"/>
    <d v="2015-02-20T00:00:00"/>
    <x v="991"/>
    <n v="7"/>
    <n v="44.8"/>
    <n v="86956"/>
  </r>
  <r>
    <n v="21383"/>
    <x v="4"/>
    <n v="0.05"/>
    <n v="7.1"/>
    <n v="6.05"/>
    <n v="1828"/>
    <x v="595"/>
    <x v="2"/>
    <x v="0"/>
    <x v="0"/>
    <x v="8"/>
    <x v="3"/>
    <x v="227"/>
    <n v="0.39"/>
    <x v="0"/>
    <x v="2"/>
    <x v="25"/>
    <x v="480"/>
    <n v="50613"/>
    <x v="61"/>
    <d v="2015-01-06T00:00:00"/>
    <x v="992"/>
    <n v="14"/>
    <n v="100.99"/>
    <n v="86960"/>
  </r>
  <r>
    <n v="21384"/>
    <x v="4"/>
    <n v="0.04"/>
    <n v="20.95"/>
    <n v="4"/>
    <n v="1828"/>
    <x v="595"/>
    <x v="2"/>
    <x v="0"/>
    <x v="2"/>
    <x v="13"/>
    <x v="3"/>
    <x v="560"/>
    <n v="0.6"/>
    <x v="0"/>
    <x v="2"/>
    <x v="25"/>
    <x v="480"/>
    <n v="50613"/>
    <x v="61"/>
    <d v="2015-01-11T00:00:00"/>
    <x v="993"/>
    <n v="7"/>
    <n v="142.06"/>
    <n v="86960"/>
  </r>
  <r>
    <n v="23430"/>
    <x v="2"/>
    <n v="0.01"/>
    <n v="10.64"/>
    <n v="5.16"/>
    <n v="1829"/>
    <x v="596"/>
    <x v="0"/>
    <x v="0"/>
    <x v="1"/>
    <x v="2"/>
    <x v="3"/>
    <x v="304"/>
    <n v="0.56999999999999995"/>
    <x v="0"/>
    <x v="2"/>
    <x v="25"/>
    <x v="481"/>
    <n v="52402"/>
    <x v="78"/>
    <d v="2015-03-27T00:00:00"/>
    <x v="994"/>
    <n v="5"/>
    <n v="58.52"/>
    <n v="86957"/>
  </r>
  <r>
    <n v="21385"/>
    <x v="4"/>
    <n v="0.05"/>
    <n v="39.06"/>
    <n v="10.55"/>
    <n v="1829"/>
    <x v="596"/>
    <x v="2"/>
    <x v="0"/>
    <x v="0"/>
    <x v="8"/>
    <x v="3"/>
    <x v="410"/>
    <n v="0.37"/>
    <x v="0"/>
    <x v="2"/>
    <x v="25"/>
    <x v="481"/>
    <n v="52402"/>
    <x v="61"/>
    <d v="2015-01-13T00:00:00"/>
    <x v="995"/>
    <n v="9"/>
    <n v="363.74"/>
    <n v="86960"/>
  </r>
  <r>
    <n v="21386"/>
    <x v="4"/>
    <n v="0.04"/>
    <n v="3.52"/>
    <n v="6.83"/>
    <n v="1829"/>
    <x v="596"/>
    <x v="2"/>
    <x v="0"/>
    <x v="0"/>
    <x v="8"/>
    <x v="3"/>
    <x v="633"/>
    <n v="0.38"/>
    <x v="0"/>
    <x v="2"/>
    <x v="25"/>
    <x v="481"/>
    <n v="52402"/>
    <x v="61"/>
    <d v="2015-01-15T00:00:00"/>
    <x v="996"/>
    <n v="4"/>
    <n v="15.93"/>
    <n v="86960"/>
  </r>
  <r>
    <n v="21387"/>
    <x v="4"/>
    <n v="0.02"/>
    <n v="15.51"/>
    <n v="17.78"/>
    <n v="1829"/>
    <x v="596"/>
    <x v="2"/>
    <x v="0"/>
    <x v="0"/>
    <x v="10"/>
    <x v="3"/>
    <x v="242"/>
    <n v="0.59"/>
    <x v="0"/>
    <x v="2"/>
    <x v="25"/>
    <x v="481"/>
    <n v="52402"/>
    <x v="61"/>
    <d v="2015-01-13T00:00:00"/>
    <x v="997"/>
    <n v="1"/>
    <n v="21.28"/>
    <n v="86960"/>
  </r>
  <r>
    <n v="23589"/>
    <x v="0"/>
    <n v="0.01"/>
    <n v="155.99"/>
    <n v="8.99"/>
    <n v="1836"/>
    <x v="597"/>
    <x v="0"/>
    <x v="0"/>
    <x v="2"/>
    <x v="5"/>
    <x v="3"/>
    <x v="359"/>
    <n v="0.57999999999999996"/>
    <x v="0"/>
    <x v="0"/>
    <x v="1"/>
    <x v="49"/>
    <n v="94110"/>
    <x v="47"/>
    <d v="2015-04-20T00:00:00"/>
    <x v="998"/>
    <n v="5"/>
    <n v="675.83"/>
    <n v="86600"/>
  </r>
  <r>
    <n v="23590"/>
    <x v="0"/>
    <n v="0.01"/>
    <n v="5.98"/>
    <n v="5.46"/>
    <n v="1837"/>
    <x v="598"/>
    <x v="2"/>
    <x v="0"/>
    <x v="0"/>
    <x v="7"/>
    <x v="3"/>
    <x v="381"/>
    <n v="0.36"/>
    <x v="0"/>
    <x v="0"/>
    <x v="1"/>
    <x v="1"/>
    <n v="91776"/>
    <x v="47"/>
    <d v="2015-04-21T00:00:00"/>
    <x v="999"/>
    <n v="4"/>
    <n v="28"/>
    <n v="86600"/>
  </r>
  <r>
    <n v="18141"/>
    <x v="1"/>
    <n v="7.0000000000000007E-2"/>
    <n v="40.98"/>
    <n v="2.99"/>
    <n v="1840"/>
    <x v="599"/>
    <x v="2"/>
    <x v="1"/>
    <x v="0"/>
    <x v="8"/>
    <x v="3"/>
    <x v="385"/>
    <n v="0.36"/>
    <x v="0"/>
    <x v="1"/>
    <x v="15"/>
    <x v="482"/>
    <n v="1469"/>
    <x v="25"/>
    <d v="2015-04-01T00:00:00"/>
    <x v="1000"/>
    <n v="13"/>
    <n v="535.08000000000004"/>
    <n v="86599"/>
  </r>
  <r>
    <n v="19139"/>
    <x v="0"/>
    <n v="0.09"/>
    <n v="35.99"/>
    <n v="1.1000000000000001"/>
    <n v="1849"/>
    <x v="600"/>
    <x v="2"/>
    <x v="3"/>
    <x v="2"/>
    <x v="5"/>
    <x v="3"/>
    <x v="337"/>
    <n v="0.55000000000000004"/>
    <x v="0"/>
    <x v="3"/>
    <x v="43"/>
    <x v="483"/>
    <n v="36330"/>
    <x v="113"/>
    <d v="2015-04-03T00:00:00"/>
    <x v="1001"/>
    <n v="8"/>
    <n v="222.71"/>
    <n v="89697"/>
  </r>
  <r>
    <n v="19140"/>
    <x v="0"/>
    <n v="0.01"/>
    <n v="125.99"/>
    <n v="2.5"/>
    <n v="1849"/>
    <x v="600"/>
    <x v="2"/>
    <x v="3"/>
    <x v="2"/>
    <x v="5"/>
    <x v="3"/>
    <x v="418"/>
    <n v="0.6"/>
    <x v="0"/>
    <x v="3"/>
    <x v="43"/>
    <x v="483"/>
    <n v="36330"/>
    <x v="113"/>
    <d v="2015-04-02T00:00:00"/>
    <x v="1002"/>
    <n v="2"/>
    <n v="220.52"/>
    <n v="89697"/>
  </r>
  <r>
    <n v="19141"/>
    <x v="1"/>
    <n v="0.06"/>
    <n v="6.48"/>
    <n v="5.14"/>
    <n v="1852"/>
    <x v="601"/>
    <x v="0"/>
    <x v="1"/>
    <x v="0"/>
    <x v="7"/>
    <x v="3"/>
    <x v="339"/>
    <n v="0.37"/>
    <x v="0"/>
    <x v="0"/>
    <x v="1"/>
    <x v="484"/>
    <n v="92008"/>
    <x v="91"/>
    <d v="2015-03-21T00:00:00"/>
    <x v="1003"/>
    <n v="10"/>
    <n v="68.34"/>
    <n v="86847"/>
  </r>
  <r>
    <n v="19142"/>
    <x v="1"/>
    <n v="0.02"/>
    <n v="30.73"/>
    <n v="4"/>
    <n v="1854"/>
    <x v="602"/>
    <x v="2"/>
    <x v="1"/>
    <x v="2"/>
    <x v="13"/>
    <x v="3"/>
    <x v="88"/>
    <n v="0.75"/>
    <x v="0"/>
    <x v="1"/>
    <x v="18"/>
    <x v="161"/>
    <n v="6478"/>
    <x v="91"/>
    <d v="2015-03-22T00:00:00"/>
    <x v="1004"/>
    <n v="16"/>
    <n v="522.22"/>
    <n v="86847"/>
  </r>
  <r>
    <n v="20036"/>
    <x v="2"/>
    <n v="0.09"/>
    <n v="5.98"/>
    <n v="1.49"/>
    <n v="1860"/>
    <x v="603"/>
    <x v="2"/>
    <x v="1"/>
    <x v="0"/>
    <x v="8"/>
    <x v="3"/>
    <x v="370"/>
    <n v="0.39"/>
    <x v="0"/>
    <x v="1"/>
    <x v="15"/>
    <x v="485"/>
    <n v="1570"/>
    <x v="15"/>
    <d v="2015-06-17T00:00:00"/>
    <x v="1005"/>
    <n v="5"/>
    <n v="28.01"/>
    <n v="86846"/>
  </r>
  <r>
    <n v="18879"/>
    <x v="1"/>
    <n v="0.08"/>
    <n v="8.09"/>
    <n v="7.96"/>
    <n v="1869"/>
    <x v="604"/>
    <x v="2"/>
    <x v="3"/>
    <x v="1"/>
    <x v="2"/>
    <x v="3"/>
    <x v="38"/>
    <n v="0.49"/>
    <x v="0"/>
    <x v="0"/>
    <x v="27"/>
    <x v="486"/>
    <n v="88310"/>
    <x v="32"/>
    <d v="2015-05-04T00:00:00"/>
    <x v="1006"/>
    <n v="10"/>
    <n v="80.349999999999994"/>
    <n v="89209"/>
  </r>
  <r>
    <n v="19415"/>
    <x v="3"/>
    <n v="0.03"/>
    <n v="90.48"/>
    <n v="19.989999999999998"/>
    <n v="1873"/>
    <x v="605"/>
    <x v="2"/>
    <x v="0"/>
    <x v="0"/>
    <x v="4"/>
    <x v="3"/>
    <x v="634"/>
    <n v="0.4"/>
    <x v="0"/>
    <x v="3"/>
    <x v="26"/>
    <x v="487"/>
    <n v="33403"/>
    <x v="60"/>
    <d v="2015-01-19T00:00:00"/>
    <x v="1007"/>
    <n v="1"/>
    <n v="99.69"/>
    <n v="90099"/>
  </r>
  <r>
    <n v="19416"/>
    <x v="3"/>
    <n v="0.06"/>
    <n v="22.84"/>
    <n v="8.18"/>
    <n v="1873"/>
    <x v="605"/>
    <x v="2"/>
    <x v="0"/>
    <x v="0"/>
    <x v="7"/>
    <x v="3"/>
    <x v="635"/>
    <n v="0.39"/>
    <x v="0"/>
    <x v="3"/>
    <x v="26"/>
    <x v="487"/>
    <n v="33403"/>
    <x v="60"/>
    <d v="2015-01-17T00:00:00"/>
    <x v="1008"/>
    <n v="7"/>
    <n v="152.49"/>
    <n v="90099"/>
  </r>
  <r>
    <n v="20844"/>
    <x v="2"/>
    <n v="0.09"/>
    <n v="95.99"/>
    <n v="4.9000000000000004"/>
    <n v="1875"/>
    <x v="606"/>
    <x v="2"/>
    <x v="3"/>
    <x v="2"/>
    <x v="5"/>
    <x v="3"/>
    <x v="75"/>
    <n v="0.56000000000000005"/>
    <x v="0"/>
    <x v="3"/>
    <x v="8"/>
    <x v="488"/>
    <n v="23320"/>
    <x v="134"/>
    <d v="2015-01-31T00:00:00"/>
    <x v="1009"/>
    <n v="4"/>
    <n v="320.75"/>
    <n v="90899"/>
  </r>
  <r>
    <n v="18284"/>
    <x v="1"/>
    <n v="0.09"/>
    <n v="5.78"/>
    <n v="5.67"/>
    <n v="1882"/>
    <x v="607"/>
    <x v="2"/>
    <x v="1"/>
    <x v="0"/>
    <x v="7"/>
    <x v="3"/>
    <x v="221"/>
    <n v="0.36"/>
    <x v="0"/>
    <x v="1"/>
    <x v="2"/>
    <x v="489"/>
    <n v="7036"/>
    <x v="151"/>
    <d v="2015-03-03T00:00:00"/>
    <x v="1010"/>
    <n v="1"/>
    <n v="11.35"/>
    <n v="87378"/>
  </r>
  <r>
    <n v="18283"/>
    <x v="1"/>
    <n v="0.05"/>
    <n v="535.64"/>
    <n v="14.7"/>
    <n v="1885"/>
    <x v="608"/>
    <x v="1"/>
    <x v="1"/>
    <x v="2"/>
    <x v="6"/>
    <x v="1"/>
    <x v="636"/>
    <n v="0.59"/>
    <x v="0"/>
    <x v="1"/>
    <x v="31"/>
    <x v="490"/>
    <n v="2806"/>
    <x v="151"/>
    <d v="2015-03-03T00:00:00"/>
    <x v="1011"/>
    <n v="15"/>
    <n v="7029.1"/>
    <n v="87378"/>
  </r>
  <r>
    <n v="19918"/>
    <x v="4"/>
    <n v="0.09"/>
    <n v="78.8"/>
    <n v="35"/>
    <n v="1889"/>
    <x v="609"/>
    <x v="2"/>
    <x v="1"/>
    <x v="0"/>
    <x v="10"/>
    <x v="6"/>
    <x v="637"/>
    <n v="0.83"/>
    <x v="0"/>
    <x v="1"/>
    <x v="10"/>
    <x v="457"/>
    <n v="45429"/>
    <x v="89"/>
    <d v="2015-04-21T00:00:00"/>
    <x v="1012"/>
    <n v="14"/>
    <n v="1059.3800000000001"/>
    <n v="90631"/>
  </r>
  <r>
    <n v="23886"/>
    <x v="1"/>
    <n v="0.03"/>
    <n v="320.64"/>
    <n v="29.2"/>
    <n v="1891"/>
    <x v="610"/>
    <x v="1"/>
    <x v="1"/>
    <x v="1"/>
    <x v="11"/>
    <x v="5"/>
    <x v="638"/>
    <n v="0.66"/>
    <x v="0"/>
    <x v="1"/>
    <x v="10"/>
    <x v="491"/>
    <n v="45801"/>
    <x v="121"/>
    <d v="2015-04-07T00:00:00"/>
    <x v="1013"/>
    <n v="7"/>
    <n v="2233.46"/>
    <n v="90630"/>
  </r>
  <r>
    <n v="22858"/>
    <x v="4"/>
    <n v="0.03"/>
    <n v="180.98"/>
    <n v="26.2"/>
    <n v="1893"/>
    <x v="611"/>
    <x v="1"/>
    <x v="3"/>
    <x v="1"/>
    <x v="1"/>
    <x v="1"/>
    <x v="68"/>
    <n v="0.59"/>
    <x v="0"/>
    <x v="2"/>
    <x v="33"/>
    <x v="492"/>
    <n v="63119"/>
    <x v="138"/>
    <d v="2015-04-30T00:00:00"/>
    <x v="1014"/>
    <n v="5"/>
    <n v="928.92"/>
    <n v="91262"/>
  </r>
  <r>
    <n v="23260"/>
    <x v="2"/>
    <n v="0"/>
    <n v="300.98"/>
    <n v="164.73"/>
    <n v="1894"/>
    <x v="612"/>
    <x v="1"/>
    <x v="1"/>
    <x v="1"/>
    <x v="1"/>
    <x v="1"/>
    <x v="527"/>
    <n v="0.56000000000000005"/>
    <x v="0"/>
    <x v="2"/>
    <x v="45"/>
    <x v="493"/>
    <n v="54915"/>
    <x v="152"/>
    <d v="2015-02-25T00:00:00"/>
    <x v="1015"/>
    <n v="12"/>
    <n v="3845.35"/>
    <n v="91261"/>
  </r>
  <r>
    <n v="23261"/>
    <x v="2"/>
    <n v="0.09"/>
    <n v="2.94"/>
    <n v="0.96"/>
    <n v="1894"/>
    <x v="612"/>
    <x v="2"/>
    <x v="1"/>
    <x v="0"/>
    <x v="0"/>
    <x v="0"/>
    <x v="202"/>
    <n v="0.57999999999999996"/>
    <x v="0"/>
    <x v="2"/>
    <x v="45"/>
    <x v="493"/>
    <n v="54915"/>
    <x v="152"/>
    <d v="2015-02-26T00:00:00"/>
    <x v="1016"/>
    <n v="1"/>
    <n v="3.77"/>
    <n v="91261"/>
  </r>
  <r>
    <n v="23237"/>
    <x v="0"/>
    <n v="0.01"/>
    <n v="26.17"/>
    <n v="1.39"/>
    <n v="1894"/>
    <x v="612"/>
    <x v="2"/>
    <x v="3"/>
    <x v="0"/>
    <x v="4"/>
    <x v="3"/>
    <x v="639"/>
    <n v="0.38"/>
    <x v="0"/>
    <x v="2"/>
    <x v="45"/>
    <x v="493"/>
    <n v="54915"/>
    <x v="103"/>
    <d v="2015-03-19T00:00:00"/>
    <x v="1017"/>
    <n v="13"/>
    <n v="343.54"/>
    <n v="91263"/>
  </r>
  <r>
    <n v="19048"/>
    <x v="4"/>
    <n v="7.0000000000000007E-2"/>
    <n v="172.99"/>
    <n v="19.989999999999998"/>
    <n v="1906"/>
    <x v="613"/>
    <x v="2"/>
    <x v="0"/>
    <x v="0"/>
    <x v="8"/>
    <x v="3"/>
    <x v="640"/>
    <n v="0.39"/>
    <x v="0"/>
    <x v="1"/>
    <x v="10"/>
    <x v="491"/>
    <n v="45801"/>
    <x v="28"/>
    <d v="2015-05-17T00:00:00"/>
    <x v="1018"/>
    <n v="22"/>
    <n v="3627.08"/>
    <n v="86500"/>
  </r>
  <r>
    <n v="19049"/>
    <x v="4"/>
    <n v="0.09"/>
    <n v="7.64"/>
    <n v="1.39"/>
    <n v="1907"/>
    <x v="614"/>
    <x v="2"/>
    <x v="0"/>
    <x v="0"/>
    <x v="4"/>
    <x v="3"/>
    <x v="448"/>
    <n v="0.36"/>
    <x v="0"/>
    <x v="1"/>
    <x v="10"/>
    <x v="494"/>
    <n v="44052"/>
    <x v="28"/>
    <d v="2015-05-26T00:00:00"/>
    <x v="1019"/>
    <n v="1"/>
    <n v="8.34"/>
    <n v="86500"/>
  </r>
  <r>
    <n v="23812"/>
    <x v="1"/>
    <n v="0.02"/>
    <n v="29.17"/>
    <n v="6.27"/>
    <n v="1910"/>
    <x v="615"/>
    <x v="2"/>
    <x v="1"/>
    <x v="0"/>
    <x v="8"/>
    <x v="3"/>
    <x v="178"/>
    <n v="0.37"/>
    <x v="0"/>
    <x v="3"/>
    <x v="29"/>
    <x v="495"/>
    <n v="30269"/>
    <x v="167"/>
    <d v="2015-01-02T00:00:00"/>
    <x v="1020"/>
    <n v="2"/>
    <n v="63.32"/>
    <n v="91371"/>
  </r>
  <r>
    <n v="18962"/>
    <x v="2"/>
    <n v="0.03"/>
    <n v="11.99"/>
    <n v="5.99"/>
    <n v="1916"/>
    <x v="616"/>
    <x v="2"/>
    <x v="1"/>
    <x v="2"/>
    <x v="6"/>
    <x v="4"/>
    <x v="641"/>
    <n v="0.36"/>
    <x v="0"/>
    <x v="3"/>
    <x v="40"/>
    <x v="496"/>
    <n v="72209"/>
    <x v="139"/>
    <d v="2015-02-28T00:00:00"/>
    <x v="1021"/>
    <n v="7"/>
    <n v="83.72"/>
    <n v="85893"/>
  </r>
  <r>
    <n v="18016"/>
    <x v="0"/>
    <n v="0.01"/>
    <n v="125.99"/>
    <n v="8.99"/>
    <n v="1916"/>
    <x v="616"/>
    <x v="2"/>
    <x v="1"/>
    <x v="2"/>
    <x v="5"/>
    <x v="3"/>
    <x v="307"/>
    <n v="0.55000000000000004"/>
    <x v="0"/>
    <x v="3"/>
    <x v="40"/>
    <x v="496"/>
    <n v="72209"/>
    <x v="125"/>
    <d v="2015-04-18T00:00:00"/>
    <x v="1022"/>
    <n v="9"/>
    <n v="1011.44"/>
    <n v="85895"/>
  </r>
  <r>
    <n v="21000"/>
    <x v="3"/>
    <n v="0.08"/>
    <n v="18.7"/>
    <n v="8.99"/>
    <n v="1917"/>
    <x v="617"/>
    <x v="2"/>
    <x v="1"/>
    <x v="1"/>
    <x v="2"/>
    <x v="2"/>
    <x v="642"/>
    <n v="0.47"/>
    <x v="0"/>
    <x v="3"/>
    <x v="40"/>
    <x v="497"/>
    <n v="72113"/>
    <x v="12"/>
    <d v="2015-03-28T00:00:00"/>
    <x v="1023"/>
    <n v="7"/>
    <n v="132.22999999999999"/>
    <n v="85894"/>
  </r>
  <r>
    <n v="19967"/>
    <x v="0"/>
    <n v="0.08"/>
    <n v="22.23"/>
    <n v="3.63"/>
    <n v="1917"/>
    <x v="617"/>
    <x v="2"/>
    <x v="1"/>
    <x v="1"/>
    <x v="2"/>
    <x v="2"/>
    <x v="643"/>
    <n v="0.52"/>
    <x v="0"/>
    <x v="3"/>
    <x v="40"/>
    <x v="497"/>
    <n v="72113"/>
    <x v="151"/>
    <d v="2015-03-03T00:00:00"/>
    <x v="1024"/>
    <n v="10"/>
    <n v="210.33"/>
    <n v="85897"/>
  </r>
  <r>
    <n v="22246"/>
    <x v="4"/>
    <n v="0.1"/>
    <n v="10.44"/>
    <n v="5.75"/>
    <n v="1918"/>
    <x v="618"/>
    <x v="0"/>
    <x v="1"/>
    <x v="0"/>
    <x v="8"/>
    <x v="3"/>
    <x v="644"/>
    <n v="0.39"/>
    <x v="0"/>
    <x v="3"/>
    <x v="40"/>
    <x v="498"/>
    <n v="72450"/>
    <x v="36"/>
    <d v="2015-04-11T00:00:00"/>
    <x v="1025"/>
    <n v="17"/>
    <n v="168.04"/>
    <n v="85898"/>
  </r>
  <r>
    <n v="24971"/>
    <x v="0"/>
    <n v="0"/>
    <n v="195.99"/>
    <n v="8.99"/>
    <n v="1919"/>
    <x v="619"/>
    <x v="2"/>
    <x v="1"/>
    <x v="2"/>
    <x v="5"/>
    <x v="3"/>
    <x v="258"/>
    <n v="0.6"/>
    <x v="0"/>
    <x v="3"/>
    <x v="40"/>
    <x v="499"/>
    <n v="71603"/>
    <x v="152"/>
    <d v="2015-02-25T00:00:00"/>
    <x v="1026"/>
    <n v="5"/>
    <n v="882.93"/>
    <n v="85896"/>
  </r>
  <r>
    <n v="21563"/>
    <x v="0"/>
    <n v="0.02"/>
    <n v="259.70999999999998"/>
    <n v="66.67"/>
    <n v="1927"/>
    <x v="620"/>
    <x v="1"/>
    <x v="1"/>
    <x v="1"/>
    <x v="11"/>
    <x v="5"/>
    <x v="112"/>
    <n v="0.65"/>
    <x v="0"/>
    <x v="3"/>
    <x v="39"/>
    <x v="407"/>
    <n v="29611"/>
    <x v="92"/>
    <d v="2015-02-06T00:00:00"/>
    <x v="1027"/>
    <n v="8"/>
    <n v="1757.15"/>
    <n v="88579"/>
  </r>
  <r>
    <n v="22686"/>
    <x v="1"/>
    <n v="0.1"/>
    <n v="1889.99"/>
    <n v="19.989999999999998"/>
    <n v="1928"/>
    <x v="621"/>
    <x v="2"/>
    <x v="1"/>
    <x v="0"/>
    <x v="8"/>
    <x v="3"/>
    <x v="645"/>
    <n v="0.36"/>
    <x v="0"/>
    <x v="3"/>
    <x v="39"/>
    <x v="500"/>
    <n v="29651"/>
    <x v="72"/>
    <d v="2015-01-21T00:00:00"/>
    <x v="1028"/>
    <n v="1"/>
    <n v="1786.04"/>
    <n v="88580"/>
  </r>
  <r>
    <n v="18159"/>
    <x v="4"/>
    <n v="0.06"/>
    <n v="3.58"/>
    <n v="1.63"/>
    <n v="1933"/>
    <x v="622"/>
    <x v="2"/>
    <x v="0"/>
    <x v="0"/>
    <x v="3"/>
    <x v="0"/>
    <x v="6"/>
    <n v="0.36"/>
    <x v="0"/>
    <x v="2"/>
    <x v="7"/>
    <x v="501"/>
    <n v="75043"/>
    <x v="47"/>
    <d v="2015-04-23T00:00:00"/>
    <x v="1029"/>
    <n v="10"/>
    <n v="34.76"/>
    <n v="86687"/>
  </r>
  <r>
    <n v="19697"/>
    <x v="4"/>
    <n v="0.04"/>
    <n v="180.98"/>
    <n v="30"/>
    <n v="1934"/>
    <x v="623"/>
    <x v="1"/>
    <x v="1"/>
    <x v="1"/>
    <x v="1"/>
    <x v="1"/>
    <x v="646"/>
    <n v="0.69"/>
    <x v="0"/>
    <x v="2"/>
    <x v="7"/>
    <x v="212"/>
    <n v="78626"/>
    <x v="155"/>
    <d v="2015-05-30T00:00:00"/>
    <x v="1030"/>
    <n v="3"/>
    <n v="561.65"/>
    <n v="86688"/>
  </r>
  <r>
    <n v="19780"/>
    <x v="2"/>
    <n v="0.01"/>
    <n v="42.98"/>
    <n v="4.62"/>
    <n v="1935"/>
    <x v="624"/>
    <x v="0"/>
    <x v="0"/>
    <x v="0"/>
    <x v="15"/>
    <x v="3"/>
    <x v="647"/>
    <n v="0.56000000000000005"/>
    <x v="0"/>
    <x v="2"/>
    <x v="7"/>
    <x v="502"/>
    <n v="75051"/>
    <x v="4"/>
    <d v="2015-04-10T00:00:00"/>
    <x v="1031"/>
    <n v="9"/>
    <n v="413.73"/>
    <n v="86686"/>
  </r>
  <r>
    <n v="19698"/>
    <x v="4"/>
    <n v="0.06"/>
    <n v="3.25"/>
    <n v="49"/>
    <n v="1935"/>
    <x v="624"/>
    <x v="2"/>
    <x v="1"/>
    <x v="0"/>
    <x v="15"/>
    <x v="6"/>
    <x v="648"/>
    <n v="0.56000000000000005"/>
    <x v="0"/>
    <x v="2"/>
    <x v="7"/>
    <x v="502"/>
    <n v="75051"/>
    <x v="155"/>
    <d v="2015-06-05T00:00:00"/>
    <x v="1032"/>
    <n v="2"/>
    <n v="55.6"/>
    <n v="86688"/>
  </r>
  <r>
    <n v="19699"/>
    <x v="4"/>
    <n v="0.01"/>
    <n v="110.98"/>
    <n v="13.99"/>
    <n v="1935"/>
    <x v="624"/>
    <x v="2"/>
    <x v="1"/>
    <x v="1"/>
    <x v="2"/>
    <x v="4"/>
    <x v="649"/>
    <n v="0.69"/>
    <x v="0"/>
    <x v="2"/>
    <x v="7"/>
    <x v="502"/>
    <n v="75051"/>
    <x v="155"/>
    <d v="2015-06-04T00:00:00"/>
    <x v="1033"/>
    <n v="19"/>
    <n v="2099.61"/>
    <n v="86688"/>
  </r>
  <r>
    <n v="19700"/>
    <x v="4"/>
    <n v="0.05"/>
    <n v="3.95"/>
    <n v="2"/>
    <n v="1935"/>
    <x v="624"/>
    <x v="0"/>
    <x v="1"/>
    <x v="0"/>
    <x v="3"/>
    <x v="0"/>
    <x v="485"/>
    <n v="0.53"/>
    <x v="0"/>
    <x v="2"/>
    <x v="7"/>
    <x v="502"/>
    <n v="75051"/>
    <x v="155"/>
    <d v="2015-06-07T00:00:00"/>
    <x v="1034"/>
    <n v="23"/>
    <n v="96.6"/>
    <n v="86688"/>
  </r>
  <r>
    <n v="23551"/>
    <x v="3"/>
    <n v="0.1"/>
    <n v="152.47999999999999"/>
    <n v="4"/>
    <n v="1938"/>
    <x v="625"/>
    <x v="0"/>
    <x v="0"/>
    <x v="2"/>
    <x v="13"/>
    <x v="3"/>
    <x v="208"/>
    <n v="0.79"/>
    <x v="0"/>
    <x v="2"/>
    <x v="13"/>
    <x v="503"/>
    <n v="66801"/>
    <x v="27"/>
    <d v="2015-03-23T00:00:00"/>
    <x v="1035"/>
    <n v="4"/>
    <n v="558.16999999999996"/>
    <n v="88870"/>
  </r>
  <r>
    <n v="23550"/>
    <x v="3"/>
    <n v="0.08"/>
    <n v="6.84"/>
    <n v="8.3699999999999992"/>
    <n v="1940"/>
    <x v="626"/>
    <x v="2"/>
    <x v="0"/>
    <x v="0"/>
    <x v="12"/>
    <x v="2"/>
    <x v="597"/>
    <n v="0.57999999999999996"/>
    <x v="0"/>
    <x v="0"/>
    <x v="17"/>
    <x v="504"/>
    <n v="84020"/>
    <x v="27"/>
    <d v="2015-03-24T00:00:00"/>
    <x v="1036"/>
    <n v="1"/>
    <n v="8.39"/>
    <n v="88870"/>
  </r>
  <r>
    <n v="25531"/>
    <x v="4"/>
    <n v="0"/>
    <n v="78.650000000000006"/>
    <n v="13.99"/>
    <n v="1940"/>
    <x v="626"/>
    <x v="2"/>
    <x v="0"/>
    <x v="0"/>
    <x v="15"/>
    <x v="4"/>
    <x v="650"/>
    <n v="0.52"/>
    <x v="0"/>
    <x v="0"/>
    <x v="17"/>
    <x v="504"/>
    <n v="84020"/>
    <x v="47"/>
    <d v="2015-04-26T00:00:00"/>
    <x v="1037"/>
    <n v="7"/>
    <n v="559.42999999999995"/>
    <n v="88871"/>
  </r>
  <r>
    <n v="25532"/>
    <x v="4"/>
    <n v="0.08"/>
    <n v="122.99"/>
    <n v="70.2"/>
    <n v="1940"/>
    <x v="626"/>
    <x v="1"/>
    <x v="0"/>
    <x v="1"/>
    <x v="1"/>
    <x v="1"/>
    <x v="36"/>
    <n v="0.74"/>
    <x v="0"/>
    <x v="0"/>
    <x v="17"/>
    <x v="504"/>
    <n v="84020"/>
    <x v="47"/>
    <d v="2015-04-24T00:00:00"/>
    <x v="1038"/>
    <n v="10"/>
    <n v="1216.52"/>
    <n v="88871"/>
  </r>
  <r>
    <n v="20371"/>
    <x v="3"/>
    <n v="0.08"/>
    <n v="90.98"/>
    <n v="56.2"/>
    <n v="1946"/>
    <x v="627"/>
    <x v="2"/>
    <x v="3"/>
    <x v="1"/>
    <x v="2"/>
    <x v="4"/>
    <x v="384"/>
    <n v="0.74"/>
    <x v="0"/>
    <x v="1"/>
    <x v="19"/>
    <x v="505"/>
    <n v="15228"/>
    <x v="161"/>
    <d v="2015-01-28T00:00:00"/>
    <x v="1039"/>
    <n v="12"/>
    <n v="1058.3599999999999"/>
    <n v="86331"/>
  </r>
  <r>
    <n v="20372"/>
    <x v="3"/>
    <n v="7.0000000000000007E-2"/>
    <n v="5.98"/>
    <n v="5.35"/>
    <n v="1946"/>
    <x v="627"/>
    <x v="2"/>
    <x v="3"/>
    <x v="0"/>
    <x v="7"/>
    <x v="3"/>
    <x v="515"/>
    <n v="0.4"/>
    <x v="0"/>
    <x v="1"/>
    <x v="19"/>
    <x v="505"/>
    <n v="15228"/>
    <x v="161"/>
    <d v="2015-01-28T00:00:00"/>
    <x v="1040"/>
    <n v="3"/>
    <n v="18.309999999999999"/>
    <n v="86331"/>
  </r>
  <r>
    <n v="21762"/>
    <x v="4"/>
    <n v="0.05"/>
    <n v="424.21"/>
    <n v="110.2"/>
    <n v="1949"/>
    <x v="628"/>
    <x v="1"/>
    <x v="2"/>
    <x v="1"/>
    <x v="11"/>
    <x v="5"/>
    <x v="651"/>
    <n v="0.67"/>
    <x v="0"/>
    <x v="0"/>
    <x v="5"/>
    <x v="506"/>
    <n v="59715"/>
    <x v="108"/>
    <d v="2015-02-05T00:00:00"/>
    <x v="1041"/>
    <n v="12"/>
    <n v="4935.22"/>
    <n v="90415"/>
  </r>
  <r>
    <n v="24793"/>
    <x v="1"/>
    <n v="0.01"/>
    <n v="6.68"/>
    <n v="4.91"/>
    <n v="1950"/>
    <x v="629"/>
    <x v="2"/>
    <x v="2"/>
    <x v="0"/>
    <x v="7"/>
    <x v="3"/>
    <x v="652"/>
    <n v="0.37"/>
    <x v="0"/>
    <x v="0"/>
    <x v="5"/>
    <x v="507"/>
    <n v="59750"/>
    <x v="61"/>
    <d v="2015-01-08T00:00:00"/>
    <x v="1042"/>
    <n v="7"/>
    <n v="51.03"/>
    <n v="90414"/>
  </r>
  <r>
    <n v="23378"/>
    <x v="0"/>
    <n v="0.09"/>
    <n v="40.98"/>
    <n v="6.5"/>
    <n v="1956"/>
    <x v="630"/>
    <x v="2"/>
    <x v="3"/>
    <x v="2"/>
    <x v="13"/>
    <x v="3"/>
    <x v="456"/>
    <n v="0.74"/>
    <x v="0"/>
    <x v="0"/>
    <x v="21"/>
    <x v="64"/>
    <n v="80027"/>
    <x v="117"/>
    <d v="2015-06-21T00:00:00"/>
    <x v="1043"/>
    <n v="19"/>
    <n v="746.91"/>
    <n v="89820"/>
  </r>
  <r>
    <n v="21638"/>
    <x v="0"/>
    <n v="0.09"/>
    <n v="77.510000000000005"/>
    <n v="4"/>
    <n v="1957"/>
    <x v="631"/>
    <x v="2"/>
    <x v="3"/>
    <x v="2"/>
    <x v="13"/>
    <x v="3"/>
    <x v="624"/>
    <n v="0.76"/>
    <x v="0"/>
    <x v="2"/>
    <x v="33"/>
    <x v="403"/>
    <n v="63130"/>
    <x v="74"/>
    <d v="2015-04-09T00:00:00"/>
    <x v="1044"/>
    <n v="1"/>
    <n v="77.47"/>
    <n v="89818"/>
  </r>
  <r>
    <n v="24640"/>
    <x v="4"/>
    <n v="0.09"/>
    <n v="30.98"/>
    <n v="6.5"/>
    <n v="1958"/>
    <x v="632"/>
    <x v="0"/>
    <x v="3"/>
    <x v="2"/>
    <x v="13"/>
    <x v="3"/>
    <x v="653"/>
    <n v="0.64"/>
    <x v="0"/>
    <x v="0"/>
    <x v="6"/>
    <x v="219"/>
    <n v="97068"/>
    <x v="49"/>
    <d v="2015-06-22T00:00:00"/>
    <x v="1045"/>
    <n v="7"/>
    <n v="204.34"/>
    <n v="89819"/>
  </r>
  <r>
    <n v="3956"/>
    <x v="2"/>
    <n v="0"/>
    <n v="20.28"/>
    <n v="14.39"/>
    <n v="1959"/>
    <x v="633"/>
    <x v="2"/>
    <x v="0"/>
    <x v="1"/>
    <x v="2"/>
    <x v="3"/>
    <x v="654"/>
    <n v="0.47"/>
    <x v="0"/>
    <x v="3"/>
    <x v="26"/>
    <x v="95"/>
    <n v="33916"/>
    <x v="46"/>
    <d v="2015-01-22T00:00:00"/>
    <x v="1046"/>
    <n v="9"/>
    <n v="206.04"/>
    <n v="28225"/>
  </r>
  <r>
    <n v="3684"/>
    <x v="4"/>
    <n v="0.02"/>
    <n v="9.99"/>
    <n v="11.59"/>
    <n v="1959"/>
    <x v="633"/>
    <x v="2"/>
    <x v="1"/>
    <x v="0"/>
    <x v="7"/>
    <x v="3"/>
    <x v="655"/>
    <n v="0.4"/>
    <x v="0"/>
    <x v="3"/>
    <x v="26"/>
    <x v="95"/>
    <n v="33916"/>
    <x v="106"/>
    <d v="2015-04-27T00:00:00"/>
    <x v="1047"/>
    <n v="43"/>
    <n v="475.42"/>
    <n v="26342"/>
  </r>
  <r>
    <n v="3685"/>
    <x v="4"/>
    <n v="0.02"/>
    <n v="48.04"/>
    <n v="5.79"/>
    <n v="1959"/>
    <x v="633"/>
    <x v="2"/>
    <x v="1"/>
    <x v="0"/>
    <x v="7"/>
    <x v="3"/>
    <x v="310"/>
    <n v="0.37"/>
    <x v="0"/>
    <x v="3"/>
    <x v="26"/>
    <x v="95"/>
    <n v="33916"/>
    <x v="106"/>
    <d v="2015-04-23T00:00:00"/>
    <x v="1048"/>
    <n v="74"/>
    <n v="3598.82"/>
    <n v="26342"/>
  </r>
  <r>
    <n v="3686"/>
    <x v="4"/>
    <n v="0.04"/>
    <n v="6.68"/>
    <n v="4.91"/>
    <n v="1959"/>
    <x v="633"/>
    <x v="2"/>
    <x v="1"/>
    <x v="0"/>
    <x v="7"/>
    <x v="3"/>
    <x v="652"/>
    <n v="0.37"/>
    <x v="0"/>
    <x v="3"/>
    <x v="26"/>
    <x v="95"/>
    <n v="33916"/>
    <x v="106"/>
    <d v="2015-04-25T00:00:00"/>
    <x v="1049"/>
    <n v="5"/>
    <n v="41.22"/>
    <n v="26342"/>
  </r>
  <r>
    <n v="21685"/>
    <x v="4"/>
    <n v="0.02"/>
    <n v="48.04"/>
    <n v="5.79"/>
    <n v="1962"/>
    <x v="634"/>
    <x v="2"/>
    <x v="1"/>
    <x v="0"/>
    <x v="7"/>
    <x v="3"/>
    <x v="310"/>
    <n v="0.37"/>
    <x v="0"/>
    <x v="2"/>
    <x v="22"/>
    <x v="508"/>
    <n v="48601"/>
    <x v="106"/>
    <d v="2015-04-23T00:00:00"/>
    <x v="1050"/>
    <n v="18"/>
    <n v="875.39"/>
    <n v="88857"/>
  </r>
  <r>
    <n v="21686"/>
    <x v="4"/>
    <n v="0.04"/>
    <n v="6.68"/>
    <n v="4.91"/>
    <n v="1962"/>
    <x v="634"/>
    <x v="2"/>
    <x v="1"/>
    <x v="0"/>
    <x v="7"/>
    <x v="3"/>
    <x v="652"/>
    <n v="0.37"/>
    <x v="0"/>
    <x v="2"/>
    <x v="22"/>
    <x v="508"/>
    <n v="48601"/>
    <x v="106"/>
    <d v="2015-04-25T00:00:00"/>
    <x v="1051"/>
    <n v="1"/>
    <n v="8.24"/>
    <n v="88857"/>
  </r>
  <r>
    <n v="22488"/>
    <x v="3"/>
    <n v="0.01"/>
    <n v="78.650000000000006"/>
    <n v="13.99"/>
    <n v="1967"/>
    <x v="635"/>
    <x v="0"/>
    <x v="2"/>
    <x v="0"/>
    <x v="15"/>
    <x v="4"/>
    <x v="650"/>
    <n v="0.52"/>
    <x v="0"/>
    <x v="2"/>
    <x v="25"/>
    <x v="406"/>
    <n v="52732"/>
    <x v="103"/>
    <d v="2015-03-19T00:00:00"/>
    <x v="1052"/>
    <n v="8"/>
    <n v="641.11"/>
    <n v="89456"/>
  </r>
  <r>
    <n v="26220"/>
    <x v="3"/>
    <n v="0.02"/>
    <n v="11.58"/>
    <n v="5.72"/>
    <n v="1971"/>
    <x v="636"/>
    <x v="2"/>
    <x v="0"/>
    <x v="0"/>
    <x v="4"/>
    <x v="3"/>
    <x v="240"/>
    <n v="0.35"/>
    <x v="0"/>
    <x v="3"/>
    <x v="37"/>
    <x v="509"/>
    <n v="38801"/>
    <x v="174"/>
    <d v="2015-01-19T00:00:00"/>
    <x v="1053"/>
    <n v="3"/>
    <n v="35.479999999999997"/>
    <n v="91550"/>
  </r>
  <r>
    <n v="26223"/>
    <x v="3"/>
    <n v="0.05"/>
    <n v="350.99"/>
    <n v="39"/>
    <n v="1972"/>
    <x v="637"/>
    <x v="1"/>
    <x v="0"/>
    <x v="1"/>
    <x v="1"/>
    <x v="1"/>
    <x v="455"/>
    <n v="0.55000000000000004"/>
    <x v="0"/>
    <x v="1"/>
    <x v="19"/>
    <x v="510"/>
    <n v="19090"/>
    <x v="174"/>
    <d v="2015-01-20T00:00:00"/>
    <x v="1054"/>
    <n v="6"/>
    <n v="2130.04"/>
    <n v="91550"/>
  </r>
  <r>
    <n v="26224"/>
    <x v="3"/>
    <n v="0.04"/>
    <n v="15.99"/>
    <n v="9.4"/>
    <n v="1972"/>
    <x v="637"/>
    <x v="0"/>
    <x v="0"/>
    <x v="2"/>
    <x v="6"/>
    <x v="3"/>
    <x v="616"/>
    <n v="0.49"/>
    <x v="0"/>
    <x v="1"/>
    <x v="19"/>
    <x v="510"/>
    <n v="19090"/>
    <x v="174"/>
    <d v="2015-01-20T00:00:00"/>
    <x v="1055"/>
    <n v="5"/>
    <n v="82.8"/>
    <n v="91550"/>
  </r>
  <r>
    <n v="18795"/>
    <x v="3"/>
    <n v="0.09"/>
    <n v="20.48"/>
    <n v="6.32"/>
    <n v="1974"/>
    <x v="638"/>
    <x v="2"/>
    <x v="3"/>
    <x v="0"/>
    <x v="15"/>
    <x v="3"/>
    <x v="656"/>
    <n v="0.57999999999999996"/>
    <x v="0"/>
    <x v="2"/>
    <x v="22"/>
    <x v="511"/>
    <n v="48127"/>
    <x v="135"/>
    <d v="2015-05-21T00:00:00"/>
    <x v="1056"/>
    <n v="5"/>
    <n v="99.02"/>
    <n v="89040"/>
  </r>
  <r>
    <n v="18796"/>
    <x v="3"/>
    <n v="0.06"/>
    <n v="15.67"/>
    <n v="1.39"/>
    <n v="1974"/>
    <x v="638"/>
    <x v="2"/>
    <x v="3"/>
    <x v="0"/>
    <x v="4"/>
    <x v="3"/>
    <x v="598"/>
    <n v="0.38"/>
    <x v="0"/>
    <x v="2"/>
    <x v="22"/>
    <x v="511"/>
    <n v="48127"/>
    <x v="135"/>
    <d v="2015-05-21T00:00:00"/>
    <x v="1057"/>
    <n v="3"/>
    <n v="46.4"/>
    <n v="89040"/>
  </r>
  <r>
    <n v="25731"/>
    <x v="2"/>
    <n v="0.05"/>
    <n v="70.98"/>
    <n v="46.74"/>
    <n v="1976"/>
    <x v="639"/>
    <x v="1"/>
    <x v="3"/>
    <x v="1"/>
    <x v="14"/>
    <x v="5"/>
    <x v="311"/>
    <n v="0.56000000000000005"/>
    <x v="0"/>
    <x v="2"/>
    <x v="22"/>
    <x v="512"/>
    <n v="48823"/>
    <x v="56"/>
    <d v="2015-01-11T00:00:00"/>
    <x v="1058"/>
    <n v="8"/>
    <n v="551.51"/>
    <n v="89039"/>
  </r>
  <r>
    <n v="25732"/>
    <x v="2"/>
    <n v="0.05"/>
    <n v="11.55"/>
    <n v="2.36"/>
    <n v="1976"/>
    <x v="639"/>
    <x v="2"/>
    <x v="3"/>
    <x v="0"/>
    <x v="0"/>
    <x v="0"/>
    <x v="99"/>
    <n v="0.55000000000000004"/>
    <x v="0"/>
    <x v="2"/>
    <x v="22"/>
    <x v="512"/>
    <n v="48823"/>
    <x v="56"/>
    <d v="2015-01-12T00:00:00"/>
    <x v="1059"/>
    <n v="12"/>
    <n v="142.79"/>
    <n v="89039"/>
  </r>
  <r>
    <n v="24887"/>
    <x v="2"/>
    <n v="0.06"/>
    <n v="40.99"/>
    <n v="17.48"/>
    <n v="1976"/>
    <x v="639"/>
    <x v="2"/>
    <x v="3"/>
    <x v="0"/>
    <x v="7"/>
    <x v="3"/>
    <x v="399"/>
    <n v="0.36"/>
    <x v="0"/>
    <x v="2"/>
    <x v="22"/>
    <x v="512"/>
    <n v="48823"/>
    <x v="165"/>
    <d v="2015-03-25T00:00:00"/>
    <x v="1060"/>
    <n v="14"/>
    <n v="585.08000000000004"/>
    <n v="89041"/>
  </r>
  <r>
    <n v="21692"/>
    <x v="1"/>
    <n v="0.05"/>
    <n v="20.99"/>
    <n v="3.3"/>
    <n v="1979"/>
    <x v="640"/>
    <x v="2"/>
    <x v="0"/>
    <x v="2"/>
    <x v="5"/>
    <x v="2"/>
    <x v="321"/>
    <n v="0.81"/>
    <x v="0"/>
    <x v="0"/>
    <x v="21"/>
    <x v="513"/>
    <n v="80122"/>
    <x v="130"/>
    <d v="2015-05-06T00:00:00"/>
    <x v="1061"/>
    <n v="4"/>
    <n v="72.75"/>
    <n v="87757"/>
  </r>
  <r>
    <n v="24935"/>
    <x v="1"/>
    <n v="0.1"/>
    <n v="7.37"/>
    <n v="5.53"/>
    <n v="1984"/>
    <x v="641"/>
    <x v="2"/>
    <x v="3"/>
    <x v="2"/>
    <x v="13"/>
    <x v="2"/>
    <x v="95"/>
    <n v="0.69"/>
    <x v="0"/>
    <x v="3"/>
    <x v="39"/>
    <x v="226"/>
    <n v="29915"/>
    <x v="41"/>
    <d v="2015-05-16T00:00:00"/>
    <x v="1062"/>
    <n v="38"/>
    <n v="269.33"/>
    <n v="91258"/>
  </r>
  <r>
    <n v="20568"/>
    <x v="1"/>
    <n v="0.01"/>
    <n v="15.31"/>
    <n v="8.7799999999999994"/>
    <n v="1986"/>
    <x v="642"/>
    <x v="2"/>
    <x v="1"/>
    <x v="0"/>
    <x v="10"/>
    <x v="3"/>
    <x v="657"/>
    <n v="0.56999999999999995"/>
    <x v="0"/>
    <x v="2"/>
    <x v="7"/>
    <x v="514"/>
    <n v="79701"/>
    <x v="166"/>
    <d v="2015-05-07T00:00:00"/>
    <x v="1063"/>
    <n v="23"/>
    <n v="377"/>
    <n v="90888"/>
  </r>
  <r>
    <n v="20569"/>
    <x v="1"/>
    <n v="0.05"/>
    <n v="7.99"/>
    <n v="5.03"/>
    <n v="1986"/>
    <x v="642"/>
    <x v="0"/>
    <x v="1"/>
    <x v="2"/>
    <x v="5"/>
    <x v="4"/>
    <x v="145"/>
    <n v="0.6"/>
    <x v="0"/>
    <x v="2"/>
    <x v="7"/>
    <x v="514"/>
    <n v="79701"/>
    <x v="166"/>
    <d v="2015-05-08T00:00:00"/>
    <x v="1064"/>
    <n v="4"/>
    <n v="42.99"/>
    <n v="90888"/>
  </r>
  <r>
    <n v="19336"/>
    <x v="0"/>
    <n v="0.05"/>
    <n v="20.98"/>
    <n v="21.2"/>
    <n v="1988"/>
    <x v="643"/>
    <x v="2"/>
    <x v="1"/>
    <x v="1"/>
    <x v="2"/>
    <x v="4"/>
    <x v="658"/>
    <n v="0.78"/>
    <x v="0"/>
    <x v="0"/>
    <x v="17"/>
    <x v="504"/>
    <n v="84020"/>
    <x v="35"/>
    <d v="2015-01-04T00:00:00"/>
    <x v="1065"/>
    <n v="3"/>
    <n v="65.69"/>
    <n v="89999"/>
  </r>
  <r>
    <n v="22600"/>
    <x v="1"/>
    <n v="0.04"/>
    <n v="355.98"/>
    <n v="58.92"/>
    <n v="1989"/>
    <x v="644"/>
    <x v="1"/>
    <x v="1"/>
    <x v="1"/>
    <x v="1"/>
    <x v="1"/>
    <x v="464"/>
    <n v="0.64"/>
    <x v="0"/>
    <x v="0"/>
    <x v="17"/>
    <x v="515"/>
    <n v="84117"/>
    <x v="72"/>
    <d v="2015-01-22T00:00:00"/>
    <x v="1066"/>
    <n v="8"/>
    <n v="2748.21"/>
    <n v="90000"/>
  </r>
  <r>
    <n v="22601"/>
    <x v="1"/>
    <n v="0.09"/>
    <n v="19.98"/>
    <n v="8.68"/>
    <n v="1989"/>
    <x v="644"/>
    <x v="2"/>
    <x v="1"/>
    <x v="0"/>
    <x v="7"/>
    <x v="3"/>
    <x v="441"/>
    <n v="0.37"/>
    <x v="0"/>
    <x v="0"/>
    <x v="17"/>
    <x v="515"/>
    <n v="84117"/>
    <x v="72"/>
    <d v="2015-01-22T00:00:00"/>
    <x v="1067"/>
    <n v="5"/>
    <n v="93.19"/>
    <n v="90000"/>
  </r>
  <r>
    <n v="20554"/>
    <x v="0"/>
    <n v="0.01"/>
    <n v="30.98"/>
    <n v="6.5"/>
    <n v="1989"/>
    <x v="644"/>
    <x v="2"/>
    <x v="0"/>
    <x v="2"/>
    <x v="13"/>
    <x v="3"/>
    <x v="653"/>
    <n v="0.64"/>
    <x v="0"/>
    <x v="0"/>
    <x v="17"/>
    <x v="515"/>
    <n v="84117"/>
    <x v="7"/>
    <d v="2015-05-16T00:00:00"/>
    <x v="1068"/>
    <n v="11"/>
    <n v="363.37"/>
    <n v="90001"/>
  </r>
  <r>
    <n v="20555"/>
    <x v="0"/>
    <n v="0.01"/>
    <n v="40.99"/>
    <n v="19.989999999999998"/>
    <n v="1989"/>
    <x v="644"/>
    <x v="2"/>
    <x v="0"/>
    <x v="0"/>
    <x v="7"/>
    <x v="3"/>
    <x v="659"/>
    <n v="0.36"/>
    <x v="0"/>
    <x v="0"/>
    <x v="17"/>
    <x v="515"/>
    <n v="84117"/>
    <x v="7"/>
    <d v="2015-05-18T00:00:00"/>
    <x v="1069"/>
    <n v="11"/>
    <n v="480.75"/>
    <n v="90001"/>
  </r>
  <r>
    <n v="21723"/>
    <x v="3"/>
    <n v="0.1"/>
    <n v="1.6"/>
    <n v="1.29"/>
    <n v="1989"/>
    <x v="644"/>
    <x v="2"/>
    <x v="1"/>
    <x v="0"/>
    <x v="0"/>
    <x v="0"/>
    <x v="660"/>
    <n v="0.42"/>
    <x v="0"/>
    <x v="0"/>
    <x v="17"/>
    <x v="515"/>
    <n v="84117"/>
    <x v="122"/>
    <d v="2015-04-30T00:00:00"/>
    <x v="1070"/>
    <n v="11"/>
    <n v="16.88"/>
    <n v="90003"/>
  </r>
  <r>
    <n v="25417"/>
    <x v="3"/>
    <n v="0"/>
    <n v="47.9"/>
    <n v="5.86"/>
    <n v="1991"/>
    <x v="645"/>
    <x v="2"/>
    <x v="1"/>
    <x v="0"/>
    <x v="7"/>
    <x v="3"/>
    <x v="661"/>
    <n v="0.37"/>
    <x v="0"/>
    <x v="0"/>
    <x v="17"/>
    <x v="516"/>
    <n v="84118"/>
    <x v="11"/>
    <d v="2015-02-24T00:00:00"/>
    <x v="1071"/>
    <n v="18"/>
    <n v="925.19"/>
    <n v="90002"/>
  </r>
  <r>
    <n v="19797"/>
    <x v="1"/>
    <n v="0.1"/>
    <n v="125.99"/>
    <n v="8.99"/>
    <n v="1997"/>
    <x v="646"/>
    <x v="2"/>
    <x v="3"/>
    <x v="2"/>
    <x v="5"/>
    <x v="3"/>
    <x v="322"/>
    <n v="0.56999999999999995"/>
    <x v="0"/>
    <x v="3"/>
    <x v="39"/>
    <x v="226"/>
    <n v="29915"/>
    <x v="51"/>
    <d v="2015-01-28T00:00:00"/>
    <x v="1072"/>
    <n v="4"/>
    <n v="408.66"/>
    <n v="90333"/>
  </r>
  <r>
    <n v="19581"/>
    <x v="3"/>
    <n v="0.01"/>
    <n v="16.48"/>
    <n v="1.99"/>
    <n v="1997"/>
    <x v="646"/>
    <x v="2"/>
    <x v="3"/>
    <x v="2"/>
    <x v="13"/>
    <x v="2"/>
    <x v="524"/>
    <n v="0.42"/>
    <x v="0"/>
    <x v="3"/>
    <x v="39"/>
    <x v="226"/>
    <n v="29915"/>
    <x v="163"/>
    <d v="2015-05-08T00:00:00"/>
    <x v="1073"/>
    <n v="7"/>
    <n v="122.93"/>
    <n v="90334"/>
  </r>
  <r>
    <n v="21003"/>
    <x v="4"/>
    <n v="0"/>
    <n v="24.92"/>
    <n v="12.98"/>
    <n v="1997"/>
    <x v="646"/>
    <x v="2"/>
    <x v="3"/>
    <x v="0"/>
    <x v="8"/>
    <x v="3"/>
    <x v="662"/>
    <n v="0.39"/>
    <x v="0"/>
    <x v="3"/>
    <x v="39"/>
    <x v="226"/>
    <n v="29915"/>
    <x v="42"/>
    <d v="2015-06-02T00:00:00"/>
    <x v="1074"/>
    <n v="1"/>
    <n v="32.659999999999997"/>
    <n v="90335"/>
  </r>
  <r>
    <n v="20392"/>
    <x v="1"/>
    <n v="0.06"/>
    <n v="4.42"/>
    <n v="4.99"/>
    <n v="1998"/>
    <x v="647"/>
    <x v="2"/>
    <x v="0"/>
    <x v="0"/>
    <x v="4"/>
    <x v="3"/>
    <x v="7"/>
    <n v="0.38"/>
    <x v="0"/>
    <x v="1"/>
    <x v="4"/>
    <x v="517"/>
    <n v="11758"/>
    <x v="26"/>
    <d v="2015-06-05T00:00:00"/>
    <x v="1075"/>
    <n v="3"/>
    <n v="14.85"/>
    <n v="90568"/>
  </r>
  <r>
    <n v="24075"/>
    <x v="3"/>
    <n v="0.06"/>
    <n v="4.24"/>
    <n v="5.41"/>
    <n v="2004"/>
    <x v="648"/>
    <x v="2"/>
    <x v="1"/>
    <x v="0"/>
    <x v="8"/>
    <x v="3"/>
    <x v="21"/>
    <n v="0.35"/>
    <x v="0"/>
    <x v="0"/>
    <x v="5"/>
    <x v="506"/>
    <n v="59715"/>
    <x v="89"/>
    <d v="2015-04-19T00:00:00"/>
    <x v="1076"/>
    <n v="10"/>
    <n v="45"/>
    <n v="91277"/>
  </r>
  <r>
    <n v="24076"/>
    <x v="3"/>
    <n v="0.04"/>
    <n v="6783.02"/>
    <n v="24.49"/>
    <n v="2004"/>
    <x v="648"/>
    <x v="2"/>
    <x v="1"/>
    <x v="2"/>
    <x v="6"/>
    <x v="6"/>
    <x v="458"/>
    <n v="0.39"/>
    <x v="0"/>
    <x v="0"/>
    <x v="5"/>
    <x v="506"/>
    <n v="59715"/>
    <x v="89"/>
    <d v="2015-04-19T00:00:00"/>
    <x v="1077"/>
    <n v="1"/>
    <n v="6569.07"/>
    <n v="91277"/>
  </r>
  <r>
    <n v="25251"/>
    <x v="1"/>
    <n v="0.03"/>
    <n v="5.78"/>
    <n v="5.37"/>
    <n v="2006"/>
    <x v="649"/>
    <x v="2"/>
    <x v="1"/>
    <x v="0"/>
    <x v="7"/>
    <x v="3"/>
    <x v="663"/>
    <n v="0.36"/>
    <x v="0"/>
    <x v="0"/>
    <x v="21"/>
    <x v="518"/>
    <n v="81301"/>
    <x v="93"/>
    <d v="2015-03-06T00:00:00"/>
    <x v="1078"/>
    <n v="15"/>
    <n v="88.22"/>
    <n v="88798"/>
  </r>
  <r>
    <n v="20006"/>
    <x v="3"/>
    <n v="0.1"/>
    <n v="10.48"/>
    <n v="2.89"/>
    <n v="2016"/>
    <x v="650"/>
    <x v="2"/>
    <x v="0"/>
    <x v="0"/>
    <x v="0"/>
    <x v="2"/>
    <x v="626"/>
    <n v="0.6"/>
    <x v="0"/>
    <x v="2"/>
    <x v="22"/>
    <x v="172"/>
    <n v="48195"/>
    <x v="49"/>
    <d v="2015-06-19T00:00:00"/>
    <x v="1079"/>
    <n v="4"/>
    <n v="40.29"/>
    <n v="86874"/>
  </r>
  <r>
    <n v="18989"/>
    <x v="0"/>
    <n v="7.0000000000000007E-2"/>
    <n v="39.479999999999997"/>
    <n v="1.99"/>
    <n v="2014"/>
    <x v="651"/>
    <x v="2"/>
    <x v="1"/>
    <x v="2"/>
    <x v="13"/>
    <x v="2"/>
    <x v="246"/>
    <n v="0.54"/>
    <x v="0"/>
    <x v="2"/>
    <x v="25"/>
    <x v="519"/>
    <n v="51503"/>
    <x v="27"/>
    <d v="2015-03-24T00:00:00"/>
    <x v="1080"/>
    <n v="4"/>
    <n v="151.27000000000001"/>
    <n v="88367"/>
  </r>
  <r>
    <n v="18990"/>
    <x v="0"/>
    <n v="0"/>
    <n v="4.91"/>
    <n v="0.5"/>
    <n v="2014"/>
    <x v="651"/>
    <x v="2"/>
    <x v="1"/>
    <x v="0"/>
    <x v="9"/>
    <x v="3"/>
    <x v="41"/>
    <n v="0.36"/>
    <x v="0"/>
    <x v="2"/>
    <x v="25"/>
    <x v="519"/>
    <n v="51503"/>
    <x v="27"/>
    <d v="2015-03-24T00:00:00"/>
    <x v="1081"/>
    <n v="2"/>
    <n v="10.51"/>
    <n v="88367"/>
  </r>
  <r>
    <n v="21573"/>
    <x v="2"/>
    <n v="0.06"/>
    <n v="6.48"/>
    <n v="7.49"/>
    <n v="2014"/>
    <x v="651"/>
    <x v="2"/>
    <x v="1"/>
    <x v="0"/>
    <x v="7"/>
    <x v="3"/>
    <x v="664"/>
    <n v="0.37"/>
    <x v="0"/>
    <x v="2"/>
    <x v="25"/>
    <x v="519"/>
    <n v="51503"/>
    <x v="36"/>
    <d v="2015-04-04T00:00:00"/>
    <x v="1082"/>
    <n v="12"/>
    <n v="74.930000000000007"/>
    <n v="88368"/>
  </r>
  <r>
    <n v="25557"/>
    <x v="2"/>
    <n v="0.02"/>
    <n v="120.98"/>
    <n v="58.64"/>
    <n v="2020"/>
    <x v="652"/>
    <x v="1"/>
    <x v="1"/>
    <x v="1"/>
    <x v="14"/>
    <x v="5"/>
    <x v="665"/>
    <n v="0.75"/>
    <x v="0"/>
    <x v="1"/>
    <x v="19"/>
    <x v="520"/>
    <n v="15239"/>
    <x v="169"/>
    <d v="2015-02-15T00:00:00"/>
    <x v="1083"/>
    <n v="11"/>
    <n v="1370.99"/>
    <n v="86933"/>
  </r>
  <r>
    <n v="22145"/>
    <x v="2"/>
    <n v="0.04"/>
    <n v="120.97"/>
    <n v="7.11"/>
    <n v="2030"/>
    <x v="653"/>
    <x v="2"/>
    <x v="0"/>
    <x v="2"/>
    <x v="6"/>
    <x v="4"/>
    <x v="666"/>
    <n v="0.36"/>
    <x v="0"/>
    <x v="2"/>
    <x v="7"/>
    <x v="407"/>
    <n v="75401"/>
    <x v="83"/>
    <d v="2015-03-17T00:00:00"/>
    <x v="1084"/>
    <n v="16"/>
    <n v="1913.84"/>
    <n v="91059"/>
  </r>
  <r>
    <n v="22146"/>
    <x v="2"/>
    <n v="0"/>
    <n v="195.99"/>
    <n v="4.2"/>
    <n v="2030"/>
    <x v="653"/>
    <x v="2"/>
    <x v="0"/>
    <x v="2"/>
    <x v="5"/>
    <x v="3"/>
    <x v="667"/>
    <n v="0.6"/>
    <x v="0"/>
    <x v="2"/>
    <x v="7"/>
    <x v="407"/>
    <n v="75401"/>
    <x v="83"/>
    <d v="2015-03-19T00:00:00"/>
    <x v="1085"/>
    <n v="16"/>
    <n v="2692.12"/>
    <n v="91059"/>
  </r>
  <r>
    <n v="20654"/>
    <x v="3"/>
    <n v="0.03"/>
    <n v="55.98"/>
    <n v="4.8600000000000003"/>
    <n v="2030"/>
    <x v="653"/>
    <x v="2"/>
    <x v="0"/>
    <x v="0"/>
    <x v="7"/>
    <x v="3"/>
    <x v="209"/>
    <n v="0.36"/>
    <x v="0"/>
    <x v="2"/>
    <x v="7"/>
    <x v="407"/>
    <n v="75401"/>
    <x v="103"/>
    <d v="2015-03-20T00:00:00"/>
    <x v="1086"/>
    <n v="13"/>
    <n v="762.38"/>
    <n v="91060"/>
  </r>
  <r>
    <n v="25918"/>
    <x v="2"/>
    <n v="0.1"/>
    <n v="1.89"/>
    <n v="0.76"/>
    <n v="2035"/>
    <x v="654"/>
    <x v="2"/>
    <x v="3"/>
    <x v="0"/>
    <x v="3"/>
    <x v="0"/>
    <x v="668"/>
    <n v="0.83"/>
    <x v="0"/>
    <x v="3"/>
    <x v="26"/>
    <x v="487"/>
    <n v="33403"/>
    <x v="73"/>
    <d v="2015-05-20T00:00:00"/>
    <x v="1087"/>
    <n v="20"/>
    <n v="36.72"/>
    <n v="87117"/>
  </r>
  <r>
    <n v="19733"/>
    <x v="1"/>
    <n v="0"/>
    <n v="73.98"/>
    <n v="14.52"/>
    <n v="2037"/>
    <x v="655"/>
    <x v="2"/>
    <x v="2"/>
    <x v="2"/>
    <x v="13"/>
    <x v="3"/>
    <x v="414"/>
    <n v="0.65"/>
    <x v="0"/>
    <x v="0"/>
    <x v="5"/>
    <x v="506"/>
    <n v="59715"/>
    <x v="14"/>
    <d v="2015-03-14T00:00:00"/>
    <x v="1088"/>
    <n v="4"/>
    <n v="305.70999999999998"/>
    <n v="89333"/>
  </r>
  <r>
    <n v="22018"/>
    <x v="0"/>
    <n v="0.06"/>
    <n v="40.99"/>
    <n v="17.48"/>
    <n v="2038"/>
    <x v="656"/>
    <x v="2"/>
    <x v="2"/>
    <x v="0"/>
    <x v="7"/>
    <x v="3"/>
    <x v="399"/>
    <n v="0.36"/>
    <x v="0"/>
    <x v="1"/>
    <x v="4"/>
    <x v="521"/>
    <n v="10550"/>
    <x v="109"/>
    <d v="2015-04-21T00:00:00"/>
    <x v="1089"/>
    <n v="7"/>
    <n v="277.12"/>
    <n v="89334"/>
  </r>
  <r>
    <n v="24731"/>
    <x v="4"/>
    <n v="0.09"/>
    <n v="20.99"/>
    <n v="2.5"/>
    <n v="2044"/>
    <x v="657"/>
    <x v="2"/>
    <x v="0"/>
    <x v="2"/>
    <x v="5"/>
    <x v="0"/>
    <x v="427"/>
    <n v="0.81"/>
    <x v="0"/>
    <x v="3"/>
    <x v="40"/>
    <x v="522"/>
    <n v="72756"/>
    <x v="137"/>
    <d v="2015-07-01T00:00:00"/>
    <x v="1090"/>
    <n v="6"/>
    <n v="100.11"/>
    <n v="88692"/>
  </r>
  <r>
    <n v="22970"/>
    <x v="2"/>
    <n v="0.04"/>
    <n v="4.28"/>
    <n v="5.68"/>
    <n v="2046"/>
    <x v="658"/>
    <x v="2"/>
    <x v="0"/>
    <x v="0"/>
    <x v="7"/>
    <x v="3"/>
    <x v="669"/>
    <n v="0.4"/>
    <x v="0"/>
    <x v="2"/>
    <x v="13"/>
    <x v="523"/>
    <n v="67901"/>
    <x v="20"/>
    <d v="2015-06-14T00:00:00"/>
    <x v="1091"/>
    <n v="7"/>
    <n v="31.54"/>
    <n v="88219"/>
  </r>
  <r>
    <n v="22971"/>
    <x v="2"/>
    <n v="0.06"/>
    <n v="376.13"/>
    <n v="85.63"/>
    <n v="2046"/>
    <x v="658"/>
    <x v="1"/>
    <x v="0"/>
    <x v="1"/>
    <x v="11"/>
    <x v="5"/>
    <x v="670"/>
    <n v="0.74"/>
    <x v="0"/>
    <x v="2"/>
    <x v="13"/>
    <x v="523"/>
    <n v="67901"/>
    <x v="20"/>
    <d v="2015-06-14T00:00:00"/>
    <x v="1092"/>
    <n v="13"/>
    <n v="4634.6899999999996"/>
    <n v="88219"/>
  </r>
  <r>
    <n v="22972"/>
    <x v="2"/>
    <n v="0.06"/>
    <n v="424.21"/>
    <n v="110.2"/>
    <n v="2046"/>
    <x v="658"/>
    <x v="1"/>
    <x v="0"/>
    <x v="1"/>
    <x v="11"/>
    <x v="5"/>
    <x v="651"/>
    <n v="0.67"/>
    <x v="0"/>
    <x v="2"/>
    <x v="13"/>
    <x v="523"/>
    <n v="67901"/>
    <x v="20"/>
    <d v="2015-06-13T00:00:00"/>
    <x v="1093"/>
    <n v="17"/>
    <n v="7304.03"/>
    <n v="88219"/>
  </r>
  <r>
    <n v="22973"/>
    <x v="2"/>
    <n v="0.06"/>
    <n v="195.99"/>
    <n v="8.99"/>
    <n v="2046"/>
    <x v="658"/>
    <x v="2"/>
    <x v="0"/>
    <x v="2"/>
    <x v="5"/>
    <x v="3"/>
    <x v="258"/>
    <n v="0.6"/>
    <x v="0"/>
    <x v="2"/>
    <x v="13"/>
    <x v="523"/>
    <n v="67901"/>
    <x v="20"/>
    <d v="2015-06-14T00:00:00"/>
    <x v="1094"/>
    <n v="4"/>
    <n v="632.65"/>
    <n v="88219"/>
  </r>
  <r>
    <n v="18497"/>
    <x v="0"/>
    <n v="0.03"/>
    <n v="15.28"/>
    <n v="1.99"/>
    <n v="2049"/>
    <x v="659"/>
    <x v="2"/>
    <x v="0"/>
    <x v="2"/>
    <x v="13"/>
    <x v="2"/>
    <x v="108"/>
    <n v="0.42"/>
    <x v="0"/>
    <x v="3"/>
    <x v="8"/>
    <x v="524"/>
    <n v="22801"/>
    <x v="123"/>
    <d v="2015-06-23T00:00:00"/>
    <x v="1095"/>
    <n v="19"/>
    <n v="290.98"/>
    <n v="88220"/>
  </r>
  <r>
    <n v="18498"/>
    <x v="0"/>
    <n v="0.09"/>
    <n v="1.76"/>
    <n v="0.7"/>
    <n v="2049"/>
    <x v="659"/>
    <x v="2"/>
    <x v="0"/>
    <x v="0"/>
    <x v="0"/>
    <x v="0"/>
    <x v="671"/>
    <n v="0.56000000000000005"/>
    <x v="0"/>
    <x v="3"/>
    <x v="8"/>
    <x v="524"/>
    <n v="22801"/>
    <x v="123"/>
    <d v="2015-06-24T00:00:00"/>
    <x v="1096"/>
    <n v="13"/>
    <n v="21.77"/>
    <n v="88220"/>
  </r>
  <r>
    <n v="18251"/>
    <x v="1"/>
    <n v="7.0000000000000007E-2"/>
    <n v="31.78"/>
    <n v="1.99"/>
    <n v="2052"/>
    <x v="660"/>
    <x v="2"/>
    <x v="1"/>
    <x v="2"/>
    <x v="13"/>
    <x v="2"/>
    <x v="323"/>
    <n v="0.42"/>
    <x v="0"/>
    <x v="0"/>
    <x v="27"/>
    <x v="525"/>
    <n v="87105"/>
    <x v="153"/>
    <d v="2015-02-21T00:00:00"/>
    <x v="1097"/>
    <n v="13"/>
    <n v="384.22"/>
    <n v="87234"/>
  </r>
  <r>
    <n v="18252"/>
    <x v="1"/>
    <n v="0"/>
    <n v="5.98"/>
    <n v="2.5"/>
    <n v="2052"/>
    <x v="660"/>
    <x v="2"/>
    <x v="1"/>
    <x v="0"/>
    <x v="4"/>
    <x v="3"/>
    <x v="70"/>
    <n v="0.36"/>
    <x v="0"/>
    <x v="0"/>
    <x v="27"/>
    <x v="525"/>
    <n v="87105"/>
    <x v="153"/>
    <d v="2015-02-20T00:00:00"/>
    <x v="1098"/>
    <n v="5"/>
    <n v="31.64"/>
    <n v="87234"/>
  </r>
  <r>
    <n v="18253"/>
    <x v="1"/>
    <n v="0.1"/>
    <n v="35.99"/>
    <n v="1.1000000000000001"/>
    <n v="2052"/>
    <x v="660"/>
    <x v="0"/>
    <x v="1"/>
    <x v="2"/>
    <x v="5"/>
    <x v="3"/>
    <x v="337"/>
    <n v="0.55000000000000004"/>
    <x v="0"/>
    <x v="0"/>
    <x v="27"/>
    <x v="525"/>
    <n v="87105"/>
    <x v="153"/>
    <d v="2015-02-20T00:00:00"/>
    <x v="1099"/>
    <n v="19"/>
    <n v="565.36"/>
    <n v="87234"/>
  </r>
  <r>
    <n v="20481"/>
    <x v="3"/>
    <n v="7.0000000000000007E-2"/>
    <n v="5.98"/>
    <n v="5.46"/>
    <n v="2058"/>
    <x v="661"/>
    <x v="2"/>
    <x v="0"/>
    <x v="0"/>
    <x v="7"/>
    <x v="3"/>
    <x v="381"/>
    <n v="0.36"/>
    <x v="0"/>
    <x v="3"/>
    <x v="24"/>
    <x v="526"/>
    <n v="28601"/>
    <x v="169"/>
    <d v="2015-02-15T00:00:00"/>
    <x v="1100"/>
    <n v="5"/>
    <n v="32.76"/>
    <n v="88040"/>
  </r>
  <r>
    <n v="23499"/>
    <x v="1"/>
    <n v="0.09"/>
    <n v="28.48"/>
    <n v="1.99"/>
    <n v="2059"/>
    <x v="662"/>
    <x v="2"/>
    <x v="0"/>
    <x v="2"/>
    <x v="13"/>
    <x v="2"/>
    <x v="137"/>
    <n v="0.4"/>
    <x v="0"/>
    <x v="3"/>
    <x v="24"/>
    <x v="527"/>
    <n v="27260"/>
    <x v="60"/>
    <d v="2015-01-18T00:00:00"/>
    <x v="1101"/>
    <n v="13"/>
    <n v="336.92"/>
    <n v="88039"/>
  </r>
  <r>
    <n v="21632"/>
    <x v="2"/>
    <n v="0.1"/>
    <n v="9.85"/>
    <n v="4.82"/>
    <n v="2059"/>
    <x v="662"/>
    <x v="2"/>
    <x v="0"/>
    <x v="0"/>
    <x v="0"/>
    <x v="0"/>
    <x v="672"/>
    <n v="0.47"/>
    <x v="0"/>
    <x v="3"/>
    <x v="24"/>
    <x v="527"/>
    <n v="27260"/>
    <x v="12"/>
    <d v="2015-03-28T00:00:00"/>
    <x v="1102"/>
    <n v="12"/>
    <n v="114.91"/>
    <n v="88041"/>
  </r>
  <r>
    <n v="21633"/>
    <x v="2"/>
    <n v="0.04"/>
    <n v="125.99"/>
    <n v="7.69"/>
    <n v="2059"/>
    <x v="662"/>
    <x v="2"/>
    <x v="0"/>
    <x v="2"/>
    <x v="5"/>
    <x v="3"/>
    <x v="442"/>
    <n v="0.57999999999999996"/>
    <x v="0"/>
    <x v="3"/>
    <x v="24"/>
    <x v="527"/>
    <n v="27260"/>
    <x v="12"/>
    <d v="2015-03-28T00:00:00"/>
    <x v="1103"/>
    <n v="9"/>
    <n v="934.52"/>
    <n v="88041"/>
  </r>
  <r>
    <n v="20841"/>
    <x v="3"/>
    <n v="0.02"/>
    <n v="240.98"/>
    <n v="60.2"/>
    <n v="2061"/>
    <x v="663"/>
    <x v="1"/>
    <x v="0"/>
    <x v="1"/>
    <x v="14"/>
    <x v="5"/>
    <x v="673"/>
    <n v="0.56000000000000005"/>
    <x v="0"/>
    <x v="2"/>
    <x v="32"/>
    <x v="528"/>
    <n v="69101"/>
    <x v="134"/>
    <d v="2015-01-31T00:00:00"/>
    <x v="1104"/>
    <n v="1"/>
    <n v="260.66000000000003"/>
    <n v="87146"/>
  </r>
  <r>
    <n v="20840"/>
    <x v="3"/>
    <n v="0.02"/>
    <n v="420.98"/>
    <n v="19.989999999999998"/>
    <n v="2062"/>
    <x v="664"/>
    <x v="2"/>
    <x v="0"/>
    <x v="0"/>
    <x v="8"/>
    <x v="3"/>
    <x v="534"/>
    <n v="0.35"/>
    <x v="0"/>
    <x v="3"/>
    <x v="8"/>
    <x v="529"/>
    <n v="23111"/>
    <x v="134"/>
    <d v="2015-02-01T00:00:00"/>
    <x v="1105"/>
    <n v="10"/>
    <n v="4249.37"/>
    <n v="87146"/>
  </r>
  <r>
    <n v="22511"/>
    <x v="4"/>
    <n v="0.04"/>
    <n v="291.73"/>
    <n v="48.8"/>
    <n v="2062"/>
    <x v="664"/>
    <x v="1"/>
    <x v="0"/>
    <x v="1"/>
    <x v="1"/>
    <x v="1"/>
    <x v="34"/>
    <n v="0.56000000000000005"/>
    <x v="0"/>
    <x v="3"/>
    <x v="8"/>
    <x v="529"/>
    <n v="23111"/>
    <x v="175"/>
    <d v="2015-06-30T00:00:00"/>
    <x v="1106"/>
    <n v="22"/>
    <n v="6676.61"/>
    <n v="87148"/>
  </r>
  <r>
    <n v="25759"/>
    <x v="4"/>
    <n v="0.06"/>
    <n v="300.97000000000003"/>
    <n v="7.18"/>
    <n v="2063"/>
    <x v="665"/>
    <x v="2"/>
    <x v="0"/>
    <x v="2"/>
    <x v="13"/>
    <x v="3"/>
    <x v="394"/>
    <n v="0.48"/>
    <x v="0"/>
    <x v="3"/>
    <x v="8"/>
    <x v="530"/>
    <n v="23602"/>
    <x v="100"/>
    <d v="2015-05-08T00:00:00"/>
    <x v="1107"/>
    <n v="1"/>
    <n v="291.39999999999998"/>
    <n v="87147"/>
  </r>
  <r>
    <n v="25228"/>
    <x v="3"/>
    <n v="0.09"/>
    <n v="20.89"/>
    <n v="11.52"/>
    <n v="2066"/>
    <x v="666"/>
    <x v="2"/>
    <x v="1"/>
    <x v="0"/>
    <x v="10"/>
    <x v="3"/>
    <x v="254"/>
    <n v="0.83"/>
    <x v="0"/>
    <x v="3"/>
    <x v="24"/>
    <x v="531"/>
    <n v="28079"/>
    <x v="173"/>
    <d v="2015-03-27T00:00:00"/>
    <x v="1108"/>
    <n v="7"/>
    <n v="146.5"/>
    <n v="85833"/>
  </r>
  <r>
    <n v="24748"/>
    <x v="2"/>
    <n v="0.09"/>
    <n v="20.99"/>
    <n v="4.8099999999999996"/>
    <n v="2066"/>
    <x v="666"/>
    <x v="0"/>
    <x v="1"/>
    <x v="2"/>
    <x v="5"/>
    <x v="4"/>
    <x v="160"/>
    <n v="0.57999999999999996"/>
    <x v="0"/>
    <x v="3"/>
    <x v="24"/>
    <x v="531"/>
    <n v="28079"/>
    <x v="157"/>
    <d v="2015-04-01T00:00:00"/>
    <x v="1109"/>
    <n v="2"/>
    <n v="38.979999999999997"/>
    <n v="85834"/>
  </r>
  <r>
    <n v="25381"/>
    <x v="4"/>
    <n v="0.1"/>
    <n v="4.24"/>
    <n v="5.41"/>
    <n v="2066"/>
    <x v="666"/>
    <x v="2"/>
    <x v="0"/>
    <x v="0"/>
    <x v="8"/>
    <x v="3"/>
    <x v="21"/>
    <n v="0.35"/>
    <x v="0"/>
    <x v="3"/>
    <x v="24"/>
    <x v="531"/>
    <n v="28079"/>
    <x v="47"/>
    <d v="2015-04-23T00:00:00"/>
    <x v="1110"/>
    <n v="8"/>
    <n v="34.159999999999997"/>
    <n v="85835"/>
  </r>
  <r>
    <n v="21901"/>
    <x v="3"/>
    <n v="0.1"/>
    <n v="40.98"/>
    <n v="6.5"/>
    <n v="2069"/>
    <x v="667"/>
    <x v="2"/>
    <x v="3"/>
    <x v="2"/>
    <x v="13"/>
    <x v="3"/>
    <x v="456"/>
    <n v="0.74"/>
    <x v="0"/>
    <x v="3"/>
    <x v="35"/>
    <x v="532"/>
    <n v="41075"/>
    <x v="38"/>
    <d v="2015-01-14T00:00:00"/>
    <x v="1111"/>
    <n v="3"/>
    <n v="120.34"/>
    <n v="88554"/>
  </r>
  <r>
    <n v="19567"/>
    <x v="4"/>
    <n v="7.0000000000000007E-2"/>
    <n v="35.99"/>
    <n v="5.99"/>
    <n v="2070"/>
    <x v="668"/>
    <x v="2"/>
    <x v="0"/>
    <x v="2"/>
    <x v="5"/>
    <x v="0"/>
    <x v="351"/>
    <n v="0.38"/>
    <x v="0"/>
    <x v="2"/>
    <x v="22"/>
    <x v="533"/>
    <n v="48021"/>
    <x v="41"/>
    <d v="2015-05-20T00:00:00"/>
    <x v="1112"/>
    <n v="5"/>
    <n v="153.61000000000001"/>
    <n v="88558"/>
  </r>
  <r>
    <n v="20498"/>
    <x v="1"/>
    <n v="0.03"/>
    <n v="60.98"/>
    <n v="1.99"/>
    <n v="2071"/>
    <x v="669"/>
    <x v="2"/>
    <x v="0"/>
    <x v="2"/>
    <x v="13"/>
    <x v="2"/>
    <x v="674"/>
    <n v="0.5"/>
    <x v="0"/>
    <x v="2"/>
    <x v="22"/>
    <x v="534"/>
    <n v="48336"/>
    <x v="108"/>
    <d v="2015-02-01T00:00:00"/>
    <x v="1113"/>
    <n v="23"/>
    <n v="1414.88"/>
    <n v="88555"/>
  </r>
  <r>
    <n v="20499"/>
    <x v="1"/>
    <n v="0.04"/>
    <n v="3.08"/>
    <n v="0.99"/>
    <n v="2071"/>
    <x v="669"/>
    <x v="2"/>
    <x v="0"/>
    <x v="0"/>
    <x v="9"/>
    <x v="3"/>
    <x v="675"/>
    <n v="0.37"/>
    <x v="0"/>
    <x v="2"/>
    <x v="22"/>
    <x v="534"/>
    <n v="48336"/>
    <x v="108"/>
    <d v="2015-02-02T00:00:00"/>
    <x v="1114"/>
    <n v="11"/>
    <n v="33.630000000000003"/>
    <n v="88555"/>
  </r>
  <r>
    <n v="19568"/>
    <x v="4"/>
    <n v="0.08"/>
    <n v="65.989999999999995"/>
    <n v="5.92"/>
    <n v="2071"/>
    <x v="669"/>
    <x v="0"/>
    <x v="0"/>
    <x v="2"/>
    <x v="5"/>
    <x v="3"/>
    <x v="411"/>
    <n v="0.57999999999999996"/>
    <x v="0"/>
    <x v="2"/>
    <x v="22"/>
    <x v="534"/>
    <n v="48336"/>
    <x v="41"/>
    <d v="2015-05-23T00:00:00"/>
    <x v="1115"/>
    <n v="20"/>
    <n v="1063.81"/>
    <n v="88558"/>
  </r>
  <r>
    <n v="20500"/>
    <x v="1"/>
    <n v="0"/>
    <n v="10.31"/>
    <n v="1.79"/>
    <n v="2072"/>
    <x v="670"/>
    <x v="2"/>
    <x v="0"/>
    <x v="0"/>
    <x v="7"/>
    <x v="0"/>
    <x v="676"/>
    <n v="0.38"/>
    <x v="0"/>
    <x v="2"/>
    <x v="22"/>
    <x v="535"/>
    <n v="48505"/>
    <x v="108"/>
    <d v="2015-02-03T00:00:00"/>
    <x v="1116"/>
    <n v="23"/>
    <n v="242.7"/>
    <n v="88555"/>
  </r>
  <r>
    <n v="20824"/>
    <x v="0"/>
    <n v="0.09"/>
    <n v="260.98"/>
    <n v="41.91"/>
    <n v="2072"/>
    <x v="670"/>
    <x v="1"/>
    <x v="0"/>
    <x v="1"/>
    <x v="14"/>
    <x v="5"/>
    <x v="343"/>
    <n v="0.59"/>
    <x v="0"/>
    <x v="2"/>
    <x v="22"/>
    <x v="535"/>
    <n v="48505"/>
    <x v="143"/>
    <d v="2015-02-13T00:00:00"/>
    <x v="1117"/>
    <n v="14"/>
    <n v="3377.06"/>
    <n v="88556"/>
  </r>
  <r>
    <n v="20825"/>
    <x v="0"/>
    <n v="0.01"/>
    <n v="10.52"/>
    <n v="7.94"/>
    <n v="2072"/>
    <x v="670"/>
    <x v="2"/>
    <x v="0"/>
    <x v="1"/>
    <x v="2"/>
    <x v="2"/>
    <x v="677"/>
    <n v="0.52"/>
    <x v="0"/>
    <x v="2"/>
    <x v="22"/>
    <x v="535"/>
    <n v="48505"/>
    <x v="143"/>
    <d v="2015-02-13T00:00:00"/>
    <x v="1118"/>
    <n v="11"/>
    <n v="123.93"/>
    <n v="88556"/>
  </r>
  <r>
    <n v="20826"/>
    <x v="0"/>
    <n v="0.02"/>
    <n v="5.98"/>
    <n v="7.5"/>
    <n v="2072"/>
    <x v="670"/>
    <x v="0"/>
    <x v="0"/>
    <x v="0"/>
    <x v="7"/>
    <x v="3"/>
    <x v="678"/>
    <n v="0.4"/>
    <x v="0"/>
    <x v="2"/>
    <x v="22"/>
    <x v="535"/>
    <n v="48505"/>
    <x v="143"/>
    <d v="2015-02-13T00:00:00"/>
    <x v="1119"/>
    <n v="14"/>
    <n v="93.96"/>
    <n v="88556"/>
  </r>
  <r>
    <n v="24677"/>
    <x v="1"/>
    <n v="0.05"/>
    <n v="291.73"/>
    <n v="48.8"/>
    <n v="2073"/>
    <x v="671"/>
    <x v="1"/>
    <x v="3"/>
    <x v="1"/>
    <x v="1"/>
    <x v="1"/>
    <x v="34"/>
    <n v="0.56000000000000005"/>
    <x v="0"/>
    <x v="2"/>
    <x v="22"/>
    <x v="536"/>
    <n v="48135"/>
    <x v="74"/>
    <d v="2015-04-09T00:00:00"/>
    <x v="1120"/>
    <n v="6"/>
    <n v="1818.41"/>
    <n v="88557"/>
  </r>
  <r>
    <n v="24094"/>
    <x v="4"/>
    <n v="0.09"/>
    <n v="1.48"/>
    <n v="0.7"/>
    <n v="2081"/>
    <x v="672"/>
    <x v="2"/>
    <x v="0"/>
    <x v="0"/>
    <x v="3"/>
    <x v="0"/>
    <x v="679"/>
    <n v="0.37"/>
    <x v="0"/>
    <x v="1"/>
    <x v="4"/>
    <x v="537"/>
    <n v="14853"/>
    <x v="35"/>
    <d v="2015-01-05T00:00:00"/>
    <x v="1121"/>
    <n v="6"/>
    <n v="8.9499999999999993"/>
    <n v="86092"/>
  </r>
  <r>
    <n v="21697"/>
    <x v="4"/>
    <n v="0.06"/>
    <n v="38.06"/>
    <n v="4.5"/>
    <n v="2089"/>
    <x v="673"/>
    <x v="2"/>
    <x v="0"/>
    <x v="0"/>
    <x v="15"/>
    <x v="3"/>
    <x v="680"/>
    <n v="0.56000000000000005"/>
    <x v="0"/>
    <x v="1"/>
    <x v="4"/>
    <x v="538"/>
    <n v="10956"/>
    <x v="133"/>
    <d v="2015-07-06T00:00:00"/>
    <x v="1122"/>
    <n v="17"/>
    <n v="652.84"/>
    <n v="88348"/>
  </r>
  <r>
    <n v="21698"/>
    <x v="4"/>
    <n v="0.08"/>
    <n v="599.99"/>
    <n v="24.49"/>
    <n v="2089"/>
    <x v="673"/>
    <x v="2"/>
    <x v="0"/>
    <x v="2"/>
    <x v="16"/>
    <x v="6"/>
    <x v="681"/>
    <n v="0.37"/>
    <x v="0"/>
    <x v="1"/>
    <x v="4"/>
    <x v="538"/>
    <n v="10956"/>
    <x v="133"/>
    <d v="2015-07-08T00:00:00"/>
    <x v="1123"/>
    <n v="22"/>
    <n v="12750.99"/>
    <n v="88348"/>
  </r>
  <r>
    <n v="21699"/>
    <x v="4"/>
    <n v="0.1"/>
    <n v="3.98"/>
    <n v="2.97"/>
    <n v="2089"/>
    <x v="673"/>
    <x v="0"/>
    <x v="0"/>
    <x v="0"/>
    <x v="7"/>
    <x v="0"/>
    <x v="682"/>
    <n v="0.35"/>
    <x v="0"/>
    <x v="1"/>
    <x v="4"/>
    <x v="538"/>
    <n v="10956"/>
    <x v="133"/>
    <d v="2015-07-04T00:00:00"/>
    <x v="1124"/>
    <n v="5"/>
    <n v="20.54"/>
    <n v="88348"/>
  </r>
  <r>
    <n v="18696"/>
    <x v="3"/>
    <n v="0.08"/>
    <n v="400.98"/>
    <n v="42.52"/>
    <n v="2094"/>
    <x v="674"/>
    <x v="1"/>
    <x v="0"/>
    <x v="1"/>
    <x v="11"/>
    <x v="5"/>
    <x v="395"/>
    <n v="0.71"/>
    <x v="0"/>
    <x v="0"/>
    <x v="1"/>
    <x v="539"/>
    <n v="95928"/>
    <x v="64"/>
    <d v="2015-02-06T00:00:00"/>
    <x v="1125"/>
    <n v="20"/>
    <n v="7840.04"/>
    <n v="86629"/>
  </r>
  <r>
    <n v="18417"/>
    <x v="3"/>
    <n v="0.1"/>
    <n v="300.97000000000003"/>
    <n v="7.18"/>
    <n v="2097"/>
    <x v="675"/>
    <x v="2"/>
    <x v="1"/>
    <x v="2"/>
    <x v="13"/>
    <x v="3"/>
    <x v="394"/>
    <n v="0.48"/>
    <x v="0"/>
    <x v="3"/>
    <x v="39"/>
    <x v="226"/>
    <n v="29915"/>
    <x v="106"/>
    <d v="2015-04-19T00:00:00"/>
    <x v="1126"/>
    <n v="4"/>
    <n v="1094.33"/>
    <n v="87889"/>
  </r>
  <r>
    <n v="18418"/>
    <x v="3"/>
    <n v="0.06"/>
    <n v="39.89"/>
    <n v="3.04"/>
    <n v="2098"/>
    <x v="676"/>
    <x v="2"/>
    <x v="1"/>
    <x v="1"/>
    <x v="2"/>
    <x v="0"/>
    <x v="683"/>
    <n v="0.53"/>
    <x v="0"/>
    <x v="3"/>
    <x v="39"/>
    <x v="540"/>
    <n v="29464"/>
    <x v="106"/>
    <d v="2015-04-20T00:00:00"/>
    <x v="1127"/>
    <n v="10"/>
    <n v="389.97"/>
    <n v="87889"/>
  </r>
  <r>
    <n v="22234"/>
    <x v="1"/>
    <n v="7.0000000000000007E-2"/>
    <n v="14.56"/>
    <n v="3.5"/>
    <n v="2099"/>
    <x v="677"/>
    <x v="2"/>
    <x v="1"/>
    <x v="0"/>
    <x v="15"/>
    <x v="3"/>
    <x v="324"/>
    <n v="0.57999999999999996"/>
    <x v="0"/>
    <x v="3"/>
    <x v="39"/>
    <x v="541"/>
    <n v="29577"/>
    <x v="176"/>
    <d v="2015-01-09T00:00:00"/>
    <x v="1128"/>
    <n v="6"/>
    <n v="84.59"/>
    <n v="87888"/>
  </r>
  <r>
    <n v="5501"/>
    <x v="3"/>
    <n v="0.05"/>
    <n v="399.98"/>
    <n v="12.06"/>
    <n v="2107"/>
    <x v="678"/>
    <x v="1"/>
    <x v="0"/>
    <x v="2"/>
    <x v="6"/>
    <x v="5"/>
    <x v="79"/>
    <n v="0.56000000000000005"/>
    <x v="0"/>
    <x v="2"/>
    <x v="12"/>
    <x v="25"/>
    <n v="60601"/>
    <x v="132"/>
    <d v="2015-06-06T00:00:00"/>
    <x v="1129"/>
    <n v="24"/>
    <n v="9666.7199999999993"/>
    <n v="39015"/>
  </r>
  <r>
    <n v="5502"/>
    <x v="3"/>
    <n v="7.0000000000000007E-2"/>
    <n v="6.48"/>
    <n v="5.74"/>
    <n v="2107"/>
    <x v="678"/>
    <x v="2"/>
    <x v="0"/>
    <x v="0"/>
    <x v="7"/>
    <x v="3"/>
    <x v="684"/>
    <n v="0.37"/>
    <x v="0"/>
    <x v="2"/>
    <x v="12"/>
    <x v="25"/>
    <n v="60601"/>
    <x v="132"/>
    <d v="2015-06-06T00:00:00"/>
    <x v="1003"/>
    <n v="20"/>
    <n v="134.58000000000001"/>
    <n v="39015"/>
  </r>
  <r>
    <n v="23502"/>
    <x v="3"/>
    <n v="7.0000000000000007E-2"/>
    <n v="6.48"/>
    <n v="5.74"/>
    <n v="2108"/>
    <x v="679"/>
    <x v="2"/>
    <x v="0"/>
    <x v="0"/>
    <x v="7"/>
    <x v="3"/>
    <x v="684"/>
    <n v="0.37"/>
    <x v="0"/>
    <x v="2"/>
    <x v="33"/>
    <x v="542"/>
    <n v="63129"/>
    <x v="132"/>
    <d v="2015-06-06T00:00:00"/>
    <x v="1130"/>
    <n v="5"/>
    <n v="33.65"/>
    <n v="87862"/>
  </r>
  <r>
    <n v="18540"/>
    <x v="2"/>
    <n v="0.08"/>
    <n v="6.68"/>
    <n v="1.5"/>
    <n v="2114"/>
    <x v="680"/>
    <x v="2"/>
    <x v="0"/>
    <x v="0"/>
    <x v="0"/>
    <x v="0"/>
    <x v="685"/>
    <n v="0.48"/>
    <x v="0"/>
    <x v="3"/>
    <x v="8"/>
    <x v="123"/>
    <n v="23518"/>
    <x v="173"/>
    <d v="2015-03-28T00:00:00"/>
    <x v="1131"/>
    <n v="10"/>
    <n v="66.12"/>
    <n v="88403"/>
  </r>
  <r>
    <n v="18562"/>
    <x v="2"/>
    <n v="0.08"/>
    <n v="2.89"/>
    <n v="0.49"/>
    <n v="2114"/>
    <x v="680"/>
    <x v="2"/>
    <x v="0"/>
    <x v="0"/>
    <x v="9"/>
    <x v="3"/>
    <x v="686"/>
    <n v="0.38"/>
    <x v="0"/>
    <x v="3"/>
    <x v="8"/>
    <x v="123"/>
    <n v="23518"/>
    <x v="45"/>
    <d v="2015-04-23T00:00:00"/>
    <x v="1132"/>
    <n v="1"/>
    <n v="3.07"/>
    <n v="88404"/>
  </r>
  <r>
    <n v="21066"/>
    <x v="2"/>
    <n v="7.0000000000000007E-2"/>
    <n v="226.67"/>
    <n v="28.16"/>
    <n v="2114"/>
    <x v="680"/>
    <x v="1"/>
    <x v="0"/>
    <x v="1"/>
    <x v="1"/>
    <x v="1"/>
    <x v="558"/>
    <n v="0.59"/>
    <x v="0"/>
    <x v="3"/>
    <x v="8"/>
    <x v="123"/>
    <n v="23518"/>
    <x v="115"/>
    <d v="2015-02-27T00:00:00"/>
    <x v="1133"/>
    <n v="1"/>
    <n v="255.83"/>
    <n v="88405"/>
  </r>
  <r>
    <n v="21067"/>
    <x v="2"/>
    <n v="0.08"/>
    <n v="20.98"/>
    <n v="53.03"/>
    <n v="2114"/>
    <x v="680"/>
    <x v="1"/>
    <x v="0"/>
    <x v="0"/>
    <x v="10"/>
    <x v="1"/>
    <x v="211"/>
    <n v="0.78"/>
    <x v="0"/>
    <x v="3"/>
    <x v="8"/>
    <x v="123"/>
    <n v="23518"/>
    <x v="115"/>
    <d v="2015-02-28T00:00:00"/>
    <x v="1134"/>
    <n v="20"/>
    <n v="421.18"/>
    <n v="88405"/>
  </r>
  <r>
    <n v="21153"/>
    <x v="3"/>
    <n v="0.02"/>
    <n v="95.95"/>
    <n v="74.349999999999994"/>
    <n v="2115"/>
    <x v="681"/>
    <x v="1"/>
    <x v="0"/>
    <x v="1"/>
    <x v="1"/>
    <x v="1"/>
    <x v="687"/>
    <n v="0.56999999999999995"/>
    <x v="0"/>
    <x v="3"/>
    <x v="8"/>
    <x v="543"/>
    <n v="22124"/>
    <x v="119"/>
    <d v="2015-05-01T00:00:00"/>
    <x v="1135"/>
    <n v="14"/>
    <n v="1377.46"/>
    <n v="88406"/>
  </r>
  <r>
    <n v="20249"/>
    <x v="0"/>
    <n v="0.03"/>
    <n v="320.98"/>
    <n v="24.49"/>
    <n v="2117"/>
    <x v="682"/>
    <x v="2"/>
    <x v="1"/>
    <x v="1"/>
    <x v="1"/>
    <x v="6"/>
    <x v="688"/>
    <n v="0.55000000000000004"/>
    <x v="0"/>
    <x v="2"/>
    <x v="7"/>
    <x v="407"/>
    <n v="75401"/>
    <x v="18"/>
    <d v="2015-04-22T00:00:00"/>
    <x v="1136"/>
    <n v="20"/>
    <n v="6600.63"/>
    <n v="90891"/>
  </r>
  <r>
    <n v="20250"/>
    <x v="0"/>
    <n v="0.06"/>
    <n v="125.99"/>
    <n v="8.8000000000000007"/>
    <n v="2117"/>
    <x v="682"/>
    <x v="2"/>
    <x v="1"/>
    <x v="2"/>
    <x v="5"/>
    <x v="3"/>
    <x v="689"/>
    <n v="0.59"/>
    <x v="0"/>
    <x v="2"/>
    <x v="7"/>
    <x v="407"/>
    <n v="75401"/>
    <x v="18"/>
    <d v="2015-04-21T00:00:00"/>
    <x v="1137"/>
    <n v="18"/>
    <n v="1811.99"/>
    <n v="90891"/>
  </r>
  <r>
    <n v="22231"/>
    <x v="2"/>
    <n v="0.06"/>
    <n v="80.97"/>
    <n v="33.6"/>
    <n v="2122"/>
    <x v="683"/>
    <x v="1"/>
    <x v="3"/>
    <x v="2"/>
    <x v="6"/>
    <x v="1"/>
    <x v="690"/>
    <n v="0.37"/>
    <x v="0"/>
    <x v="3"/>
    <x v="40"/>
    <x v="544"/>
    <n v="72116"/>
    <x v="108"/>
    <d v="2015-02-03T00:00:00"/>
    <x v="1138"/>
    <n v="10"/>
    <n v="799.76"/>
    <n v="89664"/>
  </r>
  <r>
    <n v="24674"/>
    <x v="0"/>
    <n v="0.04"/>
    <n v="45.19"/>
    <n v="1.99"/>
    <n v="2124"/>
    <x v="684"/>
    <x v="2"/>
    <x v="3"/>
    <x v="2"/>
    <x v="13"/>
    <x v="2"/>
    <x v="397"/>
    <n v="0.55000000000000004"/>
    <x v="0"/>
    <x v="3"/>
    <x v="40"/>
    <x v="545"/>
    <n v="72301"/>
    <x v="167"/>
    <d v="2015-01-02T00:00:00"/>
    <x v="1139"/>
    <n v="13"/>
    <n v="609.09"/>
    <n v="89665"/>
  </r>
  <r>
    <n v="23852"/>
    <x v="0"/>
    <n v="0.03"/>
    <n v="124.49"/>
    <n v="51.94"/>
    <n v="2124"/>
    <x v="684"/>
    <x v="1"/>
    <x v="0"/>
    <x v="1"/>
    <x v="11"/>
    <x v="5"/>
    <x v="156"/>
    <n v="0.63"/>
    <x v="0"/>
    <x v="3"/>
    <x v="40"/>
    <x v="545"/>
    <n v="72301"/>
    <x v="173"/>
    <d v="2015-03-27T00:00:00"/>
    <x v="1140"/>
    <n v="21"/>
    <n v="2761.94"/>
    <n v="89666"/>
  </r>
  <r>
    <n v="24091"/>
    <x v="2"/>
    <n v="0.1"/>
    <n v="5.98"/>
    <n v="5.14"/>
    <n v="2127"/>
    <x v="685"/>
    <x v="2"/>
    <x v="1"/>
    <x v="0"/>
    <x v="7"/>
    <x v="3"/>
    <x v="691"/>
    <n v="0.36"/>
    <x v="0"/>
    <x v="2"/>
    <x v="22"/>
    <x v="546"/>
    <n v="48310"/>
    <x v="103"/>
    <d v="2015-03-20T00:00:00"/>
    <x v="1141"/>
    <n v="6"/>
    <n v="33.950000000000003"/>
    <n v="88418"/>
  </r>
  <r>
    <n v="21902"/>
    <x v="0"/>
    <n v="0.09"/>
    <n v="150.97999999999999"/>
    <n v="66.27"/>
    <n v="2131"/>
    <x v="686"/>
    <x v="1"/>
    <x v="1"/>
    <x v="1"/>
    <x v="14"/>
    <x v="5"/>
    <x v="692"/>
    <n v="0.65"/>
    <x v="0"/>
    <x v="2"/>
    <x v="33"/>
    <x v="547"/>
    <n v="64118"/>
    <x v="35"/>
    <d v="2015-01-04T00:00:00"/>
    <x v="1142"/>
    <n v="2"/>
    <n v="302.33999999999997"/>
    <n v="90079"/>
  </r>
  <r>
    <n v="21964"/>
    <x v="4"/>
    <n v="0.05"/>
    <n v="30.42"/>
    <n v="8.65"/>
    <n v="2132"/>
    <x v="687"/>
    <x v="0"/>
    <x v="1"/>
    <x v="2"/>
    <x v="13"/>
    <x v="3"/>
    <x v="434"/>
    <n v="0.74"/>
    <x v="0"/>
    <x v="2"/>
    <x v="33"/>
    <x v="548"/>
    <n v="63042"/>
    <x v="56"/>
    <d v="2015-01-14T00:00:00"/>
    <x v="1143"/>
    <n v="11"/>
    <n v="334.44"/>
    <n v="90078"/>
  </r>
  <r>
    <n v="24348"/>
    <x v="0"/>
    <n v="0.01"/>
    <n v="28.99"/>
    <n v="8.59"/>
    <n v="2135"/>
    <x v="688"/>
    <x v="2"/>
    <x v="1"/>
    <x v="2"/>
    <x v="5"/>
    <x v="4"/>
    <x v="693"/>
    <n v="0.56000000000000005"/>
    <x v="0"/>
    <x v="0"/>
    <x v="27"/>
    <x v="549"/>
    <n v="88101"/>
    <x v="92"/>
    <d v="2015-02-07T00:00:00"/>
    <x v="1144"/>
    <n v="21"/>
    <n v="556.61"/>
    <n v="91583"/>
  </r>
  <r>
    <n v="20138"/>
    <x v="1"/>
    <n v="0"/>
    <n v="6.98"/>
    <n v="1.6"/>
    <n v="2137"/>
    <x v="689"/>
    <x v="2"/>
    <x v="0"/>
    <x v="0"/>
    <x v="7"/>
    <x v="0"/>
    <x v="344"/>
    <n v="0.38"/>
    <x v="0"/>
    <x v="3"/>
    <x v="26"/>
    <x v="550"/>
    <n v="33407"/>
    <x v="70"/>
    <d v="2015-02-02T00:00:00"/>
    <x v="1145"/>
    <n v="9"/>
    <n v="64.48"/>
    <n v="86002"/>
  </r>
  <r>
    <n v="20712"/>
    <x v="2"/>
    <n v="0.05"/>
    <n v="2550.14"/>
    <n v="29.7"/>
    <n v="2139"/>
    <x v="690"/>
    <x v="1"/>
    <x v="0"/>
    <x v="2"/>
    <x v="6"/>
    <x v="1"/>
    <x v="440"/>
    <n v="0.56999999999999995"/>
    <x v="0"/>
    <x v="2"/>
    <x v="45"/>
    <x v="98"/>
    <n v="53094"/>
    <x v="125"/>
    <d v="2015-04-17T00:00:00"/>
    <x v="1146"/>
    <n v="2"/>
    <n v="4845.2700000000004"/>
    <n v="86003"/>
  </r>
  <r>
    <n v="18409"/>
    <x v="0"/>
    <n v="0.01"/>
    <n v="5.44"/>
    <n v="7.46"/>
    <n v="2141"/>
    <x v="691"/>
    <x v="2"/>
    <x v="1"/>
    <x v="0"/>
    <x v="8"/>
    <x v="3"/>
    <x v="425"/>
    <n v="0.36"/>
    <x v="0"/>
    <x v="0"/>
    <x v="21"/>
    <x v="518"/>
    <n v="81301"/>
    <x v="29"/>
    <d v="2015-02-19T00:00:00"/>
    <x v="1147"/>
    <n v="3"/>
    <n v="19.68"/>
    <n v="87570"/>
  </r>
  <r>
    <n v="18410"/>
    <x v="0"/>
    <n v="0.02"/>
    <n v="549.99"/>
    <n v="49"/>
    <n v="2141"/>
    <x v="691"/>
    <x v="1"/>
    <x v="1"/>
    <x v="2"/>
    <x v="16"/>
    <x v="1"/>
    <x v="229"/>
    <n v="0.35"/>
    <x v="0"/>
    <x v="0"/>
    <x v="21"/>
    <x v="518"/>
    <n v="81301"/>
    <x v="29"/>
    <d v="2015-02-20T00:00:00"/>
    <x v="1148"/>
    <n v="18"/>
    <n v="9798.84"/>
    <n v="87570"/>
  </r>
  <r>
    <n v="18411"/>
    <x v="0"/>
    <n v="0.03"/>
    <n v="22.01"/>
    <n v="5.53"/>
    <n v="2141"/>
    <x v="691"/>
    <x v="0"/>
    <x v="1"/>
    <x v="0"/>
    <x v="0"/>
    <x v="2"/>
    <x v="694"/>
    <n v="0.59"/>
    <x v="0"/>
    <x v="0"/>
    <x v="21"/>
    <x v="518"/>
    <n v="81301"/>
    <x v="29"/>
    <d v="2015-02-19T00:00:00"/>
    <x v="1149"/>
    <n v="7"/>
    <n v="154.11000000000001"/>
    <n v="87570"/>
  </r>
  <r>
    <n v="18412"/>
    <x v="0"/>
    <n v="0.09"/>
    <n v="34.76"/>
    <n v="8.2200000000000006"/>
    <n v="2141"/>
    <x v="691"/>
    <x v="2"/>
    <x v="1"/>
    <x v="0"/>
    <x v="10"/>
    <x v="3"/>
    <x v="695"/>
    <n v="0.56999999999999995"/>
    <x v="0"/>
    <x v="0"/>
    <x v="21"/>
    <x v="518"/>
    <n v="81301"/>
    <x v="29"/>
    <d v="2015-02-20T00:00:00"/>
    <x v="1150"/>
    <n v="7"/>
    <n v="242.97"/>
    <n v="87570"/>
  </r>
  <r>
    <n v="23249"/>
    <x v="0"/>
    <n v="0.08"/>
    <n v="17.149999999999999"/>
    <n v="4.96"/>
    <n v="2143"/>
    <x v="692"/>
    <x v="2"/>
    <x v="1"/>
    <x v="0"/>
    <x v="10"/>
    <x v="3"/>
    <x v="206"/>
    <n v="0.57999999999999996"/>
    <x v="0"/>
    <x v="3"/>
    <x v="8"/>
    <x v="551"/>
    <n v="20151"/>
    <x v="1"/>
    <d v="2015-06-16T00:00:00"/>
    <x v="1151"/>
    <n v="12"/>
    <n v="200.61"/>
    <n v="87569"/>
  </r>
  <r>
    <n v="24264"/>
    <x v="3"/>
    <n v="0"/>
    <n v="20.28"/>
    <n v="14.39"/>
    <n v="2145"/>
    <x v="693"/>
    <x v="2"/>
    <x v="0"/>
    <x v="1"/>
    <x v="2"/>
    <x v="3"/>
    <x v="654"/>
    <n v="0.47"/>
    <x v="0"/>
    <x v="3"/>
    <x v="26"/>
    <x v="552"/>
    <n v="33311"/>
    <x v="104"/>
    <d v="2015-02-12T00:00:00"/>
    <x v="1152"/>
    <n v="11"/>
    <n v="237.83"/>
    <n v="87072"/>
  </r>
  <r>
    <n v="23795"/>
    <x v="4"/>
    <n v="0.05"/>
    <n v="20.34"/>
    <n v="35"/>
    <n v="2146"/>
    <x v="694"/>
    <x v="2"/>
    <x v="0"/>
    <x v="0"/>
    <x v="10"/>
    <x v="6"/>
    <x v="126"/>
    <n v="0.84"/>
    <x v="0"/>
    <x v="3"/>
    <x v="8"/>
    <x v="551"/>
    <n v="20151"/>
    <x v="61"/>
    <d v="2015-01-10T00:00:00"/>
    <x v="1153"/>
    <n v="2"/>
    <n v="53.02"/>
    <n v="87071"/>
  </r>
  <r>
    <n v="22555"/>
    <x v="1"/>
    <n v="0.08"/>
    <n v="243.98"/>
    <n v="43.32"/>
    <n v="2151"/>
    <x v="695"/>
    <x v="1"/>
    <x v="0"/>
    <x v="1"/>
    <x v="1"/>
    <x v="1"/>
    <x v="696"/>
    <n v="0.55000000000000004"/>
    <x v="0"/>
    <x v="2"/>
    <x v="25"/>
    <x v="553"/>
    <n v="52001"/>
    <x v="99"/>
    <d v="2015-01-06T00:00:00"/>
    <x v="1154"/>
    <n v="1"/>
    <n v="248.84"/>
    <n v="90404"/>
  </r>
  <r>
    <n v="24791"/>
    <x v="0"/>
    <n v="0.08"/>
    <n v="5.74"/>
    <n v="5.01"/>
    <n v="2151"/>
    <x v="695"/>
    <x v="2"/>
    <x v="0"/>
    <x v="0"/>
    <x v="8"/>
    <x v="3"/>
    <x v="697"/>
    <n v="0.39"/>
    <x v="0"/>
    <x v="2"/>
    <x v="25"/>
    <x v="553"/>
    <n v="52001"/>
    <x v="170"/>
    <d v="2015-02-11T00:00:00"/>
    <x v="1155"/>
    <n v="1"/>
    <n v="7.21"/>
    <n v="90405"/>
  </r>
  <r>
    <n v="21834"/>
    <x v="4"/>
    <n v="0.05"/>
    <n v="55.5"/>
    <n v="52.2"/>
    <n v="2157"/>
    <x v="696"/>
    <x v="2"/>
    <x v="1"/>
    <x v="1"/>
    <x v="2"/>
    <x v="4"/>
    <x v="698"/>
    <n v="0.72"/>
    <x v="0"/>
    <x v="2"/>
    <x v="22"/>
    <x v="554"/>
    <n v="48093"/>
    <x v="44"/>
    <d v="2015-03-16T00:00:00"/>
    <x v="1156"/>
    <n v="4"/>
    <n v="253.87"/>
    <n v="90385"/>
  </r>
  <r>
    <n v="21835"/>
    <x v="4"/>
    <n v="0.05"/>
    <n v="442.14"/>
    <n v="14.7"/>
    <n v="2157"/>
    <x v="696"/>
    <x v="1"/>
    <x v="1"/>
    <x v="2"/>
    <x v="6"/>
    <x v="1"/>
    <x v="110"/>
    <n v="0.56000000000000005"/>
    <x v="0"/>
    <x v="2"/>
    <x v="22"/>
    <x v="554"/>
    <n v="48093"/>
    <x v="44"/>
    <d v="2015-03-25T00:00:00"/>
    <x v="1157"/>
    <n v="14"/>
    <n v="5880.46"/>
    <n v="90385"/>
  </r>
  <r>
    <n v="21975"/>
    <x v="0"/>
    <n v="7.0000000000000007E-2"/>
    <n v="30.93"/>
    <n v="3.92"/>
    <n v="2157"/>
    <x v="696"/>
    <x v="2"/>
    <x v="1"/>
    <x v="1"/>
    <x v="2"/>
    <x v="2"/>
    <x v="609"/>
    <n v="0.44"/>
    <x v="0"/>
    <x v="2"/>
    <x v="22"/>
    <x v="554"/>
    <n v="48093"/>
    <x v="32"/>
    <d v="2015-05-04T00:00:00"/>
    <x v="1158"/>
    <n v="19"/>
    <n v="577.25"/>
    <n v="90386"/>
  </r>
  <r>
    <n v="21976"/>
    <x v="0"/>
    <n v="0.05"/>
    <n v="297.48"/>
    <n v="18.059999999999999"/>
    <n v="2157"/>
    <x v="696"/>
    <x v="1"/>
    <x v="1"/>
    <x v="2"/>
    <x v="6"/>
    <x v="1"/>
    <x v="192"/>
    <n v="0.6"/>
    <x v="0"/>
    <x v="2"/>
    <x v="22"/>
    <x v="554"/>
    <n v="48093"/>
    <x v="32"/>
    <d v="2015-05-04T00:00:00"/>
    <x v="1159"/>
    <n v="14"/>
    <n v="4075.18"/>
    <n v="90386"/>
  </r>
  <r>
    <n v="21977"/>
    <x v="0"/>
    <n v="7.0000000000000007E-2"/>
    <n v="296.18"/>
    <n v="54.12"/>
    <n v="2157"/>
    <x v="696"/>
    <x v="1"/>
    <x v="1"/>
    <x v="1"/>
    <x v="11"/>
    <x v="5"/>
    <x v="37"/>
    <n v="0.76"/>
    <x v="0"/>
    <x v="2"/>
    <x v="22"/>
    <x v="554"/>
    <n v="48093"/>
    <x v="32"/>
    <d v="2015-05-05T00:00:00"/>
    <x v="1160"/>
    <n v="6"/>
    <n v="1798.23"/>
    <n v="90386"/>
  </r>
  <r>
    <n v="23775"/>
    <x v="3"/>
    <n v="0.08"/>
    <n v="30.98"/>
    <n v="8.74"/>
    <n v="2159"/>
    <x v="697"/>
    <x v="2"/>
    <x v="0"/>
    <x v="0"/>
    <x v="7"/>
    <x v="3"/>
    <x v="699"/>
    <n v="0.4"/>
    <x v="0"/>
    <x v="2"/>
    <x v="22"/>
    <x v="555"/>
    <n v="48185"/>
    <x v="135"/>
    <d v="2015-05-21T00:00:00"/>
    <x v="1161"/>
    <n v="25"/>
    <n v="727.2"/>
    <n v="90387"/>
  </r>
  <r>
    <n v="23773"/>
    <x v="3"/>
    <n v="0.09"/>
    <n v="159.31"/>
    <n v="60"/>
    <n v="2162"/>
    <x v="698"/>
    <x v="1"/>
    <x v="0"/>
    <x v="1"/>
    <x v="11"/>
    <x v="1"/>
    <x v="700"/>
    <n v="0.55000000000000004"/>
    <x v="0"/>
    <x v="1"/>
    <x v="19"/>
    <x v="556"/>
    <n v="16146"/>
    <x v="135"/>
    <d v="2015-05-22T00:00:00"/>
    <x v="1162"/>
    <n v="41"/>
    <n v="6173.42"/>
    <n v="90387"/>
  </r>
  <r>
    <n v="23774"/>
    <x v="3"/>
    <n v="0.06"/>
    <n v="55.99"/>
    <n v="5"/>
    <n v="2162"/>
    <x v="698"/>
    <x v="2"/>
    <x v="0"/>
    <x v="2"/>
    <x v="5"/>
    <x v="2"/>
    <x v="134"/>
    <n v="0.83"/>
    <x v="0"/>
    <x v="1"/>
    <x v="19"/>
    <x v="556"/>
    <n v="16146"/>
    <x v="135"/>
    <d v="2015-05-22T00:00:00"/>
    <x v="1163"/>
    <n v="33"/>
    <n v="1553.7"/>
    <n v="90387"/>
  </r>
  <r>
    <n v="22450"/>
    <x v="1"/>
    <n v="0.01"/>
    <n v="5.38"/>
    <n v="7.57"/>
    <n v="2164"/>
    <x v="699"/>
    <x v="2"/>
    <x v="2"/>
    <x v="0"/>
    <x v="8"/>
    <x v="3"/>
    <x v="701"/>
    <n v="0.36"/>
    <x v="0"/>
    <x v="0"/>
    <x v="1"/>
    <x v="557"/>
    <n v="91104"/>
    <x v="85"/>
    <d v="2015-01-10T00:00:00"/>
    <x v="1164"/>
    <n v="3"/>
    <n v="18.68"/>
    <n v="88794"/>
  </r>
  <r>
    <n v="22451"/>
    <x v="1"/>
    <n v="0.05"/>
    <n v="3.28"/>
    <n v="3.97"/>
    <n v="2164"/>
    <x v="699"/>
    <x v="2"/>
    <x v="2"/>
    <x v="0"/>
    <x v="0"/>
    <x v="0"/>
    <x v="365"/>
    <n v="0.56000000000000005"/>
    <x v="0"/>
    <x v="0"/>
    <x v="1"/>
    <x v="557"/>
    <n v="91104"/>
    <x v="85"/>
    <d v="2015-01-09T00:00:00"/>
    <x v="1165"/>
    <n v="11"/>
    <n v="36.299999999999997"/>
    <n v="88794"/>
  </r>
  <r>
    <n v="22449"/>
    <x v="1"/>
    <n v="0.09"/>
    <n v="2.78"/>
    <n v="0.97"/>
    <n v="2165"/>
    <x v="700"/>
    <x v="2"/>
    <x v="2"/>
    <x v="0"/>
    <x v="0"/>
    <x v="0"/>
    <x v="702"/>
    <n v="0.59"/>
    <x v="0"/>
    <x v="1"/>
    <x v="14"/>
    <x v="255"/>
    <n v="4330"/>
    <x v="85"/>
    <d v="2015-01-11T00:00:00"/>
    <x v="1166"/>
    <n v="6"/>
    <n v="16.03"/>
    <n v="88794"/>
  </r>
  <r>
    <n v="20980"/>
    <x v="3"/>
    <n v="0.08"/>
    <n v="2.94"/>
    <n v="0.96"/>
    <n v="2178"/>
    <x v="701"/>
    <x v="2"/>
    <x v="2"/>
    <x v="0"/>
    <x v="0"/>
    <x v="0"/>
    <x v="202"/>
    <n v="0.57999999999999996"/>
    <x v="0"/>
    <x v="1"/>
    <x v="15"/>
    <x v="558"/>
    <n v="1610"/>
    <x v="39"/>
    <d v="2015-01-29T00:00:00"/>
    <x v="1167"/>
    <n v="9"/>
    <n v="25.35"/>
    <n v="89465"/>
  </r>
  <r>
    <n v="26331"/>
    <x v="1"/>
    <n v="0"/>
    <n v="1.48"/>
    <n v="0.7"/>
    <n v="2183"/>
    <x v="702"/>
    <x v="2"/>
    <x v="1"/>
    <x v="0"/>
    <x v="3"/>
    <x v="0"/>
    <x v="679"/>
    <n v="0.37"/>
    <x v="0"/>
    <x v="3"/>
    <x v="35"/>
    <x v="559"/>
    <n v="42301"/>
    <x v="15"/>
    <d v="2015-06-17T00:00:00"/>
    <x v="1168"/>
    <n v="12"/>
    <n v="19.32"/>
    <n v="91571"/>
  </r>
  <r>
    <n v="19008"/>
    <x v="0"/>
    <n v="0.09"/>
    <n v="16.98"/>
    <n v="12.39"/>
    <n v="2187"/>
    <x v="703"/>
    <x v="2"/>
    <x v="0"/>
    <x v="0"/>
    <x v="4"/>
    <x v="3"/>
    <x v="703"/>
    <n v="0.35"/>
    <x v="0"/>
    <x v="2"/>
    <x v="33"/>
    <x v="560"/>
    <n v="64055"/>
    <x v="100"/>
    <d v="2015-05-10T00:00:00"/>
    <x v="1169"/>
    <n v="5"/>
    <n v="86.8"/>
    <n v="89440"/>
  </r>
  <r>
    <n v="1008"/>
    <x v="0"/>
    <n v="0.09"/>
    <n v="16.98"/>
    <n v="12.39"/>
    <n v="2189"/>
    <x v="704"/>
    <x v="2"/>
    <x v="0"/>
    <x v="0"/>
    <x v="4"/>
    <x v="3"/>
    <x v="703"/>
    <n v="0.35"/>
    <x v="0"/>
    <x v="1"/>
    <x v="4"/>
    <x v="8"/>
    <n v="10177"/>
    <x v="100"/>
    <d v="2015-05-10T00:00:00"/>
    <x v="1169"/>
    <n v="22"/>
    <n v="381.91"/>
    <n v="7364"/>
  </r>
  <r>
    <n v="5870"/>
    <x v="2"/>
    <n v="0.05"/>
    <n v="16.98"/>
    <n v="7.78"/>
    <n v="2190"/>
    <x v="705"/>
    <x v="2"/>
    <x v="1"/>
    <x v="0"/>
    <x v="0"/>
    <x v="2"/>
    <x v="704"/>
    <n v="0.56999999999999995"/>
    <x v="0"/>
    <x v="2"/>
    <x v="22"/>
    <x v="56"/>
    <n v="48227"/>
    <x v="79"/>
    <d v="2015-02-16T00:00:00"/>
    <x v="1170"/>
    <n v="45"/>
    <n v="761.67"/>
    <n v="41636"/>
  </r>
  <r>
    <n v="5871"/>
    <x v="2"/>
    <n v="0.03"/>
    <n v="115.99"/>
    <n v="4.2300000000000004"/>
    <n v="2190"/>
    <x v="705"/>
    <x v="2"/>
    <x v="1"/>
    <x v="2"/>
    <x v="5"/>
    <x v="3"/>
    <x v="705"/>
    <n v="0.56000000000000005"/>
    <x v="0"/>
    <x v="2"/>
    <x v="22"/>
    <x v="56"/>
    <n v="48227"/>
    <x v="79"/>
    <d v="2015-02-16T00:00:00"/>
    <x v="1171"/>
    <n v="49"/>
    <n v="5014.07"/>
    <n v="41636"/>
  </r>
  <r>
    <n v="23870"/>
    <x v="2"/>
    <n v="0.05"/>
    <n v="16.98"/>
    <n v="7.78"/>
    <n v="2193"/>
    <x v="706"/>
    <x v="2"/>
    <x v="1"/>
    <x v="0"/>
    <x v="0"/>
    <x v="2"/>
    <x v="704"/>
    <n v="0.56999999999999995"/>
    <x v="0"/>
    <x v="3"/>
    <x v="24"/>
    <x v="561"/>
    <n v="28560"/>
    <x v="79"/>
    <d v="2015-02-16T00:00:00"/>
    <x v="1172"/>
    <n v="11"/>
    <n v="186.19"/>
    <n v="90685"/>
  </r>
  <r>
    <n v="23871"/>
    <x v="2"/>
    <n v="0.03"/>
    <n v="115.99"/>
    <n v="4.2300000000000004"/>
    <n v="2193"/>
    <x v="706"/>
    <x v="2"/>
    <x v="1"/>
    <x v="2"/>
    <x v="5"/>
    <x v="3"/>
    <x v="705"/>
    <n v="0.56000000000000005"/>
    <x v="0"/>
    <x v="3"/>
    <x v="24"/>
    <x v="561"/>
    <n v="28560"/>
    <x v="79"/>
    <d v="2015-02-16T00:00:00"/>
    <x v="1173"/>
    <n v="12"/>
    <n v="1227.94"/>
    <n v="90685"/>
  </r>
  <r>
    <n v="19112"/>
    <x v="3"/>
    <n v="0.03"/>
    <n v="27.48"/>
    <n v="4"/>
    <n v="2196"/>
    <x v="707"/>
    <x v="2"/>
    <x v="2"/>
    <x v="2"/>
    <x v="13"/>
    <x v="3"/>
    <x v="312"/>
    <n v="0.75"/>
    <x v="0"/>
    <x v="1"/>
    <x v="4"/>
    <x v="562"/>
    <n v="14701"/>
    <x v="74"/>
    <d v="2015-04-08T00:00:00"/>
    <x v="1174"/>
    <n v="11"/>
    <n v="294.97000000000003"/>
    <n v="89175"/>
  </r>
  <r>
    <n v="19113"/>
    <x v="3"/>
    <n v="0.1"/>
    <n v="179.99"/>
    <n v="19.989999999999998"/>
    <n v="2196"/>
    <x v="707"/>
    <x v="2"/>
    <x v="2"/>
    <x v="2"/>
    <x v="13"/>
    <x v="3"/>
    <x v="196"/>
    <n v="0.48"/>
    <x v="0"/>
    <x v="1"/>
    <x v="4"/>
    <x v="562"/>
    <n v="14701"/>
    <x v="74"/>
    <d v="2015-04-08T00:00:00"/>
    <x v="1175"/>
    <n v="14"/>
    <n v="2458.0500000000002"/>
    <n v="89175"/>
  </r>
  <r>
    <n v="19114"/>
    <x v="3"/>
    <n v="0.1"/>
    <n v="140.85"/>
    <n v="19.989999999999998"/>
    <n v="2196"/>
    <x v="707"/>
    <x v="2"/>
    <x v="2"/>
    <x v="0"/>
    <x v="10"/>
    <x v="3"/>
    <x v="706"/>
    <n v="0.73"/>
    <x v="0"/>
    <x v="1"/>
    <x v="4"/>
    <x v="562"/>
    <n v="14701"/>
    <x v="74"/>
    <d v="2015-04-09T00:00:00"/>
    <x v="1176"/>
    <n v="19"/>
    <n v="2465.75"/>
    <n v="89175"/>
  </r>
  <r>
    <n v="23300"/>
    <x v="2"/>
    <n v="0.08"/>
    <n v="100.97"/>
    <n v="7.18"/>
    <n v="2197"/>
    <x v="708"/>
    <x v="2"/>
    <x v="2"/>
    <x v="2"/>
    <x v="13"/>
    <x v="3"/>
    <x v="707"/>
    <n v="0.46"/>
    <x v="0"/>
    <x v="1"/>
    <x v="4"/>
    <x v="444"/>
    <n v="11756"/>
    <x v="175"/>
    <d v="2015-06-27T00:00:00"/>
    <x v="1177"/>
    <n v="7"/>
    <n v="650.25"/>
    <n v="89176"/>
  </r>
  <r>
    <n v="23301"/>
    <x v="2"/>
    <n v="0"/>
    <n v="13.4"/>
    <n v="4.95"/>
    <n v="2197"/>
    <x v="708"/>
    <x v="2"/>
    <x v="2"/>
    <x v="1"/>
    <x v="2"/>
    <x v="2"/>
    <x v="271"/>
    <n v="0.37"/>
    <x v="0"/>
    <x v="1"/>
    <x v="4"/>
    <x v="444"/>
    <n v="11756"/>
    <x v="175"/>
    <d v="2015-06-27T00:00:00"/>
    <x v="1178"/>
    <n v="19"/>
    <n v="272.12"/>
    <n v="89176"/>
  </r>
  <r>
    <n v="26083"/>
    <x v="1"/>
    <n v="0.03"/>
    <n v="25.98"/>
    <n v="4.08"/>
    <n v="2198"/>
    <x v="709"/>
    <x v="2"/>
    <x v="2"/>
    <x v="0"/>
    <x v="0"/>
    <x v="2"/>
    <x v="708"/>
    <n v="0.56999999999999995"/>
    <x v="0"/>
    <x v="1"/>
    <x v="4"/>
    <x v="563"/>
    <n v="11757"/>
    <x v="55"/>
    <d v="2015-05-25T00:00:00"/>
    <x v="1179"/>
    <n v="16"/>
    <n v="428.85"/>
    <n v="89174"/>
  </r>
  <r>
    <n v="26084"/>
    <x v="1"/>
    <n v="0.1"/>
    <n v="20.98"/>
    <n v="53.03"/>
    <n v="2198"/>
    <x v="709"/>
    <x v="1"/>
    <x v="2"/>
    <x v="0"/>
    <x v="10"/>
    <x v="1"/>
    <x v="211"/>
    <n v="0.78"/>
    <x v="0"/>
    <x v="1"/>
    <x v="4"/>
    <x v="563"/>
    <n v="11757"/>
    <x v="55"/>
    <d v="2015-05-22T00:00:00"/>
    <x v="1180"/>
    <n v="16"/>
    <n v="342.54"/>
    <n v="89174"/>
  </r>
  <r>
    <n v="20234"/>
    <x v="2"/>
    <n v="0.17"/>
    <n v="14.89"/>
    <n v="13.56"/>
    <n v="2201"/>
    <x v="710"/>
    <x v="2"/>
    <x v="2"/>
    <x v="1"/>
    <x v="2"/>
    <x v="6"/>
    <x v="709"/>
    <n v="0.57999999999999996"/>
    <x v="0"/>
    <x v="2"/>
    <x v="3"/>
    <x v="107"/>
    <n v="55420"/>
    <x v="78"/>
    <d v="2015-03-27T00:00:00"/>
    <x v="1181"/>
    <n v="1"/>
    <n v="27.96"/>
    <n v="86054"/>
  </r>
  <r>
    <n v="22259"/>
    <x v="4"/>
    <n v="0.09"/>
    <n v="160.97999999999999"/>
    <n v="30"/>
    <n v="2202"/>
    <x v="711"/>
    <x v="1"/>
    <x v="1"/>
    <x v="1"/>
    <x v="1"/>
    <x v="1"/>
    <x v="48"/>
    <n v="0.62"/>
    <x v="0"/>
    <x v="2"/>
    <x v="3"/>
    <x v="564"/>
    <n v="55429"/>
    <x v="70"/>
    <d v="2015-01-31T00:00:00"/>
    <x v="1182"/>
    <n v="11"/>
    <n v="1635.38"/>
    <n v="86050"/>
  </r>
  <r>
    <n v="22260"/>
    <x v="4"/>
    <n v="0.09"/>
    <n v="6.3"/>
    <n v="0.5"/>
    <n v="2202"/>
    <x v="711"/>
    <x v="2"/>
    <x v="1"/>
    <x v="0"/>
    <x v="9"/>
    <x v="3"/>
    <x v="57"/>
    <n v="0.39"/>
    <x v="0"/>
    <x v="2"/>
    <x v="3"/>
    <x v="564"/>
    <n v="55429"/>
    <x v="70"/>
    <d v="2015-01-31T00:00:00"/>
    <x v="1183"/>
    <n v="10"/>
    <n v="58.48"/>
    <n v="86050"/>
  </r>
  <r>
    <n v="22261"/>
    <x v="4"/>
    <n v="0"/>
    <n v="4.9800000000000004"/>
    <n v="0.8"/>
    <n v="2202"/>
    <x v="711"/>
    <x v="2"/>
    <x v="1"/>
    <x v="0"/>
    <x v="7"/>
    <x v="0"/>
    <x v="177"/>
    <n v="0.36"/>
    <x v="0"/>
    <x v="2"/>
    <x v="3"/>
    <x v="564"/>
    <n v="55429"/>
    <x v="70"/>
    <d v="2015-02-07T00:00:00"/>
    <x v="1184"/>
    <n v="8"/>
    <n v="40.049999999999997"/>
    <n v="86050"/>
  </r>
  <r>
    <n v="23919"/>
    <x v="4"/>
    <n v="0.08"/>
    <n v="145.44999999999999"/>
    <n v="17.850000000000001"/>
    <n v="2203"/>
    <x v="712"/>
    <x v="1"/>
    <x v="1"/>
    <x v="2"/>
    <x v="6"/>
    <x v="1"/>
    <x v="390"/>
    <n v="0.56000000000000005"/>
    <x v="0"/>
    <x v="2"/>
    <x v="3"/>
    <x v="565"/>
    <n v="55445"/>
    <x v="128"/>
    <d v="2015-02-04T00:00:00"/>
    <x v="1185"/>
    <n v="8"/>
    <n v="1117.6600000000001"/>
    <n v="86051"/>
  </r>
  <r>
    <n v="22595"/>
    <x v="2"/>
    <n v="0.03"/>
    <n v="399.98"/>
    <n v="12.06"/>
    <n v="2203"/>
    <x v="712"/>
    <x v="1"/>
    <x v="1"/>
    <x v="2"/>
    <x v="6"/>
    <x v="5"/>
    <x v="79"/>
    <n v="0.56000000000000005"/>
    <x v="0"/>
    <x v="2"/>
    <x v="3"/>
    <x v="565"/>
    <n v="55445"/>
    <x v="148"/>
    <d v="2015-01-06T00:00:00"/>
    <x v="1186"/>
    <n v="2"/>
    <n v="807"/>
    <n v="86052"/>
  </r>
  <r>
    <n v="23920"/>
    <x v="4"/>
    <n v="7.0000000000000007E-2"/>
    <n v="33.94"/>
    <n v="19.190000000000001"/>
    <n v="2204"/>
    <x v="713"/>
    <x v="1"/>
    <x v="1"/>
    <x v="1"/>
    <x v="1"/>
    <x v="1"/>
    <x v="362"/>
    <n v="0.57999999999999996"/>
    <x v="0"/>
    <x v="2"/>
    <x v="3"/>
    <x v="566"/>
    <n v="55337"/>
    <x v="128"/>
    <d v="2015-02-08T00:00:00"/>
    <x v="1187"/>
    <n v="5"/>
    <n v="169.46"/>
    <n v="86051"/>
  </r>
  <r>
    <n v="24434"/>
    <x v="2"/>
    <n v="0.04"/>
    <n v="296.18"/>
    <n v="154.12"/>
    <n v="2204"/>
    <x v="713"/>
    <x v="1"/>
    <x v="3"/>
    <x v="1"/>
    <x v="11"/>
    <x v="5"/>
    <x v="37"/>
    <n v="0.76"/>
    <x v="0"/>
    <x v="2"/>
    <x v="3"/>
    <x v="566"/>
    <n v="55337"/>
    <x v="104"/>
    <d v="2015-02-11T00:00:00"/>
    <x v="1188"/>
    <n v="20"/>
    <n v="5768.12"/>
    <n v="86053"/>
  </r>
  <r>
    <n v="18164"/>
    <x v="0"/>
    <n v="0.03"/>
    <n v="28.48"/>
    <n v="1.99"/>
    <n v="2206"/>
    <x v="714"/>
    <x v="2"/>
    <x v="3"/>
    <x v="2"/>
    <x v="13"/>
    <x v="2"/>
    <x v="137"/>
    <n v="0.4"/>
    <x v="0"/>
    <x v="2"/>
    <x v="25"/>
    <x v="567"/>
    <n v="50501"/>
    <x v="99"/>
    <d v="2015-01-06T00:00:00"/>
    <x v="1189"/>
    <n v="2"/>
    <n v="55.25"/>
    <n v="86258"/>
  </r>
  <r>
    <n v="18165"/>
    <x v="0"/>
    <n v="0.01"/>
    <n v="205.99"/>
    <n v="5.99"/>
    <n v="2206"/>
    <x v="714"/>
    <x v="2"/>
    <x v="3"/>
    <x v="2"/>
    <x v="5"/>
    <x v="3"/>
    <x v="710"/>
    <n v="0.59"/>
    <x v="0"/>
    <x v="2"/>
    <x v="25"/>
    <x v="567"/>
    <n v="50501"/>
    <x v="99"/>
    <d v="2015-01-07T00:00:00"/>
    <x v="1190"/>
    <n v="3"/>
    <n v="551.22"/>
    <n v="86258"/>
  </r>
  <r>
    <n v="23317"/>
    <x v="4"/>
    <n v="0.06"/>
    <n v="6.98"/>
    <n v="1.6"/>
    <n v="2209"/>
    <x v="715"/>
    <x v="2"/>
    <x v="1"/>
    <x v="0"/>
    <x v="7"/>
    <x v="0"/>
    <x v="344"/>
    <n v="0.38"/>
    <x v="0"/>
    <x v="3"/>
    <x v="29"/>
    <x v="568"/>
    <n v="30337"/>
    <x v="46"/>
    <d v="2015-01-29T00:00:00"/>
    <x v="1191"/>
    <n v="12"/>
    <n v="83.93"/>
    <n v="88030"/>
  </r>
  <r>
    <n v="19914"/>
    <x v="1"/>
    <n v="0.08"/>
    <n v="95.99"/>
    <n v="35"/>
    <n v="2211"/>
    <x v="716"/>
    <x v="0"/>
    <x v="1"/>
    <x v="0"/>
    <x v="10"/>
    <x v="6"/>
    <x v="711"/>
    <m/>
    <x v="0"/>
    <x v="1"/>
    <x v="30"/>
    <x v="569"/>
    <n v="20715"/>
    <x v="167"/>
    <d v="2015-01-03T00:00:00"/>
    <x v="1192"/>
    <n v="2"/>
    <n v="193.88"/>
    <n v="88028"/>
  </r>
  <r>
    <n v="24756"/>
    <x v="0"/>
    <n v="0.09"/>
    <n v="199.99"/>
    <n v="24.49"/>
    <n v="2212"/>
    <x v="717"/>
    <x v="0"/>
    <x v="1"/>
    <x v="2"/>
    <x v="16"/>
    <x v="6"/>
    <x v="495"/>
    <n v="0.46"/>
    <x v="0"/>
    <x v="1"/>
    <x v="30"/>
    <x v="570"/>
    <n v="21228"/>
    <x v="47"/>
    <d v="2015-04-21T00:00:00"/>
    <x v="1193"/>
    <n v="5"/>
    <n v="990.25"/>
    <n v="88029"/>
  </r>
  <r>
    <n v="23512"/>
    <x v="4"/>
    <n v="7.0000000000000007E-2"/>
    <n v="3.28"/>
    <n v="3.97"/>
    <n v="2215"/>
    <x v="718"/>
    <x v="2"/>
    <x v="0"/>
    <x v="0"/>
    <x v="0"/>
    <x v="0"/>
    <x v="365"/>
    <n v="0.56000000000000005"/>
    <x v="0"/>
    <x v="1"/>
    <x v="10"/>
    <x v="571"/>
    <n v="44646"/>
    <x v="96"/>
    <d v="2015-06-23T00:00:00"/>
    <x v="1194"/>
    <n v="4"/>
    <n v="14.76"/>
    <n v="90314"/>
  </r>
  <r>
    <n v="23513"/>
    <x v="4"/>
    <n v="0.02"/>
    <n v="256.99"/>
    <n v="11.25"/>
    <n v="2216"/>
    <x v="719"/>
    <x v="2"/>
    <x v="0"/>
    <x v="2"/>
    <x v="13"/>
    <x v="3"/>
    <x v="476"/>
    <n v="0.51"/>
    <x v="0"/>
    <x v="1"/>
    <x v="10"/>
    <x v="572"/>
    <n v="44256"/>
    <x v="96"/>
    <d v="2015-06-30T00:00:00"/>
    <x v="1195"/>
    <n v="3"/>
    <n v="808.44"/>
    <n v="90314"/>
  </r>
  <r>
    <n v="23514"/>
    <x v="4"/>
    <n v="0.01"/>
    <n v="6.48"/>
    <n v="5.14"/>
    <n v="2216"/>
    <x v="719"/>
    <x v="2"/>
    <x v="0"/>
    <x v="0"/>
    <x v="7"/>
    <x v="3"/>
    <x v="339"/>
    <n v="0.37"/>
    <x v="0"/>
    <x v="1"/>
    <x v="10"/>
    <x v="572"/>
    <n v="44256"/>
    <x v="96"/>
    <d v="2015-06-25T00:00:00"/>
    <x v="1196"/>
    <n v="10"/>
    <n v="67.41"/>
    <n v="90314"/>
  </r>
  <r>
    <n v="22712"/>
    <x v="4"/>
    <n v="0.09"/>
    <n v="14.2"/>
    <n v="5.3"/>
    <n v="2220"/>
    <x v="720"/>
    <x v="2"/>
    <x v="3"/>
    <x v="1"/>
    <x v="2"/>
    <x v="0"/>
    <x v="257"/>
    <n v="0.46"/>
    <x v="0"/>
    <x v="3"/>
    <x v="26"/>
    <x v="573"/>
    <n v="34787"/>
    <x v="136"/>
    <d v="2015-03-01T00:00:00"/>
    <x v="1197"/>
    <n v="4"/>
    <n v="55.08"/>
    <n v="91036"/>
  </r>
  <r>
    <n v="24113"/>
    <x v="2"/>
    <n v="0"/>
    <n v="100.89"/>
    <n v="42"/>
    <n v="2225"/>
    <x v="721"/>
    <x v="1"/>
    <x v="2"/>
    <x v="1"/>
    <x v="1"/>
    <x v="1"/>
    <x v="712"/>
    <n v="0.61"/>
    <x v="0"/>
    <x v="0"/>
    <x v="27"/>
    <x v="574"/>
    <n v="88240"/>
    <x v="54"/>
    <d v="2015-02-22T00:00:00"/>
    <x v="1198"/>
    <n v="15"/>
    <n v="1608.11"/>
    <n v="89970"/>
  </r>
  <r>
    <n v="18820"/>
    <x v="4"/>
    <n v="0.01"/>
    <n v="13.43"/>
    <n v="5.5"/>
    <n v="2240"/>
    <x v="722"/>
    <x v="0"/>
    <x v="0"/>
    <x v="0"/>
    <x v="10"/>
    <x v="3"/>
    <x v="599"/>
    <n v="0.56999999999999995"/>
    <x v="0"/>
    <x v="3"/>
    <x v="26"/>
    <x v="575"/>
    <n v="33801"/>
    <x v="34"/>
    <d v="2015-04-13T00:00:00"/>
    <x v="1199"/>
    <n v="7"/>
    <n v="99.75"/>
    <n v="89102"/>
  </r>
  <r>
    <n v="24121"/>
    <x v="4"/>
    <n v="0"/>
    <n v="2.08"/>
    <n v="5.33"/>
    <n v="2250"/>
    <x v="723"/>
    <x v="2"/>
    <x v="1"/>
    <x v="1"/>
    <x v="2"/>
    <x v="3"/>
    <x v="261"/>
    <n v="0.43"/>
    <x v="0"/>
    <x v="1"/>
    <x v="19"/>
    <x v="576"/>
    <n v="16801"/>
    <x v="53"/>
    <d v="2015-04-20T00:00:00"/>
    <x v="1200"/>
    <n v="22"/>
    <n v="51.41"/>
    <n v="86699"/>
  </r>
  <r>
    <n v="25440"/>
    <x v="4"/>
    <n v="0.1"/>
    <n v="6.3"/>
    <n v="0.5"/>
    <n v="2254"/>
    <x v="724"/>
    <x v="2"/>
    <x v="0"/>
    <x v="0"/>
    <x v="9"/>
    <x v="3"/>
    <x v="421"/>
    <n v="0.39"/>
    <x v="0"/>
    <x v="3"/>
    <x v="35"/>
    <x v="577"/>
    <n v="42003"/>
    <x v="39"/>
    <d v="2015-02-01T00:00:00"/>
    <x v="1201"/>
    <n v="12"/>
    <n v="68.72"/>
    <n v="89278"/>
  </r>
  <r>
    <n v="20639"/>
    <x v="0"/>
    <n v="0.1"/>
    <n v="48.91"/>
    <n v="5.97"/>
    <n v="2254"/>
    <x v="724"/>
    <x v="2"/>
    <x v="0"/>
    <x v="0"/>
    <x v="7"/>
    <x v="3"/>
    <x v="713"/>
    <n v="0.38"/>
    <x v="0"/>
    <x v="3"/>
    <x v="35"/>
    <x v="577"/>
    <n v="42003"/>
    <x v="65"/>
    <d v="2015-04-30T00:00:00"/>
    <x v="1202"/>
    <n v="14"/>
    <n v="618.96"/>
    <n v="89279"/>
  </r>
  <r>
    <n v="20640"/>
    <x v="0"/>
    <n v="0.08"/>
    <n v="5.98"/>
    <n v="5.46"/>
    <n v="2254"/>
    <x v="724"/>
    <x v="2"/>
    <x v="0"/>
    <x v="0"/>
    <x v="7"/>
    <x v="3"/>
    <x v="381"/>
    <n v="0.36"/>
    <x v="0"/>
    <x v="3"/>
    <x v="35"/>
    <x v="577"/>
    <n v="42003"/>
    <x v="65"/>
    <d v="2015-04-28T00:00:00"/>
    <x v="1203"/>
    <n v="13"/>
    <n v="77.540000000000006"/>
    <n v="89279"/>
  </r>
  <r>
    <n v="19054"/>
    <x v="2"/>
    <n v="7.0000000000000007E-2"/>
    <n v="60.97"/>
    <n v="4.5"/>
    <n v="2256"/>
    <x v="725"/>
    <x v="0"/>
    <x v="0"/>
    <x v="0"/>
    <x v="15"/>
    <x v="3"/>
    <x v="714"/>
    <n v="0.56000000000000005"/>
    <x v="0"/>
    <x v="3"/>
    <x v="24"/>
    <x v="561"/>
    <n v="28560"/>
    <x v="22"/>
    <d v="2015-01-04T00:00:00"/>
    <x v="1204"/>
    <n v="6"/>
    <n v="361.72"/>
    <n v="87963"/>
  </r>
  <r>
    <n v="18652"/>
    <x v="3"/>
    <n v="7.0000000000000007E-2"/>
    <n v="70.98"/>
    <n v="30"/>
    <n v="2256"/>
    <x v="725"/>
    <x v="1"/>
    <x v="0"/>
    <x v="1"/>
    <x v="1"/>
    <x v="1"/>
    <x v="715"/>
    <n v="0.73"/>
    <x v="0"/>
    <x v="3"/>
    <x v="24"/>
    <x v="561"/>
    <n v="28560"/>
    <x v="120"/>
    <d v="2015-03-26T00:00:00"/>
    <x v="1205"/>
    <n v="20"/>
    <n v="1373.47"/>
    <n v="87964"/>
  </r>
  <r>
    <n v="21937"/>
    <x v="0"/>
    <n v="0.06"/>
    <n v="6.68"/>
    <n v="6.93"/>
    <n v="2257"/>
    <x v="726"/>
    <x v="2"/>
    <x v="0"/>
    <x v="0"/>
    <x v="7"/>
    <x v="3"/>
    <x v="716"/>
    <n v="0.37"/>
    <x v="0"/>
    <x v="3"/>
    <x v="24"/>
    <x v="578"/>
    <n v="27604"/>
    <x v="20"/>
    <d v="2015-06-13T00:00:00"/>
    <x v="1206"/>
    <n v="14"/>
    <n v="91.92"/>
    <n v="87965"/>
  </r>
  <r>
    <n v="26361"/>
    <x v="4"/>
    <n v="0.01"/>
    <n v="7.64"/>
    <n v="1.39"/>
    <n v="2258"/>
    <x v="727"/>
    <x v="0"/>
    <x v="0"/>
    <x v="0"/>
    <x v="4"/>
    <x v="3"/>
    <x v="448"/>
    <n v="0.36"/>
    <x v="0"/>
    <x v="3"/>
    <x v="24"/>
    <x v="579"/>
    <n v="27801"/>
    <x v="156"/>
    <d v="2015-03-13T00:00:00"/>
    <x v="1207"/>
    <n v="9"/>
    <n v="73.290000000000006"/>
    <n v="87962"/>
  </r>
  <r>
    <n v="26362"/>
    <x v="4"/>
    <n v="7.0000000000000007E-2"/>
    <n v="400.97"/>
    <n v="48.26"/>
    <n v="2258"/>
    <x v="727"/>
    <x v="1"/>
    <x v="0"/>
    <x v="2"/>
    <x v="6"/>
    <x v="5"/>
    <x v="460"/>
    <n v="0.36"/>
    <x v="0"/>
    <x v="3"/>
    <x v="24"/>
    <x v="579"/>
    <n v="27801"/>
    <x v="156"/>
    <d v="2015-03-13T00:00:00"/>
    <x v="1208"/>
    <n v="8"/>
    <n v="2961.32"/>
    <n v="87962"/>
  </r>
  <r>
    <n v="20187"/>
    <x v="2"/>
    <n v="0.02"/>
    <n v="4.9800000000000004"/>
    <n v="0.49"/>
    <n v="2260"/>
    <x v="728"/>
    <x v="2"/>
    <x v="0"/>
    <x v="0"/>
    <x v="9"/>
    <x v="3"/>
    <x v="509"/>
    <n v="0.39"/>
    <x v="0"/>
    <x v="3"/>
    <x v="29"/>
    <x v="580"/>
    <n v="30161"/>
    <x v="2"/>
    <d v="2015-02-16T00:00:00"/>
    <x v="1209"/>
    <n v="17"/>
    <n v="87.11"/>
    <n v="89601"/>
  </r>
  <r>
    <n v="20188"/>
    <x v="2"/>
    <n v="0.01"/>
    <n v="20.99"/>
    <n v="0.99"/>
    <n v="2260"/>
    <x v="728"/>
    <x v="2"/>
    <x v="0"/>
    <x v="2"/>
    <x v="5"/>
    <x v="2"/>
    <x v="717"/>
    <n v="0.83"/>
    <x v="0"/>
    <x v="3"/>
    <x v="29"/>
    <x v="580"/>
    <n v="30161"/>
    <x v="2"/>
    <d v="2015-02-16T00:00:00"/>
    <x v="1210"/>
    <n v="9"/>
    <n v="170.46"/>
    <n v="89601"/>
  </r>
  <r>
    <n v="19569"/>
    <x v="0"/>
    <n v="0.08"/>
    <n v="4.9800000000000004"/>
    <n v="0.49"/>
    <n v="2260"/>
    <x v="728"/>
    <x v="2"/>
    <x v="0"/>
    <x v="0"/>
    <x v="9"/>
    <x v="3"/>
    <x v="509"/>
    <n v="0.39"/>
    <x v="0"/>
    <x v="3"/>
    <x v="29"/>
    <x v="580"/>
    <n v="30161"/>
    <x v="109"/>
    <d v="2015-04-22T00:00:00"/>
    <x v="1211"/>
    <n v="1"/>
    <n v="4.95"/>
    <n v="89602"/>
  </r>
  <r>
    <n v="19570"/>
    <x v="0"/>
    <n v="0.09"/>
    <n v="119.99"/>
    <n v="14"/>
    <n v="2260"/>
    <x v="728"/>
    <x v="1"/>
    <x v="0"/>
    <x v="2"/>
    <x v="6"/>
    <x v="1"/>
    <x v="319"/>
    <n v="0.36"/>
    <x v="0"/>
    <x v="3"/>
    <x v="29"/>
    <x v="580"/>
    <n v="30161"/>
    <x v="109"/>
    <d v="2015-04-23T00:00:00"/>
    <x v="1212"/>
    <n v="4"/>
    <n v="461.24"/>
    <n v="89602"/>
  </r>
  <r>
    <n v="18142"/>
    <x v="1"/>
    <n v="0.09"/>
    <n v="207.48"/>
    <n v="0.99"/>
    <n v="2264"/>
    <x v="729"/>
    <x v="2"/>
    <x v="0"/>
    <x v="0"/>
    <x v="15"/>
    <x v="3"/>
    <x v="718"/>
    <n v="0.55000000000000004"/>
    <x v="0"/>
    <x v="2"/>
    <x v="33"/>
    <x v="581"/>
    <n v="64804"/>
    <x v="161"/>
    <d v="2015-01-29T00:00:00"/>
    <x v="1213"/>
    <n v="3"/>
    <n v="577.75"/>
    <n v="86611"/>
  </r>
  <r>
    <n v="19171"/>
    <x v="2"/>
    <n v="0.1"/>
    <n v="7.45"/>
    <n v="6.28"/>
    <n v="2265"/>
    <x v="730"/>
    <x v="2"/>
    <x v="0"/>
    <x v="0"/>
    <x v="8"/>
    <x v="3"/>
    <x v="719"/>
    <n v="0.4"/>
    <x v="0"/>
    <x v="2"/>
    <x v="33"/>
    <x v="582"/>
    <n v="64130"/>
    <x v="134"/>
    <d v="2015-02-01T00:00:00"/>
    <x v="1214"/>
    <n v="8"/>
    <n v="59.4"/>
    <n v="86612"/>
  </r>
  <r>
    <n v="19172"/>
    <x v="2"/>
    <n v="0.01"/>
    <n v="6.48"/>
    <n v="7.86"/>
    <n v="2265"/>
    <x v="730"/>
    <x v="2"/>
    <x v="0"/>
    <x v="0"/>
    <x v="7"/>
    <x v="3"/>
    <x v="405"/>
    <n v="0.37"/>
    <x v="0"/>
    <x v="2"/>
    <x v="33"/>
    <x v="582"/>
    <n v="64130"/>
    <x v="134"/>
    <d v="2015-01-31T00:00:00"/>
    <x v="1215"/>
    <n v="10"/>
    <n v="66.459999999999994"/>
    <n v="86612"/>
  </r>
  <r>
    <n v="25996"/>
    <x v="2"/>
    <n v="0.02"/>
    <n v="11.33"/>
    <n v="6.12"/>
    <n v="2266"/>
    <x v="731"/>
    <x v="2"/>
    <x v="0"/>
    <x v="0"/>
    <x v="15"/>
    <x v="4"/>
    <x v="720"/>
    <n v="0.42"/>
    <x v="0"/>
    <x v="2"/>
    <x v="33"/>
    <x v="583"/>
    <n v="63122"/>
    <x v="66"/>
    <d v="2015-05-28T00:00:00"/>
    <x v="1216"/>
    <n v="3"/>
    <n v="35.35"/>
    <n v="86610"/>
  </r>
  <r>
    <n v="25997"/>
    <x v="2"/>
    <n v="0.01"/>
    <n v="15.67"/>
    <n v="1.39"/>
    <n v="2266"/>
    <x v="731"/>
    <x v="2"/>
    <x v="0"/>
    <x v="0"/>
    <x v="4"/>
    <x v="3"/>
    <x v="598"/>
    <n v="0.38"/>
    <x v="0"/>
    <x v="2"/>
    <x v="33"/>
    <x v="583"/>
    <n v="63122"/>
    <x v="66"/>
    <d v="2015-05-27T00:00:00"/>
    <x v="1217"/>
    <n v="16"/>
    <n v="248.21"/>
    <n v="86610"/>
  </r>
  <r>
    <n v="19072"/>
    <x v="4"/>
    <n v="0.08"/>
    <n v="259.70999999999998"/>
    <n v="66.67"/>
    <n v="2268"/>
    <x v="732"/>
    <x v="1"/>
    <x v="2"/>
    <x v="1"/>
    <x v="11"/>
    <x v="5"/>
    <x v="112"/>
    <n v="0.61"/>
    <x v="0"/>
    <x v="3"/>
    <x v="26"/>
    <x v="584"/>
    <n v="34639"/>
    <x v="26"/>
    <d v="2015-06-07T00:00:00"/>
    <x v="1218"/>
    <n v="17"/>
    <n v="4086.5"/>
    <n v="89571"/>
  </r>
  <r>
    <n v="23963"/>
    <x v="4"/>
    <n v="0.01"/>
    <n v="20.48"/>
    <n v="6.32"/>
    <n v="2270"/>
    <x v="733"/>
    <x v="2"/>
    <x v="2"/>
    <x v="0"/>
    <x v="15"/>
    <x v="3"/>
    <x v="656"/>
    <n v="0.57999999999999996"/>
    <x v="0"/>
    <x v="3"/>
    <x v="39"/>
    <x v="585"/>
    <n v="29662"/>
    <x v="92"/>
    <d v="2015-02-08T00:00:00"/>
    <x v="1219"/>
    <n v="18"/>
    <n v="375.03"/>
    <n v="89572"/>
  </r>
  <r>
    <n v="23964"/>
    <x v="4"/>
    <n v="0.09"/>
    <n v="1.86"/>
    <n v="2.58"/>
    <n v="2270"/>
    <x v="733"/>
    <x v="2"/>
    <x v="2"/>
    <x v="0"/>
    <x v="3"/>
    <x v="0"/>
    <x v="96"/>
    <n v="0.82"/>
    <x v="0"/>
    <x v="3"/>
    <x v="39"/>
    <x v="585"/>
    <n v="29662"/>
    <x v="92"/>
    <d v="2015-02-11T00:00:00"/>
    <x v="1220"/>
    <n v="12"/>
    <n v="22.11"/>
    <n v="89572"/>
  </r>
  <r>
    <n v="23965"/>
    <x v="4"/>
    <n v="0.08"/>
    <n v="205.99"/>
    <n v="2.5"/>
    <n v="2270"/>
    <x v="733"/>
    <x v="2"/>
    <x v="2"/>
    <x v="2"/>
    <x v="5"/>
    <x v="3"/>
    <x v="721"/>
    <n v="0.59"/>
    <x v="0"/>
    <x v="3"/>
    <x v="39"/>
    <x v="585"/>
    <n v="29662"/>
    <x v="92"/>
    <d v="2015-02-11T00:00:00"/>
    <x v="1221"/>
    <n v="17"/>
    <n v="2875.35"/>
    <n v="89572"/>
  </r>
  <r>
    <n v="19438"/>
    <x v="0"/>
    <n v="0.08"/>
    <n v="15.73"/>
    <n v="7.42"/>
    <n v="2272"/>
    <x v="734"/>
    <x v="0"/>
    <x v="0"/>
    <x v="0"/>
    <x v="12"/>
    <x v="2"/>
    <x v="722"/>
    <n v="0.56000000000000005"/>
    <x v="0"/>
    <x v="2"/>
    <x v="7"/>
    <x v="586"/>
    <n v="76543"/>
    <x v="44"/>
    <d v="2015-03-18T00:00:00"/>
    <x v="1222"/>
    <n v="5"/>
    <n v="78.08"/>
    <n v="90110"/>
  </r>
  <r>
    <n v="23416"/>
    <x v="4"/>
    <n v="0.04"/>
    <n v="120.98"/>
    <n v="3.99"/>
    <n v="2273"/>
    <x v="735"/>
    <x v="2"/>
    <x v="0"/>
    <x v="0"/>
    <x v="15"/>
    <x v="3"/>
    <x v="723"/>
    <n v="0.6"/>
    <x v="0"/>
    <x v="2"/>
    <x v="7"/>
    <x v="587"/>
    <n v="78550"/>
    <x v="130"/>
    <d v="2015-05-05T00:00:00"/>
    <x v="1223"/>
    <n v="17"/>
    <n v="2013.88"/>
    <n v="90109"/>
  </r>
  <r>
    <n v="23417"/>
    <x v="4"/>
    <n v="0.02"/>
    <n v="55.99"/>
    <n v="5"/>
    <n v="2273"/>
    <x v="735"/>
    <x v="2"/>
    <x v="0"/>
    <x v="2"/>
    <x v="5"/>
    <x v="2"/>
    <x v="134"/>
    <n v="0.83"/>
    <x v="0"/>
    <x v="2"/>
    <x v="7"/>
    <x v="587"/>
    <n v="78550"/>
    <x v="130"/>
    <d v="2015-05-05T00:00:00"/>
    <x v="1224"/>
    <n v="4"/>
    <n v="201.32"/>
    <n v="90109"/>
  </r>
  <r>
    <n v="23418"/>
    <x v="4"/>
    <n v="0.05"/>
    <n v="23.99"/>
    <n v="15.68"/>
    <n v="2274"/>
    <x v="736"/>
    <x v="1"/>
    <x v="0"/>
    <x v="1"/>
    <x v="2"/>
    <x v="1"/>
    <x v="724"/>
    <n v="0.62"/>
    <x v="0"/>
    <x v="2"/>
    <x v="7"/>
    <x v="588"/>
    <n v="77036"/>
    <x v="130"/>
    <d v="2015-05-09T00:00:00"/>
    <x v="1225"/>
    <n v="12"/>
    <n v="298.51"/>
    <n v="90109"/>
  </r>
  <r>
    <n v="24552"/>
    <x v="1"/>
    <n v="0.01"/>
    <n v="195.99"/>
    <n v="8.99"/>
    <n v="2276"/>
    <x v="737"/>
    <x v="2"/>
    <x v="3"/>
    <x v="2"/>
    <x v="5"/>
    <x v="3"/>
    <x v="258"/>
    <n v="0.6"/>
    <x v="0"/>
    <x v="1"/>
    <x v="4"/>
    <x v="589"/>
    <n v="14304"/>
    <x v="133"/>
    <d v="2015-06-30T00:00:00"/>
    <x v="1226"/>
    <n v="22"/>
    <n v="3846.06"/>
    <n v="91502"/>
  </r>
  <r>
    <n v="23572"/>
    <x v="4"/>
    <n v="0.04"/>
    <n v="4.4800000000000004"/>
    <n v="2.5"/>
    <n v="2279"/>
    <x v="738"/>
    <x v="0"/>
    <x v="1"/>
    <x v="0"/>
    <x v="4"/>
    <x v="3"/>
    <x v="409"/>
    <n v="0.37"/>
    <x v="0"/>
    <x v="1"/>
    <x v="19"/>
    <x v="590"/>
    <n v="15601"/>
    <x v="33"/>
    <d v="2015-06-26T00:00:00"/>
    <x v="1227"/>
    <n v="7"/>
    <n v="35.93"/>
    <n v="85949"/>
  </r>
  <r>
    <n v="19615"/>
    <x v="1"/>
    <n v="0.08"/>
    <n v="205.99"/>
    <n v="2.5"/>
    <n v="2281"/>
    <x v="739"/>
    <x v="2"/>
    <x v="1"/>
    <x v="2"/>
    <x v="5"/>
    <x v="3"/>
    <x v="721"/>
    <n v="0.59"/>
    <x v="0"/>
    <x v="2"/>
    <x v="45"/>
    <x v="591"/>
    <n v="54703"/>
    <x v="39"/>
    <d v="2015-01-28T00:00:00"/>
    <x v="1228"/>
    <n v="10"/>
    <n v="1610.84"/>
    <n v="85948"/>
  </r>
  <r>
    <n v="21260"/>
    <x v="3"/>
    <n v="0.04"/>
    <n v="5.98"/>
    <n v="5.79"/>
    <n v="2282"/>
    <x v="740"/>
    <x v="2"/>
    <x v="1"/>
    <x v="0"/>
    <x v="7"/>
    <x v="3"/>
    <x v="26"/>
    <n v="0.36"/>
    <x v="0"/>
    <x v="2"/>
    <x v="45"/>
    <x v="592"/>
    <n v="53713"/>
    <x v="64"/>
    <d v="2015-02-07T00:00:00"/>
    <x v="1229"/>
    <n v="14"/>
    <n v="86.12"/>
    <n v="85950"/>
  </r>
  <r>
    <n v="26148"/>
    <x v="3"/>
    <n v="0.01"/>
    <n v="11.7"/>
    <n v="6.96"/>
    <n v="2283"/>
    <x v="741"/>
    <x v="2"/>
    <x v="1"/>
    <x v="0"/>
    <x v="15"/>
    <x v="4"/>
    <x v="459"/>
    <n v="0.5"/>
    <x v="0"/>
    <x v="2"/>
    <x v="45"/>
    <x v="593"/>
    <n v="53132"/>
    <x v="76"/>
    <d v="2015-01-26T00:00:00"/>
    <x v="1230"/>
    <n v="6"/>
    <n v="76.87"/>
    <n v="85947"/>
  </r>
  <r>
    <n v="19460"/>
    <x v="3"/>
    <n v="0.02"/>
    <n v="17.7"/>
    <n v="9.4700000000000006"/>
    <n v="2285"/>
    <x v="742"/>
    <x v="0"/>
    <x v="0"/>
    <x v="0"/>
    <x v="10"/>
    <x v="3"/>
    <x v="552"/>
    <n v="0.59"/>
    <x v="0"/>
    <x v="3"/>
    <x v="39"/>
    <x v="594"/>
    <n v="29730"/>
    <x v="114"/>
    <d v="2015-03-15T00:00:00"/>
    <x v="1231"/>
    <n v="21"/>
    <n v="374.6"/>
    <n v="90148"/>
  </r>
  <r>
    <n v="21529"/>
    <x v="3"/>
    <n v="0"/>
    <n v="4.91"/>
    <n v="0.5"/>
    <n v="2286"/>
    <x v="743"/>
    <x v="2"/>
    <x v="0"/>
    <x v="0"/>
    <x v="9"/>
    <x v="3"/>
    <x v="41"/>
    <n v="0.36"/>
    <x v="0"/>
    <x v="3"/>
    <x v="39"/>
    <x v="595"/>
    <n v="29301"/>
    <x v="128"/>
    <d v="2015-02-06T00:00:00"/>
    <x v="1232"/>
    <n v="12"/>
    <n v="61.87"/>
    <n v="90145"/>
  </r>
  <r>
    <n v="21530"/>
    <x v="3"/>
    <n v="0.01"/>
    <n v="7.28"/>
    <n v="11.15"/>
    <n v="2286"/>
    <x v="743"/>
    <x v="2"/>
    <x v="0"/>
    <x v="0"/>
    <x v="7"/>
    <x v="3"/>
    <x v="306"/>
    <n v="0.37"/>
    <x v="0"/>
    <x v="3"/>
    <x v="39"/>
    <x v="595"/>
    <n v="29301"/>
    <x v="128"/>
    <d v="2015-02-05T00:00:00"/>
    <x v="1233"/>
    <n v="6"/>
    <n v="48.88"/>
    <n v="90145"/>
  </r>
  <r>
    <n v="21531"/>
    <x v="3"/>
    <n v="0.1"/>
    <n v="6.68"/>
    <n v="6.93"/>
    <n v="2286"/>
    <x v="743"/>
    <x v="2"/>
    <x v="0"/>
    <x v="0"/>
    <x v="7"/>
    <x v="3"/>
    <x v="716"/>
    <n v="0.37"/>
    <x v="0"/>
    <x v="3"/>
    <x v="39"/>
    <x v="595"/>
    <n v="29301"/>
    <x v="128"/>
    <d v="2015-02-07T00:00:00"/>
    <x v="1234"/>
    <n v="3"/>
    <n v="21.56"/>
    <n v="90145"/>
  </r>
  <r>
    <n v="25183"/>
    <x v="1"/>
    <n v="0.01"/>
    <n v="18.97"/>
    <n v="9.0299999999999994"/>
    <n v="2287"/>
    <x v="744"/>
    <x v="2"/>
    <x v="0"/>
    <x v="0"/>
    <x v="7"/>
    <x v="3"/>
    <x v="273"/>
    <n v="0.37"/>
    <x v="0"/>
    <x v="3"/>
    <x v="39"/>
    <x v="596"/>
    <n v="29483"/>
    <x v="78"/>
    <d v="2015-03-25T00:00:00"/>
    <x v="1235"/>
    <n v="8"/>
    <n v="164.67"/>
    <n v="90146"/>
  </r>
  <r>
    <n v="25184"/>
    <x v="1"/>
    <n v="0.03"/>
    <n v="12.28"/>
    <n v="4.8600000000000003"/>
    <n v="2287"/>
    <x v="744"/>
    <x v="2"/>
    <x v="0"/>
    <x v="0"/>
    <x v="7"/>
    <x v="3"/>
    <x v="94"/>
    <n v="0.38"/>
    <x v="0"/>
    <x v="3"/>
    <x v="39"/>
    <x v="596"/>
    <n v="29483"/>
    <x v="78"/>
    <d v="2015-03-26T00:00:00"/>
    <x v="1236"/>
    <n v="6"/>
    <n v="72.739999999999995"/>
    <n v="90146"/>
  </r>
  <r>
    <n v="25185"/>
    <x v="1"/>
    <n v="0.05"/>
    <n v="34.99"/>
    <n v="7.73"/>
    <n v="2287"/>
    <x v="744"/>
    <x v="0"/>
    <x v="0"/>
    <x v="0"/>
    <x v="0"/>
    <x v="3"/>
    <x v="17"/>
    <n v="0.59"/>
    <x v="0"/>
    <x v="3"/>
    <x v="39"/>
    <x v="596"/>
    <n v="29483"/>
    <x v="78"/>
    <d v="2015-03-27T00:00:00"/>
    <x v="1235"/>
    <n v="12"/>
    <n v="418.75"/>
    <n v="90146"/>
  </r>
  <r>
    <n v="24396"/>
    <x v="4"/>
    <n v="0.1"/>
    <n v="54.1"/>
    <n v="19.989999999999998"/>
    <n v="2287"/>
    <x v="744"/>
    <x v="2"/>
    <x v="0"/>
    <x v="0"/>
    <x v="10"/>
    <x v="3"/>
    <x v="725"/>
    <n v="0.59"/>
    <x v="0"/>
    <x v="3"/>
    <x v="39"/>
    <x v="596"/>
    <n v="29483"/>
    <x v="153"/>
    <d v="2015-02-24T00:00:00"/>
    <x v="1237"/>
    <n v="9"/>
    <n v="469.59"/>
    <n v="90147"/>
  </r>
  <r>
    <n v="19243"/>
    <x v="2"/>
    <n v="0.01"/>
    <n v="7.59"/>
    <n v="4"/>
    <n v="2289"/>
    <x v="745"/>
    <x v="2"/>
    <x v="1"/>
    <x v="1"/>
    <x v="2"/>
    <x v="0"/>
    <x v="150"/>
    <n v="0.42"/>
    <x v="0"/>
    <x v="2"/>
    <x v="3"/>
    <x v="566"/>
    <n v="55337"/>
    <x v="82"/>
    <d v="2015-05-04T00:00:00"/>
    <x v="1238"/>
    <n v="17"/>
    <n v="136.25"/>
    <n v="88165"/>
  </r>
  <r>
    <n v="21334"/>
    <x v="1"/>
    <n v="0"/>
    <n v="42.98"/>
    <n v="4.62"/>
    <n v="2290"/>
    <x v="746"/>
    <x v="2"/>
    <x v="1"/>
    <x v="0"/>
    <x v="15"/>
    <x v="3"/>
    <x v="647"/>
    <n v="0.56000000000000005"/>
    <x v="0"/>
    <x v="2"/>
    <x v="3"/>
    <x v="597"/>
    <n v="55433"/>
    <x v="61"/>
    <d v="2015-01-08T00:00:00"/>
    <x v="1239"/>
    <n v="12"/>
    <n v="558.41"/>
    <n v="88163"/>
  </r>
  <r>
    <n v="21335"/>
    <x v="1"/>
    <n v="0.03"/>
    <n v="21.78"/>
    <n v="5.94"/>
    <n v="2290"/>
    <x v="746"/>
    <x v="2"/>
    <x v="1"/>
    <x v="0"/>
    <x v="15"/>
    <x v="4"/>
    <x v="726"/>
    <n v="0.5"/>
    <x v="0"/>
    <x v="2"/>
    <x v="3"/>
    <x v="597"/>
    <n v="55433"/>
    <x v="61"/>
    <d v="2015-01-08T00:00:00"/>
    <x v="1240"/>
    <n v="13"/>
    <n v="290.22000000000003"/>
    <n v="88163"/>
  </r>
  <r>
    <n v="19723"/>
    <x v="3"/>
    <n v="7.0000000000000007E-2"/>
    <n v="80.98"/>
    <n v="7.18"/>
    <n v="2290"/>
    <x v="746"/>
    <x v="2"/>
    <x v="0"/>
    <x v="2"/>
    <x v="13"/>
    <x v="3"/>
    <x v="727"/>
    <n v="0.48"/>
    <x v="0"/>
    <x v="2"/>
    <x v="3"/>
    <x v="597"/>
    <n v="55433"/>
    <x v="128"/>
    <d v="2015-02-06T00:00:00"/>
    <x v="1241"/>
    <n v="15"/>
    <n v="1129.67"/>
    <n v="88164"/>
  </r>
  <r>
    <n v="24673"/>
    <x v="2"/>
    <n v="7.0000000000000007E-2"/>
    <n v="270.98"/>
    <n v="50"/>
    <n v="2302"/>
    <x v="747"/>
    <x v="1"/>
    <x v="0"/>
    <x v="1"/>
    <x v="1"/>
    <x v="1"/>
    <x v="728"/>
    <n v="0.77"/>
    <x v="0"/>
    <x v="3"/>
    <x v="26"/>
    <x v="598"/>
    <n v="32404"/>
    <x v="143"/>
    <d v="2015-02-13T00:00:00"/>
    <x v="1242"/>
    <n v="9"/>
    <n v="2439.37"/>
    <n v="87695"/>
  </r>
  <r>
    <n v="23344"/>
    <x v="0"/>
    <n v="0.1"/>
    <n v="12.53"/>
    <n v="0.49"/>
    <n v="2302"/>
    <x v="747"/>
    <x v="2"/>
    <x v="0"/>
    <x v="0"/>
    <x v="9"/>
    <x v="3"/>
    <x v="369"/>
    <n v="0.38"/>
    <x v="0"/>
    <x v="3"/>
    <x v="26"/>
    <x v="598"/>
    <n v="32404"/>
    <x v="35"/>
    <d v="2015-01-04T00:00:00"/>
    <x v="1243"/>
    <n v="8"/>
    <n v="92.02"/>
    <n v="87696"/>
  </r>
  <r>
    <n v="23345"/>
    <x v="0"/>
    <n v="0.1"/>
    <n v="146.34"/>
    <n v="43.75"/>
    <n v="2302"/>
    <x v="747"/>
    <x v="1"/>
    <x v="0"/>
    <x v="1"/>
    <x v="11"/>
    <x v="5"/>
    <x v="729"/>
    <n v="0.64"/>
    <x v="0"/>
    <x v="3"/>
    <x v="26"/>
    <x v="598"/>
    <n v="32404"/>
    <x v="35"/>
    <d v="2015-01-04T00:00:00"/>
    <x v="1244"/>
    <n v="2"/>
    <n v="283.55"/>
    <n v="87696"/>
  </r>
  <r>
    <n v="6673"/>
    <x v="2"/>
    <n v="7.0000000000000007E-2"/>
    <n v="270.98"/>
    <n v="50"/>
    <n v="2303"/>
    <x v="748"/>
    <x v="1"/>
    <x v="0"/>
    <x v="1"/>
    <x v="1"/>
    <x v="1"/>
    <x v="728"/>
    <n v="0.77"/>
    <x v="0"/>
    <x v="1"/>
    <x v="4"/>
    <x v="8"/>
    <n v="10011"/>
    <x v="143"/>
    <d v="2015-02-13T00:00:00"/>
    <x v="1245"/>
    <n v="36"/>
    <n v="9757.48"/>
    <n v="47493"/>
  </r>
  <r>
    <n v="5345"/>
    <x v="0"/>
    <n v="0.1"/>
    <n v="146.34"/>
    <n v="43.75"/>
    <n v="2303"/>
    <x v="748"/>
    <x v="1"/>
    <x v="0"/>
    <x v="1"/>
    <x v="11"/>
    <x v="5"/>
    <x v="729"/>
    <n v="0.64"/>
    <x v="0"/>
    <x v="1"/>
    <x v="4"/>
    <x v="8"/>
    <n v="10011"/>
    <x v="35"/>
    <d v="2015-01-04T00:00:00"/>
    <x v="1246"/>
    <n v="6"/>
    <n v="850.64"/>
    <n v="37987"/>
  </r>
  <r>
    <n v="19934"/>
    <x v="0"/>
    <n v="0"/>
    <n v="90.48"/>
    <n v="19.989999999999998"/>
    <n v="2305"/>
    <x v="749"/>
    <x v="2"/>
    <x v="2"/>
    <x v="0"/>
    <x v="4"/>
    <x v="3"/>
    <x v="634"/>
    <n v="0.4"/>
    <x v="0"/>
    <x v="2"/>
    <x v="46"/>
    <x v="98"/>
    <n v="57201"/>
    <x v="123"/>
    <d v="2015-06-24T00:00:00"/>
    <x v="1247"/>
    <n v="12"/>
    <n v="1159.79"/>
    <n v="89869"/>
  </r>
  <r>
    <n v="23313"/>
    <x v="4"/>
    <n v="0.08"/>
    <n v="9.48"/>
    <n v="7.29"/>
    <n v="2308"/>
    <x v="750"/>
    <x v="2"/>
    <x v="2"/>
    <x v="1"/>
    <x v="2"/>
    <x v="2"/>
    <x v="2"/>
    <n v="0.45"/>
    <x v="0"/>
    <x v="3"/>
    <x v="26"/>
    <x v="599"/>
    <n v="33971"/>
    <x v="120"/>
    <d v="2015-03-26T00:00:00"/>
    <x v="1248"/>
    <n v="2"/>
    <n v="20.22"/>
    <n v="90557"/>
  </r>
  <r>
    <n v="23314"/>
    <x v="4"/>
    <n v="0.03"/>
    <n v="193.17"/>
    <n v="19.989999999999998"/>
    <n v="2308"/>
    <x v="750"/>
    <x v="2"/>
    <x v="2"/>
    <x v="0"/>
    <x v="10"/>
    <x v="3"/>
    <x v="538"/>
    <n v="0.71"/>
    <x v="0"/>
    <x v="3"/>
    <x v="26"/>
    <x v="599"/>
    <n v="33971"/>
    <x v="120"/>
    <d v="2015-03-28T00:00:00"/>
    <x v="1249"/>
    <n v="8"/>
    <n v="1548.97"/>
    <n v="90557"/>
  </r>
  <r>
    <n v="26048"/>
    <x v="0"/>
    <n v="0.08"/>
    <n v="68.81"/>
    <n v="60"/>
    <n v="2323"/>
    <x v="751"/>
    <x v="1"/>
    <x v="2"/>
    <x v="0"/>
    <x v="15"/>
    <x v="1"/>
    <x v="730"/>
    <n v="0.41"/>
    <x v="0"/>
    <x v="0"/>
    <x v="1"/>
    <x v="600"/>
    <n v="92236"/>
    <x v="44"/>
    <d v="2015-03-17T00:00:00"/>
    <x v="1250"/>
    <n v="5"/>
    <n v="337.86"/>
    <n v="88721"/>
  </r>
  <r>
    <n v="26049"/>
    <x v="0"/>
    <n v="0.04"/>
    <n v="21.38"/>
    <n v="8.99"/>
    <n v="2323"/>
    <x v="751"/>
    <x v="2"/>
    <x v="2"/>
    <x v="0"/>
    <x v="0"/>
    <x v="2"/>
    <x v="731"/>
    <n v="0.59"/>
    <x v="0"/>
    <x v="0"/>
    <x v="1"/>
    <x v="600"/>
    <n v="92236"/>
    <x v="44"/>
    <d v="2015-03-18T00:00:00"/>
    <x v="1251"/>
    <n v="4"/>
    <n v="84.21"/>
    <n v="88721"/>
  </r>
  <r>
    <n v="23053"/>
    <x v="1"/>
    <n v="0.06"/>
    <n v="4.9800000000000004"/>
    <n v="4.62"/>
    <n v="2323"/>
    <x v="751"/>
    <x v="0"/>
    <x v="2"/>
    <x v="2"/>
    <x v="13"/>
    <x v="2"/>
    <x v="139"/>
    <n v="0.64"/>
    <x v="0"/>
    <x v="0"/>
    <x v="1"/>
    <x v="600"/>
    <n v="92236"/>
    <x v="117"/>
    <d v="2015-06-19T00:00:00"/>
    <x v="1252"/>
    <n v="7"/>
    <n v="38.74"/>
    <n v="88722"/>
  </r>
  <r>
    <n v="25456"/>
    <x v="3"/>
    <n v="0.06"/>
    <n v="28.53"/>
    <n v="1.49"/>
    <n v="2330"/>
    <x v="752"/>
    <x v="2"/>
    <x v="1"/>
    <x v="0"/>
    <x v="8"/>
    <x v="3"/>
    <x v="107"/>
    <n v="0.38"/>
    <x v="0"/>
    <x v="2"/>
    <x v="25"/>
    <x v="601"/>
    <n v="52302"/>
    <x v="120"/>
    <d v="2015-03-27T00:00:00"/>
    <x v="1253"/>
    <n v="5"/>
    <n v="134.09"/>
    <n v="90964"/>
  </r>
  <r>
    <n v="19441"/>
    <x v="0"/>
    <n v="0.06"/>
    <n v="180.98"/>
    <n v="26.2"/>
    <n v="2333"/>
    <x v="753"/>
    <x v="1"/>
    <x v="2"/>
    <x v="1"/>
    <x v="1"/>
    <x v="1"/>
    <x v="68"/>
    <n v="0.59"/>
    <x v="0"/>
    <x v="2"/>
    <x v="45"/>
    <x v="602"/>
    <n v="54302"/>
    <x v="96"/>
    <d v="2015-06-24T00:00:00"/>
    <x v="1254"/>
    <n v="1"/>
    <n v="191.73"/>
    <n v="89611"/>
  </r>
  <r>
    <n v="23721"/>
    <x v="4"/>
    <n v="0.06"/>
    <n v="60.65"/>
    <n v="12.23"/>
    <n v="2334"/>
    <x v="754"/>
    <x v="2"/>
    <x v="3"/>
    <x v="1"/>
    <x v="2"/>
    <x v="4"/>
    <x v="614"/>
    <n v="0.64"/>
    <x v="0"/>
    <x v="2"/>
    <x v="45"/>
    <x v="603"/>
    <n v="53220"/>
    <x v="34"/>
    <d v="2015-04-08T00:00:00"/>
    <x v="1255"/>
    <n v="10"/>
    <n v="618.85"/>
    <n v="89608"/>
  </r>
  <r>
    <n v="23693"/>
    <x v="1"/>
    <n v="0.05"/>
    <n v="14.81"/>
    <n v="13.32"/>
    <n v="2334"/>
    <x v="754"/>
    <x v="2"/>
    <x v="2"/>
    <x v="0"/>
    <x v="15"/>
    <x v="3"/>
    <x v="296"/>
    <n v="0.43"/>
    <x v="0"/>
    <x v="2"/>
    <x v="45"/>
    <x v="603"/>
    <n v="53220"/>
    <x v="37"/>
    <d v="2015-04-11T00:00:00"/>
    <x v="1256"/>
    <n v="8"/>
    <n v="115.99"/>
    <n v="89609"/>
  </r>
  <r>
    <n v="23694"/>
    <x v="1"/>
    <n v="0.08"/>
    <n v="2.78"/>
    <n v="1.25"/>
    <n v="2334"/>
    <x v="754"/>
    <x v="2"/>
    <x v="2"/>
    <x v="0"/>
    <x v="0"/>
    <x v="0"/>
    <x v="732"/>
    <n v="0.59"/>
    <x v="0"/>
    <x v="2"/>
    <x v="45"/>
    <x v="603"/>
    <n v="53220"/>
    <x v="37"/>
    <d v="2015-04-10T00:00:00"/>
    <x v="1257"/>
    <n v="7"/>
    <n v="19.46"/>
    <n v="89609"/>
  </r>
  <r>
    <n v="24952"/>
    <x v="4"/>
    <n v="0.06"/>
    <n v="3.74"/>
    <n v="0.94"/>
    <n v="2334"/>
    <x v="754"/>
    <x v="2"/>
    <x v="1"/>
    <x v="0"/>
    <x v="3"/>
    <x v="0"/>
    <x v="733"/>
    <n v="0.83"/>
    <x v="0"/>
    <x v="2"/>
    <x v="45"/>
    <x v="603"/>
    <n v="53220"/>
    <x v="42"/>
    <d v="2015-06-09T00:00:00"/>
    <x v="1258"/>
    <n v="12"/>
    <n v="44.75"/>
    <n v="89610"/>
  </r>
  <r>
    <n v="25241"/>
    <x v="2"/>
    <n v="0.06"/>
    <n v="2.08"/>
    <n v="5.33"/>
    <n v="2338"/>
    <x v="755"/>
    <x v="2"/>
    <x v="1"/>
    <x v="1"/>
    <x v="2"/>
    <x v="3"/>
    <x v="261"/>
    <n v="0.43"/>
    <x v="0"/>
    <x v="1"/>
    <x v="30"/>
    <x v="568"/>
    <n v="20740"/>
    <x v="107"/>
    <d v="2015-01-13T00:00:00"/>
    <x v="1259"/>
    <n v="4"/>
    <n v="9.23"/>
    <n v="91480"/>
  </r>
  <r>
    <n v="26137"/>
    <x v="0"/>
    <n v="0.1"/>
    <n v="6.75"/>
    <n v="2.99"/>
    <n v="2338"/>
    <x v="755"/>
    <x v="2"/>
    <x v="1"/>
    <x v="0"/>
    <x v="8"/>
    <x v="3"/>
    <x v="734"/>
    <n v="0.35"/>
    <x v="0"/>
    <x v="1"/>
    <x v="30"/>
    <x v="568"/>
    <n v="20740"/>
    <x v="48"/>
    <d v="2015-03-29T00:00:00"/>
    <x v="1260"/>
    <n v="15"/>
    <n v="96.13"/>
    <n v="91481"/>
  </r>
  <r>
    <n v="22526"/>
    <x v="3"/>
    <n v="0.05"/>
    <n v="11.58"/>
    <n v="6.97"/>
    <n v="2339"/>
    <x v="756"/>
    <x v="2"/>
    <x v="1"/>
    <x v="0"/>
    <x v="4"/>
    <x v="3"/>
    <x v="240"/>
    <n v="0.35"/>
    <x v="0"/>
    <x v="2"/>
    <x v="7"/>
    <x v="604"/>
    <n v="77015"/>
    <x v="40"/>
    <d v="2015-05-28T00:00:00"/>
    <x v="1261"/>
    <n v="6"/>
    <n v="73.959999999999994"/>
    <n v="91482"/>
  </r>
  <r>
    <n v="19052"/>
    <x v="3"/>
    <n v="7.0000000000000007E-2"/>
    <n v="200.98"/>
    <n v="23.76"/>
    <n v="2345"/>
    <x v="757"/>
    <x v="1"/>
    <x v="0"/>
    <x v="1"/>
    <x v="1"/>
    <x v="1"/>
    <x v="735"/>
    <n v="0.57999999999999996"/>
    <x v="0"/>
    <x v="3"/>
    <x v="35"/>
    <x v="577"/>
    <n v="42003"/>
    <x v="88"/>
    <d v="2015-03-15T00:00:00"/>
    <x v="1262"/>
    <n v="9"/>
    <n v="1805.9"/>
    <n v="89504"/>
  </r>
  <r>
    <n v="19053"/>
    <x v="3"/>
    <n v="0.02"/>
    <n v="179.29"/>
    <n v="29.21"/>
    <n v="2345"/>
    <x v="757"/>
    <x v="1"/>
    <x v="0"/>
    <x v="1"/>
    <x v="11"/>
    <x v="5"/>
    <x v="218"/>
    <n v="0.76"/>
    <x v="0"/>
    <x v="3"/>
    <x v="35"/>
    <x v="577"/>
    <n v="42003"/>
    <x v="88"/>
    <d v="2015-03-14T00:00:00"/>
    <x v="1263"/>
    <n v="2"/>
    <n v="311.41000000000003"/>
    <n v="89504"/>
  </r>
  <r>
    <n v="20776"/>
    <x v="4"/>
    <n v="0.03"/>
    <n v="297.64"/>
    <n v="14.7"/>
    <n v="2346"/>
    <x v="758"/>
    <x v="1"/>
    <x v="0"/>
    <x v="2"/>
    <x v="6"/>
    <x v="1"/>
    <x v="192"/>
    <n v="0.56999999999999995"/>
    <x v="0"/>
    <x v="3"/>
    <x v="35"/>
    <x v="605"/>
    <n v="40258"/>
    <x v="56"/>
    <d v="2015-01-15T00:00:00"/>
    <x v="1264"/>
    <n v="12"/>
    <n v="3707.05"/>
    <n v="89503"/>
  </r>
  <r>
    <n v="21627"/>
    <x v="0"/>
    <n v="0.1"/>
    <n v="218.75"/>
    <n v="69.64"/>
    <n v="2346"/>
    <x v="758"/>
    <x v="1"/>
    <x v="0"/>
    <x v="1"/>
    <x v="11"/>
    <x v="5"/>
    <x v="228"/>
    <n v="0.77"/>
    <x v="0"/>
    <x v="3"/>
    <x v="35"/>
    <x v="605"/>
    <n v="40258"/>
    <x v="135"/>
    <d v="2015-05-21T00:00:00"/>
    <x v="1265"/>
    <n v="17"/>
    <n v="2805.18"/>
    <n v="89505"/>
  </r>
  <r>
    <n v="18675"/>
    <x v="2"/>
    <n v="0.08"/>
    <n v="6.48"/>
    <n v="7.49"/>
    <n v="2351"/>
    <x v="759"/>
    <x v="2"/>
    <x v="0"/>
    <x v="0"/>
    <x v="7"/>
    <x v="3"/>
    <x v="664"/>
    <n v="0.37"/>
    <x v="0"/>
    <x v="1"/>
    <x v="30"/>
    <x v="606"/>
    <n v="21114"/>
    <x v="25"/>
    <d v="2015-04-02T00:00:00"/>
    <x v="1266"/>
    <n v="13"/>
    <n v="80.86"/>
    <n v="86163"/>
  </r>
  <r>
    <n v="20904"/>
    <x v="2"/>
    <n v="0.06"/>
    <n v="59.76"/>
    <n v="9.7100000000000009"/>
    <n v="2352"/>
    <x v="760"/>
    <x v="2"/>
    <x v="3"/>
    <x v="0"/>
    <x v="10"/>
    <x v="3"/>
    <x v="373"/>
    <n v="0.56999999999999995"/>
    <x v="0"/>
    <x v="1"/>
    <x v="30"/>
    <x v="607"/>
    <n v="21501"/>
    <x v="105"/>
    <d v="2015-06-23T00:00:00"/>
    <x v="1267"/>
    <n v="18"/>
    <n v="1096.6300000000001"/>
    <n v="86165"/>
  </r>
  <r>
    <n v="20905"/>
    <x v="2"/>
    <n v="7.0000000000000007E-2"/>
    <n v="195.99"/>
    <n v="4.2"/>
    <n v="2352"/>
    <x v="760"/>
    <x v="2"/>
    <x v="3"/>
    <x v="2"/>
    <x v="5"/>
    <x v="3"/>
    <x v="736"/>
    <n v="0.56000000000000005"/>
    <x v="0"/>
    <x v="1"/>
    <x v="30"/>
    <x v="607"/>
    <n v="21501"/>
    <x v="105"/>
    <d v="2015-06-23T00:00:00"/>
    <x v="1268"/>
    <n v="4"/>
    <n v="632.12"/>
    <n v="86165"/>
  </r>
  <r>
    <n v="19270"/>
    <x v="1"/>
    <n v="0.09"/>
    <n v="71.37"/>
    <n v="69"/>
    <n v="2352"/>
    <x v="760"/>
    <x v="2"/>
    <x v="1"/>
    <x v="1"/>
    <x v="11"/>
    <x v="6"/>
    <x v="737"/>
    <n v="0.68"/>
    <x v="0"/>
    <x v="1"/>
    <x v="30"/>
    <x v="607"/>
    <n v="21501"/>
    <x v="96"/>
    <d v="2015-06-24T00:00:00"/>
    <x v="1269"/>
    <n v="19"/>
    <n v="1302.98"/>
    <n v="86166"/>
  </r>
  <r>
    <n v="25338"/>
    <x v="2"/>
    <n v="0.04"/>
    <n v="5.98"/>
    <n v="0.96"/>
    <n v="2353"/>
    <x v="761"/>
    <x v="2"/>
    <x v="0"/>
    <x v="0"/>
    <x v="0"/>
    <x v="0"/>
    <x v="631"/>
    <n v="0.6"/>
    <x v="0"/>
    <x v="1"/>
    <x v="30"/>
    <x v="608"/>
    <n v="21040"/>
    <x v="119"/>
    <d v="2015-04-30T00:00:00"/>
    <x v="1270"/>
    <n v="22"/>
    <n v="131.79"/>
    <n v="86164"/>
  </r>
  <r>
    <n v="25339"/>
    <x v="2"/>
    <n v="0.01"/>
    <n v="20.99"/>
    <n v="0.99"/>
    <n v="2353"/>
    <x v="761"/>
    <x v="2"/>
    <x v="0"/>
    <x v="2"/>
    <x v="5"/>
    <x v="0"/>
    <x v="201"/>
    <n v="0.56999999999999995"/>
    <x v="0"/>
    <x v="1"/>
    <x v="30"/>
    <x v="608"/>
    <n v="21040"/>
    <x v="119"/>
    <d v="2015-04-30T00:00:00"/>
    <x v="1271"/>
    <n v="2"/>
    <n v="35.33"/>
    <n v="86164"/>
  </r>
  <r>
    <n v="22649"/>
    <x v="1"/>
    <n v="0.1"/>
    <n v="78.69"/>
    <n v="19.989999999999998"/>
    <n v="2355"/>
    <x v="762"/>
    <x v="2"/>
    <x v="3"/>
    <x v="1"/>
    <x v="2"/>
    <x v="3"/>
    <x v="3"/>
    <n v="0.43"/>
    <x v="0"/>
    <x v="0"/>
    <x v="1"/>
    <x v="600"/>
    <n v="92236"/>
    <x v="2"/>
    <d v="2015-02-16T00:00:00"/>
    <x v="1272"/>
    <n v="9"/>
    <n v="674.55"/>
    <n v="91304"/>
  </r>
  <r>
    <n v="21511"/>
    <x v="3"/>
    <n v="0.06"/>
    <n v="146.34"/>
    <n v="43.75"/>
    <n v="2355"/>
    <x v="762"/>
    <x v="1"/>
    <x v="3"/>
    <x v="1"/>
    <x v="11"/>
    <x v="5"/>
    <x v="729"/>
    <n v="0.65"/>
    <x v="0"/>
    <x v="0"/>
    <x v="1"/>
    <x v="600"/>
    <n v="92236"/>
    <x v="154"/>
    <d v="2015-06-18T00:00:00"/>
    <x v="1273"/>
    <n v="12"/>
    <n v="1721.24"/>
    <n v="91306"/>
  </r>
  <r>
    <n v="24526"/>
    <x v="3"/>
    <n v="0"/>
    <n v="29.34"/>
    <n v="7.87"/>
    <n v="2356"/>
    <x v="763"/>
    <x v="2"/>
    <x v="3"/>
    <x v="1"/>
    <x v="2"/>
    <x v="3"/>
    <x v="189"/>
    <n v="0.54"/>
    <x v="0"/>
    <x v="0"/>
    <x v="47"/>
    <x v="609"/>
    <n v="82901"/>
    <x v="24"/>
    <d v="2015-03-17T00:00:00"/>
    <x v="1274"/>
    <n v="22"/>
    <n v="668.38"/>
    <n v="91305"/>
  </r>
  <r>
    <n v="20798"/>
    <x v="4"/>
    <n v="0.1"/>
    <n v="205.99"/>
    <n v="8.99"/>
    <n v="2358"/>
    <x v="764"/>
    <x v="2"/>
    <x v="0"/>
    <x v="2"/>
    <x v="5"/>
    <x v="3"/>
    <x v="20"/>
    <n v="0.56000000000000005"/>
    <x v="0"/>
    <x v="3"/>
    <x v="26"/>
    <x v="552"/>
    <n v="33311"/>
    <x v="30"/>
    <d v="2015-03-08T00:00:00"/>
    <x v="1275"/>
    <n v="2"/>
    <n v="324.62"/>
    <n v="88267"/>
  </r>
  <r>
    <n v="18892"/>
    <x v="2"/>
    <n v="0.05"/>
    <n v="2.08"/>
    <n v="2.56"/>
    <n v="2358"/>
    <x v="764"/>
    <x v="2"/>
    <x v="1"/>
    <x v="0"/>
    <x v="12"/>
    <x v="2"/>
    <x v="101"/>
    <n v="0.55000000000000004"/>
    <x v="0"/>
    <x v="3"/>
    <x v="26"/>
    <x v="552"/>
    <n v="33311"/>
    <x v="79"/>
    <d v="2015-02-16T00:00:00"/>
    <x v="1276"/>
    <n v="19"/>
    <n v="40.93"/>
    <n v="88268"/>
  </r>
  <r>
    <n v="21772"/>
    <x v="2"/>
    <n v="0"/>
    <n v="7.28"/>
    <n v="1.77"/>
    <n v="2359"/>
    <x v="765"/>
    <x v="2"/>
    <x v="1"/>
    <x v="0"/>
    <x v="7"/>
    <x v="0"/>
    <x v="738"/>
    <n v="0.37"/>
    <x v="0"/>
    <x v="3"/>
    <x v="26"/>
    <x v="610"/>
    <n v="33917"/>
    <x v="64"/>
    <d v="2015-02-05T00:00:00"/>
    <x v="1277"/>
    <n v="7"/>
    <n v="53.42"/>
    <n v="88265"/>
  </r>
  <r>
    <n v="24890"/>
    <x v="0"/>
    <n v="0.06"/>
    <n v="8.33"/>
    <n v="1.99"/>
    <n v="2361"/>
    <x v="766"/>
    <x v="2"/>
    <x v="0"/>
    <x v="2"/>
    <x v="13"/>
    <x v="2"/>
    <x v="140"/>
    <n v="0.52"/>
    <x v="0"/>
    <x v="3"/>
    <x v="26"/>
    <x v="611"/>
    <n v="32259"/>
    <x v="147"/>
    <d v="2015-02-26T00:00:00"/>
    <x v="1278"/>
    <n v="1"/>
    <n v="8.49"/>
    <n v="88266"/>
  </r>
  <r>
    <n v="19369"/>
    <x v="0"/>
    <n v="0"/>
    <n v="5.77"/>
    <n v="5.92"/>
    <n v="2363"/>
    <x v="767"/>
    <x v="2"/>
    <x v="1"/>
    <x v="1"/>
    <x v="2"/>
    <x v="4"/>
    <x v="739"/>
    <n v="0.55000000000000004"/>
    <x v="0"/>
    <x v="1"/>
    <x v="10"/>
    <x v="572"/>
    <n v="44256"/>
    <x v="86"/>
    <d v="2015-04-13T00:00:00"/>
    <x v="1279"/>
    <n v="11"/>
    <n v="69.89"/>
    <n v="90040"/>
  </r>
  <r>
    <n v="21582"/>
    <x v="4"/>
    <n v="7.0000000000000007E-2"/>
    <n v="5.98"/>
    <n v="5.79"/>
    <n v="2369"/>
    <x v="768"/>
    <x v="2"/>
    <x v="3"/>
    <x v="0"/>
    <x v="7"/>
    <x v="3"/>
    <x v="26"/>
    <n v="0.36"/>
    <x v="0"/>
    <x v="3"/>
    <x v="26"/>
    <x v="612"/>
    <n v="33024"/>
    <x v="107"/>
    <d v="2015-01-15T00:00:00"/>
    <x v="1280"/>
    <n v="13"/>
    <n v="77.42"/>
    <n v="90408"/>
  </r>
  <r>
    <n v="21988"/>
    <x v="3"/>
    <n v="0.01"/>
    <n v="1.76"/>
    <n v="0.7"/>
    <n v="2372"/>
    <x v="769"/>
    <x v="2"/>
    <x v="0"/>
    <x v="0"/>
    <x v="0"/>
    <x v="0"/>
    <x v="28"/>
    <n v="0.56000000000000005"/>
    <x v="0"/>
    <x v="2"/>
    <x v="3"/>
    <x v="613"/>
    <n v="55803"/>
    <x v="24"/>
    <d v="2015-03-16T00:00:00"/>
    <x v="1281"/>
    <n v="4"/>
    <n v="7.2"/>
    <n v="90714"/>
  </r>
  <r>
    <n v="22827"/>
    <x v="0"/>
    <n v="0.05"/>
    <n v="3.28"/>
    <n v="3.97"/>
    <n v="2376"/>
    <x v="770"/>
    <x v="2"/>
    <x v="0"/>
    <x v="0"/>
    <x v="0"/>
    <x v="0"/>
    <x v="623"/>
    <n v="0.56000000000000005"/>
    <x v="0"/>
    <x v="0"/>
    <x v="44"/>
    <x v="458"/>
    <n v="83843"/>
    <x v="93"/>
    <d v="2015-03-06T00:00:00"/>
    <x v="1282"/>
    <n v="18"/>
    <n v="61.29"/>
    <n v="91321"/>
  </r>
  <r>
    <n v="22828"/>
    <x v="0"/>
    <n v="0.03"/>
    <n v="6.98"/>
    <n v="9.69"/>
    <n v="2376"/>
    <x v="770"/>
    <x v="2"/>
    <x v="0"/>
    <x v="0"/>
    <x v="10"/>
    <x v="3"/>
    <x v="740"/>
    <n v="0.83"/>
    <x v="0"/>
    <x v="0"/>
    <x v="44"/>
    <x v="458"/>
    <n v="83843"/>
    <x v="93"/>
    <d v="2015-03-07T00:00:00"/>
    <x v="1283"/>
    <n v="15"/>
    <n v="109.15"/>
    <n v="91321"/>
  </r>
  <r>
    <n v="18151"/>
    <x v="4"/>
    <n v="0.06"/>
    <n v="122.99"/>
    <n v="19.989999999999998"/>
    <n v="2379"/>
    <x v="771"/>
    <x v="2"/>
    <x v="2"/>
    <x v="0"/>
    <x v="8"/>
    <x v="3"/>
    <x v="741"/>
    <n v="0.37"/>
    <x v="0"/>
    <x v="2"/>
    <x v="22"/>
    <x v="536"/>
    <n v="48135"/>
    <x v="130"/>
    <d v="2015-05-07T00:00:00"/>
    <x v="1284"/>
    <n v="12"/>
    <n v="1477.84"/>
    <n v="86655"/>
  </r>
  <r>
    <n v="19898"/>
    <x v="1"/>
    <n v="7.0000000000000007E-2"/>
    <n v="3.38"/>
    <n v="0.85"/>
    <n v="2380"/>
    <x v="772"/>
    <x v="2"/>
    <x v="2"/>
    <x v="0"/>
    <x v="0"/>
    <x v="0"/>
    <x v="523"/>
    <n v="0.48"/>
    <x v="0"/>
    <x v="2"/>
    <x v="22"/>
    <x v="614"/>
    <n v="49505"/>
    <x v="138"/>
    <d v="2015-04-28T00:00:00"/>
    <x v="1285"/>
    <n v="9"/>
    <n v="29.08"/>
    <n v="86654"/>
  </r>
  <r>
    <n v="18152"/>
    <x v="4"/>
    <n v="0.08"/>
    <n v="68.81"/>
    <n v="60"/>
    <n v="2380"/>
    <x v="772"/>
    <x v="1"/>
    <x v="2"/>
    <x v="0"/>
    <x v="15"/>
    <x v="1"/>
    <x v="730"/>
    <n v="0.41"/>
    <x v="0"/>
    <x v="2"/>
    <x v="22"/>
    <x v="614"/>
    <n v="49505"/>
    <x v="130"/>
    <d v="2015-05-07T00:00:00"/>
    <x v="1286"/>
    <n v="17"/>
    <n v="1162.46"/>
    <n v="86655"/>
  </r>
  <r>
    <n v="1898"/>
    <x v="1"/>
    <n v="7.0000000000000007E-2"/>
    <n v="3.38"/>
    <n v="0.85"/>
    <n v="2382"/>
    <x v="773"/>
    <x v="2"/>
    <x v="2"/>
    <x v="0"/>
    <x v="0"/>
    <x v="0"/>
    <x v="523"/>
    <n v="0.48"/>
    <x v="0"/>
    <x v="1"/>
    <x v="4"/>
    <x v="8"/>
    <n v="10024"/>
    <x v="138"/>
    <d v="2015-04-28T00:00:00"/>
    <x v="1285"/>
    <n v="34"/>
    <n v="109.86"/>
    <n v="13606"/>
  </r>
  <r>
    <n v="151"/>
    <x v="4"/>
    <n v="0.06"/>
    <n v="122.99"/>
    <n v="19.989999999999998"/>
    <n v="2382"/>
    <x v="773"/>
    <x v="2"/>
    <x v="2"/>
    <x v="0"/>
    <x v="8"/>
    <x v="3"/>
    <x v="741"/>
    <n v="0.37"/>
    <x v="0"/>
    <x v="1"/>
    <x v="4"/>
    <x v="8"/>
    <n v="10024"/>
    <x v="130"/>
    <d v="2015-05-07T00:00:00"/>
    <x v="1287"/>
    <n v="48"/>
    <n v="5911.35"/>
    <n v="962"/>
  </r>
  <r>
    <n v="152"/>
    <x v="4"/>
    <n v="0.08"/>
    <n v="68.81"/>
    <n v="60"/>
    <n v="2382"/>
    <x v="773"/>
    <x v="1"/>
    <x v="2"/>
    <x v="0"/>
    <x v="15"/>
    <x v="1"/>
    <x v="730"/>
    <n v="0.41"/>
    <x v="0"/>
    <x v="1"/>
    <x v="4"/>
    <x v="8"/>
    <n v="10024"/>
    <x v="130"/>
    <d v="2015-05-07T00:00:00"/>
    <x v="1286"/>
    <n v="68"/>
    <n v="4649.8500000000004"/>
    <n v="962"/>
  </r>
  <r>
    <n v="21171"/>
    <x v="2"/>
    <n v="0.1"/>
    <n v="130.97999999999999"/>
    <n v="30"/>
    <n v="2385"/>
    <x v="774"/>
    <x v="1"/>
    <x v="2"/>
    <x v="1"/>
    <x v="1"/>
    <x v="1"/>
    <x v="185"/>
    <n v="0.78"/>
    <x v="0"/>
    <x v="0"/>
    <x v="27"/>
    <x v="615"/>
    <n v="88001"/>
    <x v="55"/>
    <d v="2015-05-24T00:00:00"/>
    <x v="1288"/>
    <n v="18"/>
    <n v="2259.9899999999998"/>
    <n v="89184"/>
  </r>
  <r>
    <n v="23557"/>
    <x v="1"/>
    <n v="0.06"/>
    <n v="4.7699999999999996"/>
    <n v="2.39"/>
    <n v="2391"/>
    <x v="775"/>
    <x v="2"/>
    <x v="0"/>
    <x v="2"/>
    <x v="13"/>
    <x v="2"/>
    <x v="742"/>
    <n v="0.72"/>
    <x v="0"/>
    <x v="1"/>
    <x v="4"/>
    <x v="616"/>
    <n v="11572"/>
    <x v="40"/>
    <d v="2015-05-26T00:00:00"/>
    <x v="1289"/>
    <n v="9"/>
    <n v="42.46"/>
    <n v="91122"/>
  </r>
  <r>
    <n v="23558"/>
    <x v="1"/>
    <n v="0.1"/>
    <n v="27.18"/>
    <n v="8.23"/>
    <n v="2391"/>
    <x v="775"/>
    <x v="2"/>
    <x v="0"/>
    <x v="0"/>
    <x v="4"/>
    <x v="3"/>
    <x v="743"/>
    <n v="0.38"/>
    <x v="0"/>
    <x v="1"/>
    <x v="4"/>
    <x v="616"/>
    <n v="11572"/>
    <x v="40"/>
    <d v="2015-05-27T00:00:00"/>
    <x v="1290"/>
    <n v="12"/>
    <n v="314.06"/>
    <n v="91122"/>
  </r>
  <r>
    <n v="21462"/>
    <x v="1"/>
    <n v="0"/>
    <n v="999.99"/>
    <n v="13.99"/>
    <n v="2391"/>
    <x v="775"/>
    <x v="2"/>
    <x v="0"/>
    <x v="2"/>
    <x v="6"/>
    <x v="4"/>
    <x v="180"/>
    <n v="0.36"/>
    <x v="0"/>
    <x v="1"/>
    <x v="4"/>
    <x v="616"/>
    <n v="11572"/>
    <x v="141"/>
    <d v="2015-06-06T00:00:00"/>
    <x v="1291"/>
    <n v="1"/>
    <n v="1009.99"/>
    <n v="91123"/>
  </r>
  <r>
    <n v="21463"/>
    <x v="1"/>
    <n v="0.05"/>
    <n v="6.48"/>
    <n v="5.14"/>
    <n v="2391"/>
    <x v="775"/>
    <x v="0"/>
    <x v="0"/>
    <x v="0"/>
    <x v="7"/>
    <x v="3"/>
    <x v="339"/>
    <n v="0.37"/>
    <x v="0"/>
    <x v="1"/>
    <x v="4"/>
    <x v="616"/>
    <n v="11572"/>
    <x v="141"/>
    <d v="2015-06-05T00:00:00"/>
    <x v="1292"/>
    <n v="13"/>
    <n v="92.16"/>
    <n v="91123"/>
  </r>
  <r>
    <n v="18277"/>
    <x v="3"/>
    <n v="0.02"/>
    <n v="6.48"/>
    <n v="7.91"/>
    <n v="2393"/>
    <x v="776"/>
    <x v="2"/>
    <x v="0"/>
    <x v="0"/>
    <x v="7"/>
    <x v="3"/>
    <x v="744"/>
    <n v="0.37"/>
    <x v="0"/>
    <x v="3"/>
    <x v="29"/>
    <x v="151"/>
    <n v="30076"/>
    <x v="124"/>
    <d v="2015-05-31T00:00:00"/>
    <x v="1293"/>
    <n v="2"/>
    <n v="16.5"/>
    <n v="86950"/>
  </r>
  <r>
    <n v="18197"/>
    <x v="0"/>
    <n v="0.06"/>
    <n v="105.29"/>
    <n v="10.119999999999999"/>
    <n v="2393"/>
    <x v="776"/>
    <x v="2"/>
    <x v="0"/>
    <x v="1"/>
    <x v="2"/>
    <x v="6"/>
    <x v="533"/>
    <n v="0.79"/>
    <x v="0"/>
    <x v="3"/>
    <x v="29"/>
    <x v="151"/>
    <n v="30076"/>
    <x v="148"/>
    <d v="2015-01-06T00:00:00"/>
    <x v="1294"/>
    <n v="12"/>
    <n v="1202.6600000000001"/>
    <n v="86951"/>
  </r>
  <r>
    <n v="20197"/>
    <x v="2"/>
    <n v="0.01"/>
    <n v="11.7"/>
    <n v="5.63"/>
    <n v="2394"/>
    <x v="777"/>
    <x v="2"/>
    <x v="0"/>
    <x v="0"/>
    <x v="8"/>
    <x v="3"/>
    <x v="745"/>
    <n v="0.4"/>
    <x v="0"/>
    <x v="3"/>
    <x v="29"/>
    <x v="617"/>
    <n v="30328"/>
    <x v="90"/>
    <d v="2015-05-03T00:00:00"/>
    <x v="1295"/>
    <n v="16"/>
    <n v="196.69"/>
    <n v="86949"/>
  </r>
  <r>
    <n v="20198"/>
    <x v="2"/>
    <n v="0.03"/>
    <n v="4.55"/>
    <n v="1.49"/>
    <n v="2394"/>
    <x v="777"/>
    <x v="2"/>
    <x v="0"/>
    <x v="0"/>
    <x v="8"/>
    <x v="3"/>
    <x v="516"/>
    <n v="0.35"/>
    <x v="0"/>
    <x v="3"/>
    <x v="29"/>
    <x v="617"/>
    <n v="30328"/>
    <x v="90"/>
    <d v="2015-05-01T00:00:00"/>
    <x v="1296"/>
    <n v="9"/>
    <n v="40.28"/>
    <n v="86949"/>
  </r>
  <r>
    <n v="24954"/>
    <x v="1"/>
    <n v="0.04"/>
    <n v="60.97"/>
    <n v="4.5"/>
    <n v="2395"/>
    <x v="778"/>
    <x v="2"/>
    <x v="0"/>
    <x v="0"/>
    <x v="15"/>
    <x v="3"/>
    <x v="714"/>
    <n v="0.56000000000000005"/>
    <x v="0"/>
    <x v="3"/>
    <x v="29"/>
    <x v="618"/>
    <n v="31401"/>
    <x v="165"/>
    <d v="2015-03-24T00:00:00"/>
    <x v="1297"/>
    <n v="15"/>
    <n v="904.31"/>
    <n v="86952"/>
  </r>
  <r>
    <n v="22369"/>
    <x v="1"/>
    <n v="0.03"/>
    <n v="7.64"/>
    <n v="5.83"/>
    <n v="2398"/>
    <x v="779"/>
    <x v="2"/>
    <x v="0"/>
    <x v="0"/>
    <x v="7"/>
    <x v="0"/>
    <x v="372"/>
    <n v="0.36"/>
    <x v="0"/>
    <x v="2"/>
    <x v="12"/>
    <x v="619"/>
    <n v="60103"/>
    <x v="152"/>
    <d v="2015-02-26T00:00:00"/>
    <x v="1298"/>
    <n v="12"/>
    <n v="96.86"/>
    <n v="86373"/>
  </r>
  <r>
    <n v="19001"/>
    <x v="3"/>
    <n v="0"/>
    <n v="65.989999999999995"/>
    <n v="3.99"/>
    <n v="2417"/>
    <x v="780"/>
    <x v="2"/>
    <x v="3"/>
    <x v="2"/>
    <x v="5"/>
    <x v="3"/>
    <x v="382"/>
    <n v="0.59"/>
    <x v="0"/>
    <x v="3"/>
    <x v="8"/>
    <x v="543"/>
    <n v="22124"/>
    <x v="88"/>
    <d v="2015-03-15T00:00:00"/>
    <x v="1299"/>
    <n v="13"/>
    <n v="765.65"/>
    <n v="86754"/>
  </r>
  <r>
    <n v="20325"/>
    <x v="2"/>
    <n v="0.03"/>
    <n v="2.1"/>
    <n v="0.7"/>
    <n v="2418"/>
    <x v="781"/>
    <x v="2"/>
    <x v="3"/>
    <x v="0"/>
    <x v="0"/>
    <x v="0"/>
    <x v="746"/>
    <n v="0.56999999999999995"/>
    <x v="0"/>
    <x v="3"/>
    <x v="8"/>
    <x v="620"/>
    <n v="23805"/>
    <x v="61"/>
    <d v="2015-01-07T00:00:00"/>
    <x v="1300"/>
    <n v="4"/>
    <n v="8.7200000000000006"/>
    <n v="86750"/>
  </r>
  <r>
    <n v="21724"/>
    <x v="0"/>
    <n v="0.1"/>
    <n v="599.99"/>
    <n v="24.49"/>
    <n v="2418"/>
    <x v="781"/>
    <x v="2"/>
    <x v="3"/>
    <x v="2"/>
    <x v="16"/>
    <x v="6"/>
    <x v="747"/>
    <n v="0.5"/>
    <x v="0"/>
    <x v="3"/>
    <x v="8"/>
    <x v="620"/>
    <n v="23805"/>
    <x v="56"/>
    <d v="2015-01-11T00:00:00"/>
    <x v="1301"/>
    <n v="11"/>
    <n v="6355.69"/>
    <n v="86753"/>
  </r>
  <r>
    <n v="21725"/>
    <x v="0"/>
    <n v="0.06"/>
    <n v="2.78"/>
    <n v="1.25"/>
    <n v="2418"/>
    <x v="781"/>
    <x v="2"/>
    <x v="3"/>
    <x v="0"/>
    <x v="0"/>
    <x v="0"/>
    <x v="732"/>
    <n v="0.59"/>
    <x v="0"/>
    <x v="3"/>
    <x v="8"/>
    <x v="620"/>
    <n v="23805"/>
    <x v="56"/>
    <d v="2015-01-12T00:00:00"/>
    <x v="1302"/>
    <n v="10"/>
    <n v="28.09"/>
    <n v="86753"/>
  </r>
  <r>
    <n v="22376"/>
    <x v="1"/>
    <n v="7.0000000000000007E-2"/>
    <n v="225.04"/>
    <n v="11.79"/>
    <n v="2419"/>
    <x v="782"/>
    <x v="2"/>
    <x v="3"/>
    <x v="0"/>
    <x v="15"/>
    <x v="4"/>
    <x v="748"/>
    <n v="0.42"/>
    <x v="0"/>
    <x v="3"/>
    <x v="8"/>
    <x v="368"/>
    <n v="23701"/>
    <x v="173"/>
    <d v="2015-03-26T00:00:00"/>
    <x v="1303"/>
    <n v="5"/>
    <n v="1130.1500000000001"/>
    <n v="86751"/>
  </r>
  <r>
    <n v="22377"/>
    <x v="1"/>
    <n v="0.03"/>
    <n v="7.84"/>
    <n v="4.71"/>
    <n v="2419"/>
    <x v="782"/>
    <x v="2"/>
    <x v="3"/>
    <x v="0"/>
    <x v="8"/>
    <x v="3"/>
    <x v="749"/>
    <n v="0.35"/>
    <x v="0"/>
    <x v="3"/>
    <x v="8"/>
    <x v="368"/>
    <n v="23701"/>
    <x v="173"/>
    <d v="2015-03-29T00:00:00"/>
    <x v="1304"/>
    <n v="7"/>
    <n v="54.37"/>
    <n v="86751"/>
  </r>
  <r>
    <n v="25271"/>
    <x v="0"/>
    <n v="0.04"/>
    <n v="9.11"/>
    <n v="2.15"/>
    <n v="2420"/>
    <x v="783"/>
    <x v="2"/>
    <x v="3"/>
    <x v="0"/>
    <x v="7"/>
    <x v="0"/>
    <x v="452"/>
    <n v="0.4"/>
    <x v="0"/>
    <x v="3"/>
    <x v="8"/>
    <x v="404"/>
    <n v="23223"/>
    <x v="166"/>
    <d v="2015-05-06T00:00:00"/>
    <x v="1305"/>
    <n v="11"/>
    <n v="100.87"/>
    <n v="86752"/>
  </r>
  <r>
    <n v="18802"/>
    <x v="1"/>
    <n v="0.05"/>
    <n v="150.97999999999999"/>
    <n v="43.71"/>
    <n v="2422"/>
    <x v="784"/>
    <x v="1"/>
    <x v="1"/>
    <x v="1"/>
    <x v="1"/>
    <x v="1"/>
    <x v="750"/>
    <n v="0.55000000000000004"/>
    <x v="0"/>
    <x v="2"/>
    <x v="7"/>
    <x v="621"/>
    <n v="77340"/>
    <x v="84"/>
    <d v="2015-05-25T00:00:00"/>
    <x v="1306"/>
    <n v="12"/>
    <n v="1857.08"/>
    <n v="89053"/>
  </r>
  <r>
    <n v="19817"/>
    <x v="3"/>
    <n v="0.09"/>
    <n v="3.89"/>
    <n v="7.01"/>
    <n v="2422"/>
    <x v="784"/>
    <x v="0"/>
    <x v="1"/>
    <x v="0"/>
    <x v="8"/>
    <x v="3"/>
    <x v="477"/>
    <n v="0.37"/>
    <x v="0"/>
    <x v="2"/>
    <x v="7"/>
    <x v="621"/>
    <n v="77340"/>
    <x v="46"/>
    <d v="2015-01-24T00:00:00"/>
    <x v="1307"/>
    <n v="10"/>
    <n v="42.56"/>
    <n v="89055"/>
  </r>
  <r>
    <n v="25126"/>
    <x v="4"/>
    <n v="0.04"/>
    <n v="100.98"/>
    <n v="7.18"/>
    <n v="2423"/>
    <x v="785"/>
    <x v="2"/>
    <x v="1"/>
    <x v="2"/>
    <x v="13"/>
    <x v="3"/>
    <x v="751"/>
    <n v="0.4"/>
    <x v="0"/>
    <x v="2"/>
    <x v="7"/>
    <x v="622"/>
    <n v="76053"/>
    <x v="72"/>
    <d v="2015-01-26T00:00:00"/>
    <x v="1308"/>
    <n v="4"/>
    <n v="414.91"/>
    <n v="89054"/>
  </r>
  <r>
    <n v="21761"/>
    <x v="0"/>
    <n v="0.08"/>
    <n v="30.93"/>
    <n v="3.92"/>
    <n v="2426"/>
    <x v="786"/>
    <x v="2"/>
    <x v="2"/>
    <x v="1"/>
    <x v="2"/>
    <x v="2"/>
    <x v="609"/>
    <n v="0.44"/>
    <x v="0"/>
    <x v="2"/>
    <x v="7"/>
    <x v="623"/>
    <n v="75061"/>
    <x v="24"/>
    <d v="2015-03-16T00:00:00"/>
    <x v="1309"/>
    <n v="3"/>
    <n v="91.39"/>
    <n v="90859"/>
  </r>
  <r>
    <n v="20496"/>
    <x v="4"/>
    <n v="0.08"/>
    <n v="4.4800000000000004"/>
    <n v="49"/>
    <n v="2426"/>
    <x v="786"/>
    <x v="2"/>
    <x v="2"/>
    <x v="0"/>
    <x v="15"/>
    <x v="6"/>
    <x v="238"/>
    <n v="0.6"/>
    <x v="0"/>
    <x v="2"/>
    <x v="7"/>
    <x v="623"/>
    <n v="75061"/>
    <x v="10"/>
    <d v="2015-05-02T00:00:00"/>
    <x v="1310"/>
    <n v="37"/>
    <n v="202.29"/>
    <n v="90861"/>
  </r>
  <r>
    <n v="20497"/>
    <x v="4"/>
    <n v="0"/>
    <n v="17.670000000000002"/>
    <n v="8.99"/>
    <n v="2426"/>
    <x v="786"/>
    <x v="2"/>
    <x v="2"/>
    <x v="1"/>
    <x v="2"/>
    <x v="2"/>
    <x v="283"/>
    <n v="0.47"/>
    <x v="0"/>
    <x v="2"/>
    <x v="7"/>
    <x v="623"/>
    <n v="75061"/>
    <x v="10"/>
    <d v="2015-05-09T00:00:00"/>
    <x v="1311"/>
    <n v="9"/>
    <n v="168.71"/>
    <n v="90861"/>
  </r>
  <r>
    <n v="23729"/>
    <x v="0"/>
    <n v="0.03"/>
    <n v="40.99"/>
    <n v="19.989999999999998"/>
    <n v="2427"/>
    <x v="787"/>
    <x v="2"/>
    <x v="0"/>
    <x v="0"/>
    <x v="7"/>
    <x v="3"/>
    <x v="659"/>
    <n v="0.36"/>
    <x v="0"/>
    <x v="2"/>
    <x v="7"/>
    <x v="624"/>
    <n v="76248"/>
    <x v="149"/>
    <d v="2015-02-18T00:00:00"/>
    <x v="1312"/>
    <n v="21"/>
    <n v="885.65"/>
    <n v="90860"/>
  </r>
  <r>
    <n v="22562"/>
    <x v="1"/>
    <n v="0.1"/>
    <n v="14.28"/>
    <n v="2.99"/>
    <n v="2430"/>
    <x v="788"/>
    <x v="2"/>
    <x v="1"/>
    <x v="0"/>
    <x v="8"/>
    <x v="3"/>
    <x v="602"/>
    <n v="0.39"/>
    <x v="0"/>
    <x v="2"/>
    <x v="7"/>
    <x v="625"/>
    <n v="76541"/>
    <x v="120"/>
    <d v="2015-03-25T00:00:00"/>
    <x v="1313"/>
    <n v="11"/>
    <n v="152.05000000000001"/>
    <n v="91108"/>
  </r>
  <r>
    <n v="22105"/>
    <x v="1"/>
    <n v="0.04"/>
    <n v="7.08"/>
    <n v="2.35"/>
    <n v="2430"/>
    <x v="788"/>
    <x v="2"/>
    <x v="1"/>
    <x v="0"/>
    <x v="0"/>
    <x v="0"/>
    <x v="416"/>
    <n v="0.47"/>
    <x v="0"/>
    <x v="2"/>
    <x v="7"/>
    <x v="625"/>
    <n v="76541"/>
    <x v="98"/>
    <d v="2015-04-11T00:00:00"/>
    <x v="1314"/>
    <n v="7"/>
    <n v="49.1"/>
    <n v="91109"/>
  </r>
  <r>
    <n v="20731"/>
    <x v="4"/>
    <n v="0.03"/>
    <n v="140.99"/>
    <n v="4.2"/>
    <n v="2430"/>
    <x v="788"/>
    <x v="2"/>
    <x v="1"/>
    <x v="2"/>
    <x v="5"/>
    <x v="3"/>
    <x v="752"/>
    <n v="0.59"/>
    <x v="0"/>
    <x v="2"/>
    <x v="7"/>
    <x v="625"/>
    <n v="76541"/>
    <x v="48"/>
    <d v="2015-04-06T00:00:00"/>
    <x v="1315"/>
    <n v="2"/>
    <n v="246.44"/>
    <n v="91110"/>
  </r>
  <r>
    <n v="3490"/>
    <x v="1"/>
    <n v="0.05"/>
    <n v="8.85"/>
    <n v="5.6"/>
    <n v="2431"/>
    <x v="789"/>
    <x v="2"/>
    <x v="3"/>
    <x v="0"/>
    <x v="8"/>
    <x v="3"/>
    <x v="753"/>
    <n v="0.36"/>
    <x v="0"/>
    <x v="0"/>
    <x v="1"/>
    <x v="154"/>
    <n v="90004"/>
    <x v="69"/>
    <d v="2015-06-11T00:00:00"/>
    <x v="1316"/>
    <n v="21"/>
    <n v="199.08"/>
    <n v="24869"/>
  </r>
  <r>
    <n v="819"/>
    <x v="0"/>
    <n v="7.0000000000000007E-2"/>
    <n v="155.06"/>
    <n v="7.07"/>
    <n v="2431"/>
    <x v="789"/>
    <x v="2"/>
    <x v="3"/>
    <x v="0"/>
    <x v="10"/>
    <x v="3"/>
    <x v="33"/>
    <n v="0.59"/>
    <x v="0"/>
    <x v="0"/>
    <x v="1"/>
    <x v="154"/>
    <n v="90004"/>
    <x v="168"/>
    <d v="2015-05-19T00:00:00"/>
    <x v="1317"/>
    <n v="14"/>
    <n v="2039.07"/>
    <n v="5920"/>
  </r>
  <r>
    <n v="18819"/>
    <x v="0"/>
    <n v="7.0000000000000007E-2"/>
    <n v="155.06"/>
    <n v="7.07"/>
    <n v="2432"/>
    <x v="790"/>
    <x v="2"/>
    <x v="3"/>
    <x v="0"/>
    <x v="10"/>
    <x v="3"/>
    <x v="33"/>
    <n v="0.59"/>
    <x v="0"/>
    <x v="2"/>
    <x v="23"/>
    <x v="626"/>
    <n v="73110"/>
    <x v="168"/>
    <d v="2015-05-19T00:00:00"/>
    <x v="1318"/>
    <n v="3"/>
    <n v="436.94"/>
    <n v="89096"/>
  </r>
  <r>
    <n v="20286"/>
    <x v="1"/>
    <n v="0.09"/>
    <n v="5.4"/>
    <n v="7.78"/>
    <n v="2432"/>
    <x v="790"/>
    <x v="0"/>
    <x v="3"/>
    <x v="0"/>
    <x v="8"/>
    <x v="3"/>
    <x v="97"/>
    <n v="0.37"/>
    <x v="0"/>
    <x v="2"/>
    <x v="23"/>
    <x v="626"/>
    <n v="73110"/>
    <x v="132"/>
    <d v="2015-06-08T00:00:00"/>
    <x v="1319"/>
    <n v="6"/>
    <n v="37.380000000000003"/>
    <n v="89097"/>
  </r>
  <r>
    <n v="21490"/>
    <x v="1"/>
    <n v="0.05"/>
    <n v="8.85"/>
    <n v="5.6"/>
    <n v="2433"/>
    <x v="791"/>
    <x v="2"/>
    <x v="3"/>
    <x v="0"/>
    <x v="8"/>
    <x v="3"/>
    <x v="753"/>
    <n v="0.36"/>
    <x v="0"/>
    <x v="2"/>
    <x v="23"/>
    <x v="627"/>
    <n v="73160"/>
    <x v="69"/>
    <d v="2015-06-11T00:00:00"/>
    <x v="1320"/>
    <n v="5"/>
    <n v="47.4"/>
    <n v="89095"/>
  </r>
  <r>
    <n v="19566"/>
    <x v="4"/>
    <n v="0.09"/>
    <n v="90.97"/>
    <n v="14"/>
    <n v="2437"/>
    <x v="792"/>
    <x v="1"/>
    <x v="1"/>
    <x v="2"/>
    <x v="6"/>
    <x v="1"/>
    <x v="625"/>
    <n v="0.36"/>
    <x v="0"/>
    <x v="2"/>
    <x v="45"/>
    <x v="628"/>
    <n v="53150"/>
    <x v="151"/>
    <d v="2015-03-03T00:00:00"/>
    <x v="1321"/>
    <n v="3"/>
    <n v="260"/>
    <n v="90301"/>
  </r>
  <r>
    <n v="20157"/>
    <x v="3"/>
    <n v="0.02"/>
    <n v="63.94"/>
    <n v="14.48"/>
    <n v="2441"/>
    <x v="793"/>
    <x v="2"/>
    <x v="3"/>
    <x v="1"/>
    <x v="2"/>
    <x v="3"/>
    <x v="176"/>
    <n v="0.46"/>
    <x v="0"/>
    <x v="3"/>
    <x v="26"/>
    <x v="629"/>
    <n v="32935"/>
    <x v="36"/>
    <d v="2015-04-04T00:00:00"/>
    <x v="1322"/>
    <n v="11"/>
    <n v="709.7"/>
    <n v="89300"/>
  </r>
  <r>
    <n v="20158"/>
    <x v="3"/>
    <n v="0.01"/>
    <n v="5.0199999999999996"/>
    <n v="5.14"/>
    <n v="2442"/>
    <x v="794"/>
    <x v="2"/>
    <x v="3"/>
    <x v="2"/>
    <x v="13"/>
    <x v="2"/>
    <x v="301"/>
    <n v="0.79"/>
    <x v="0"/>
    <x v="3"/>
    <x v="26"/>
    <x v="630"/>
    <n v="32953"/>
    <x v="36"/>
    <d v="2015-04-06T00:00:00"/>
    <x v="1323"/>
    <n v="5"/>
    <n v="27.42"/>
    <n v="89300"/>
  </r>
  <r>
    <n v="21084"/>
    <x v="0"/>
    <n v="0.05"/>
    <n v="58.1"/>
    <n v="1.49"/>
    <n v="2443"/>
    <x v="795"/>
    <x v="2"/>
    <x v="0"/>
    <x v="0"/>
    <x v="8"/>
    <x v="3"/>
    <x v="86"/>
    <n v="0.38"/>
    <x v="0"/>
    <x v="3"/>
    <x v="26"/>
    <x v="95"/>
    <n v="33142"/>
    <x v="174"/>
    <d v="2015-01-18T00:00:00"/>
    <x v="1324"/>
    <n v="13"/>
    <n v="739.06"/>
    <n v="89299"/>
  </r>
  <r>
    <n v="25304"/>
    <x v="1"/>
    <n v="0.06"/>
    <n v="2.2799999999999998"/>
    <n v="5.2"/>
    <n v="2443"/>
    <x v="795"/>
    <x v="2"/>
    <x v="0"/>
    <x v="0"/>
    <x v="0"/>
    <x v="0"/>
    <x v="754"/>
    <n v="0.41"/>
    <x v="0"/>
    <x v="3"/>
    <x v="26"/>
    <x v="95"/>
    <n v="33142"/>
    <x v="144"/>
    <d v="2015-06-03T00:00:00"/>
    <x v="1325"/>
    <n v="13"/>
    <n v="30.47"/>
    <n v="89301"/>
  </r>
  <r>
    <n v="25742"/>
    <x v="0"/>
    <n v="0.09"/>
    <n v="6.48"/>
    <n v="7.03"/>
    <n v="2448"/>
    <x v="796"/>
    <x v="2"/>
    <x v="3"/>
    <x v="0"/>
    <x v="7"/>
    <x v="3"/>
    <x v="125"/>
    <n v="0.37"/>
    <x v="0"/>
    <x v="2"/>
    <x v="3"/>
    <x v="631"/>
    <n v="55410"/>
    <x v="159"/>
    <d v="2015-07-01T00:00:00"/>
    <x v="1326"/>
    <n v="16"/>
    <n v="96.96"/>
    <n v="87790"/>
  </r>
  <r>
    <n v="20687"/>
    <x v="1"/>
    <n v="0.08"/>
    <n v="4.13"/>
    <n v="1.17"/>
    <n v="2450"/>
    <x v="797"/>
    <x v="2"/>
    <x v="1"/>
    <x v="0"/>
    <x v="0"/>
    <x v="0"/>
    <x v="755"/>
    <n v="0.56999999999999995"/>
    <x v="0"/>
    <x v="2"/>
    <x v="45"/>
    <x v="632"/>
    <n v="53545"/>
    <x v="94"/>
    <d v="2015-05-25T00:00:00"/>
    <x v="1327"/>
    <n v="1"/>
    <n v="4.21"/>
    <n v="90322"/>
  </r>
  <r>
    <n v="21198"/>
    <x v="3"/>
    <n v="0.06"/>
    <n v="3499.99"/>
    <n v="24.49"/>
    <n v="2454"/>
    <x v="798"/>
    <x v="0"/>
    <x v="0"/>
    <x v="2"/>
    <x v="16"/>
    <x v="6"/>
    <x v="467"/>
    <n v="0.37"/>
    <x v="0"/>
    <x v="3"/>
    <x v="43"/>
    <x v="633"/>
    <n v="35244"/>
    <x v="151"/>
    <d v="2015-03-04T00:00:00"/>
    <x v="1328"/>
    <n v="1"/>
    <n v="3550.28"/>
    <n v="89219"/>
  </r>
  <r>
    <n v="25536"/>
    <x v="0"/>
    <n v="7.0000000000000007E-2"/>
    <n v="179.99"/>
    <n v="19.989999999999998"/>
    <n v="2456"/>
    <x v="799"/>
    <x v="2"/>
    <x v="1"/>
    <x v="2"/>
    <x v="13"/>
    <x v="3"/>
    <x v="196"/>
    <n v="0.48"/>
    <x v="0"/>
    <x v="3"/>
    <x v="43"/>
    <x v="634"/>
    <n v="36608"/>
    <x v="46"/>
    <d v="2015-01-23T00:00:00"/>
    <x v="1329"/>
    <n v="7"/>
    <n v="1188.6300000000001"/>
    <n v="89218"/>
  </r>
  <r>
    <n v="25537"/>
    <x v="0"/>
    <n v="0.02"/>
    <n v="92.23"/>
    <n v="39.61"/>
    <n v="2456"/>
    <x v="799"/>
    <x v="0"/>
    <x v="1"/>
    <x v="1"/>
    <x v="2"/>
    <x v="4"/>
    <x v="756"/>
    <n v="0.67"/>
    <x v="0"/>
    <x v="3"/>
    <x v="43"/>
    <x v="634"/>
    <n v="36608"/>
    <x v="46"/>
    <d v="2015-01-23T00:00:00"/>
    <x v="1330"/>
    <n v="11"/>
    <n v="1009.93"/>
    <n v="89218"/>
  </r>
  <r>
    <n v="25535"/>
    <x v="0"/>
    <n v="0.02"/>
    <n v="15.22"/>
    <n v="9.73"/>
    <n v="2457"/>
    <x v="800"/>
    <x v="2"/>
    <x v="1"/>
    <x v="0"/>
    <x v="8"/>
    <x v="3"/>
    <x v="757"/>
    <n v="0.36"/>
    <x v="0"/>
    <x v="2"/>
    <x v="3"/>
    <x v="635"/>
    <n v="55014"/>
    <x v="46"/>
    <d v="2015-01-22T00:00:00"/>
    <x v="1331"/>
    <n v="9"/>
    <n v="140.69999999999999"/>
    <n v="89218"/>
  </r>
  <r>
    <n v="22321"/>
    <x v="0"/>
    <n v="0.03"/>
    <n v="6.48"/>
    <n v="8.73"/>
    <n v="2458"/>
    <x v="801"/>
    <x v="2"/>
    <x v="1"/>
    <x v="0"/>
    <x v="7"/>
    <x v="3"/>
    <x v="758"/>
    <n v="0.37"/>
    <x v="0"/>
    <x v="2"/>
    <x v="3"/>
    <x v="631"/>
    <n v="55410"/>
    <x v="35"/>
    <d v="2015-01-05T00:00:00"/>
    <x v="1332"/>
    <n v="2"/>
    <n v="15.95"/>
    <n v="91285"/>
  </r>
  <r>
    <n v="21190"/>
    <x v="3"/>
    <n v="0.05"/>
    <n v="12.88"/>
    <n v="4.59"/>
    <n v="2458"/>
    <x v="801"/>
    <x v="2"/>
    <x v="1"/>
    <x v="0"/>
    <x v="12"/>
    <x v="0"/>
    <x v="570"/>
    <n v="0.82"/>
    <x v="0"/>
    <x v="2"/>
    <x v="3"/>
    <x v="631"/>
    <n v="55410"/>
    <x v="94"/>
    <d v="2015-05-25T00:00:00"/>
    <x v="1333"/>
    <n v="3"/>
    <n v="42.35"/>
    <n v="91286"/>
  </r>
  <r>
    <n v="4321"/>
    <x v="0"/>
    <n v="0.03"/>
    <n v="6.48"/>
    <n v="8.73"/>
    <n v="2460"/>
    <x v="802"/>
    <x v="2"/>
    <x v="1"/>
    <x v="0"/>
    <x v="7"/>
    <x v="3"/>
    <x v="758"/>
    <n v="0.37"/>
    <x v="0"/>
    <x v="1"/>
    <x v="4"/>
    <x v="8"/>
    <n v="10035"/>
    <x v="35"/>
    <d v="2015-01-05T00:00:00"/>
    <x v="1332"/>
    <n v="8"/>
    <n v="63.78"/>
    <n v="30785"/>
  </r>
  <r>
    <n v="4322"/>
    <x v="0"/>
    <n v="7.0000000000000007E-2"/>
    <n v="9.93"/>
    <n v="1.0900000000000001"/>
    <n v="2460"/>
    <x v="802"/>
    <x v="2"/>
    <x v="1"/>
    <x v="0"/>
    <x v="0"/>
    <x v="0"/>
    <x v="759"/>
    <n v="0.43"/>
    <x v="0"/>
    <x v="1"/>
    <x v="4"/>
    <x v="8"/>
    <n v="10035"/>
    <x v="35"/>
    <d v="2015-01-06T00:00:00"/>
    <x v="1334"/>
    <n v="46"/>
    <n v="451.61"/>
    <n v="30785"/>
  </r>
  <r>
    <n v="25859"/>
    <x v="0"/>
    <n v="0.09"/>
    <n v="1.74"/>
    <n v="4.08"/>
    <n v="2464"/>
    <x v="803"/>
    <x v="0"/>
    <x v="3"/>
    <x v="1"/>
    <x v="2"/>
    <x v="2"/>
    <x v="60"/>
    <n v="0.53"/>
    <x v="0"/>
    <x v="3"/>
    <x v="11"/>
    <x v="636"/>
    <n v="71111"/>
    <x v="171"/>
    <d v="2015-05-13T00:00:00"/>
    <x v="1335"/>
    <n v="4"/>
    <n v="10.41"/>
    <n v="88713"/>
  </r>
  <r>
    <n v="25860"/>
    <x v="0"/>
    <n v="0.08"/>
    <n v="227.55"/>
    <n v="32.479999999999997"/>
    <n v="2464"/>
    <x v="803"/>
    <x v="1"/>
    <x v="3"/>
    <x v="1"/>
    <x v="11"/>
    <x v="5"/>
    <x v="760"/>
    <n v="0.68"/>
    <x v="0"/>
    <x v="3"/>
    <x v="11"/>
    <x v="636"/>
    <n v="71111"/>
    <x v="171"/>
    <d v="2015-05-11T00:00:00"/>
    <x v="1336"/>
    <n v="16"/>
    <n v="2849.64"/>
    <n v="88713"/>
  </r>
  <r>
    <n v="25807"/>
    <x v="1"/>
    <n v="0.05"/>
    <n v="6.28"/>
    <n v="5.36"/>
    <n v="2464"/>
    <x v="803"/>
    <x v="2"/>
    <x v="3"/>
    <x v="0"/>
    <x v="8"/>
    <x v="3"/>
    <x v="761"/>
    <n v="0.4"/>
    <x v="0"/>
    <x v="3"/>
    <x v="11"/>
    <x v="636"/>
    <n v="71111"/>
    <x v="13"/>
    <d v="2015-01-23T00:00:00"/>
    <x v="1337"/>
    <n v="6"/>
    <n v="38.04"/>
    <n v="88714"/>
  </r>
  <r>
    <n v="25808"/>
    <x v="1"/>
    <n v="0.04"/>
    <n v="3.08"/>
    <n v="0.99"/>
    <n v="2464"/>
    <x v="803"/>
    <x v="2"/>
    <x v="3"/>
    <x v="0"/>
    <x v="9"/>
    <x v="3"/>
    <x v="675"/>
    <n v="0.37"/>
    <x v="0"/>
    <x v="3"/>
    <x v="11"/>
    <x v="636"/>
    <n v="71111"/>
    <x v="13"/>
    <d v="2015-01-21T00:00:00"/>
    <x v="1338"/>
    <n v="14"/>
    <n v="42.53"/>
    <n v="88714"/>
  </r>
  <r>
    <n v="22580"/>
    <x v="3"/>
    <n v="0.04"/>
    <n v="2.08"/>
    <n v="1.49"/>
    <n v="2466"/>
    <x v="804"/>
    <x v="2"/>
    <x v="0"/>
    <x v="0"/>
    <x v="8"/>
    <x v="3"/>
    <x v="483"/>
    <n v="0.36"/>
    <x v="0"/>
    <x v="2"/>
    <x v="22"/>
    <x v="637"/>
    <n v="49783"/>
    <x v="139"/>
    <d v="2015-02-28T00:00:00"/>
    <x v="1339"/>
    <n v="7"/>
    <n v="14.77"/>
    <n v="88136"/>
  </r>
  <r>
    <n v="22582"/>
    <x v="3"/>
    <n v="0.02"/>
    <n v="53.98"/>
    <n v="5.5"/>
    <n v="2466"/>
    <x v="804"/>
    <x v="0"/>
    <x v="0"/>
    <x v="2"/>
    <x v="13"/>
    <x v="3"/>
    <x v="762"/>
    <n v="0.62"/>
    <x v="0"/>
    <x v="2"/>
    <x v="22"/>
    <x v="637"/>
    <n v="49783"/>
    <x v="139"/>
    <d v="2015-02-28T00:00:00"/>
    <x v="1340"/>
    <n v="8"/>
    <n v="438.33"/>
    <n v="88136"/>
  </r>
  <r>
    <n v="22583"/>
    <x v="3"/>
    <n v="0.05"/>
    <n v="4.9800000000000004"/>
    <n v="5.0199999999999996"/>
    <n v="2466"/>
    <x v="804"/>
    <x v="2"/>
    <x v="0"/>
    <x v="0"/>
    <x v="7"/>
    <x v="3"/>
    <x v="763"/>
    <n v="0.38"/>
    <x v="0"/>
    <x v="2"/>
    <x v="22"/>
    <x v="637"/>
    <n v="49783"/>
    <x v="139"/>
    <d v="2015-02-27T00:00:00"/>
    <x v="1341"/>
    <n v="7"/>
    <n v="38.11"/>
    <n v="88136"/>
  </r>
  <r>
    <n v="19766"/>
    <x v="2"/>
    <n v="0.09"/>
    <n v="58.1"/>
    <n v="1.49"/>
    <n v="2468"/>
    <x v="805"/>
    <x v="0"/>
    <x v="1"/>
    <x v="0"/>
    <x v="8"/>
    <x v="3"/>
    <x v="86"/>
    <n v="0.38"/>
    <x v="0"/>
    <x v="3"/>
    <x v="24"/>
    <x v="638"/>
    <n v="28144"/>
    <x v="58"/>
    <d v="2015-04-29T00:00:00"/>
    <x v="1342"/>
    <n v="3"/>
    <n v="169.46"/>
    <n v="88135"/>
  </r>
  <r>
    <n v="18684"/>
    <x v="2"/>
    <n v="0.04"/>
    <n v="65.989999999999995"/>
    <n v="8.99"/>
    <n v="2468"/>
    <x v="805"/>
    <x v="2"/>
    <x v="0"/>
    <x v="2"/>
    <x v="5"/>
    <x v="3"/>
    <x v="586"/>
    <n v="0.55000000000000004"/>
    <x v="0"/>
    <x v="3"/>
    <x v="24"/>
    <x v="638"/>
    <n v="28144"/>
    <x v="114"/>
    <d v="2015-03-14T00:00:00"/>
    <x v="1343"/>
    <n v="13"/>
    <n v="724.57"/>
    <n v="88137"/>
  </r>
  <r>
    <n v="26057"/>
    <x v="4"/>
    <n v="0.1"/>
    <n v="4.91"/>
    <n v="0.5"/>
    <n v="2472"/>
    <x v="806"/>
    <x v="0"/>
    <x v="1"/>
    <x v="0"/>
    <x v="9"/>
    <x v="3"/>
    <x v="41"/>
    <n v="0.36"/>
    <x v="0"/>
    <x v="2"/>
    <x v="12"/>
    <x v="639"/>
    <n v="60432"/>
    <x v="54"/>
    <d v="2015-02-21T00:00:00"/>
    <x v="1344"/>
    <n v="10"/>
    <n v="51.13"/>
    <n v="86514"/>
  </r>
  <r>
    <n v="24584"/>
    <x v="2"/>
    <n v="7.0000000000000007E-2"/>
    <n v="5.18"/>
    <n v="5.74"/>
    <n v="2481"/>
    <x v="807"/>
    <x v="0"/>
    <x v="0"/>
    <x v="0"/>
    <x v="8"/>
    <x v="3"/>
    <x v="314"/>
    <n v="0.36"/>
    <x v="0"/>
    <x v="3"/>
    <x v="11"/>
    <x v="377"/>
    <n v="70506"/>
    <x v="34"/>
    <d v="2015-04-08T00:00:00"/>
    <x v="1345"/>
    <n v="14"/>
    <n v="79.61"/>
    <n v="91000"/>
  </r>
  <r>
    <n v="24568"/>
    <x v="3"/>
    <n v="0.05"/>
    <n v="6.48"/>
    <n v="7.91"/>
    <n v="2484"/>
    <x v="808"/>
    <x v="2"/>
    <x v="0"/>
    <x v="0"/>
    <x v="7"/>
    <x v="3"/>
    <x v="744"/>
    <n v="0.37"/>
    <x v="0"/>
    <x v="3"/>
    <x v="26"/>
    <x v="640"/>
    <n v="33881"/>
    <x v="114"/>
    <d v="2015-03-14T00:00:00"/>
    <x v="1346"/>
    <n v="16"/>
    <n v="109.99"/>
    <n v="88998"/>
  </r>
  <r>
    <n v="24569"/>
    <x v="3"/>
    <n v="0.03"/>
    <n v="111.03"/>
    <n v="8.64"/>
    <n v="2484"/>
    <x v="808"/>
    <x v="2"/>
    <x v="0"/>
    <x v="0"/>
    <x v="10"/>
    <x v="3"/>
    <x v="764"/>
    <n v="0.78"/>
    <x v="0"/>
    <x v="3"/>
    <x v="26"/>
    <x v="640"/>
    <n v="33881"/>
    <x v="114"/>
    <d v="2015-03-14T00:00:00"/>
    <x v="1347"/>
    <n v="8"/>
    <n v="900.12"/>
    <n v="88998"/>
  </r>
  <r>
    <n v="22028"/>
    <x v="0"/>
    <n v="0.02"/>
    <n v="71.37"/>
    <n v="69"/>
    <n v="2486"/>
    <x v="809"/>
    <x v="2"/>
    <x v="2"/>
    <x v="1"/>
    <x v="11"/>
    <x v="6"/>
    <x v="737"/>
    <n v="0.68"/>
    <x v="0"/>
    <x v="3"/>
    <x v="29"/>
    <x v="641"/>
    <n v="30458"/>
    <x v="92"/>
    <d v="2015-02-07T00:00:00"/>
    <x v="1348"/>
    <n v="4"/>
    <n v="237.62"/>
    <n v="91414"/>
  </r>
  <r>
    <n v="22029"/>
    <x v="0"/>
    <n v="0.03"/>
    <n v="205.99"/>
    <n v="8.99"/>
    <n v="2486"/>
    <x v="809"/>
    <x v="0"/>
    <x v="2"/>
    <x v="2"/>
    <x v="5"/>
    <x v="3"/>
    <x v="545"/>
    <n v="0.6"/>
    <x v="0"/>
    <x v="3"/>
    <x v="29"/>
    <x v="641"/>
    <n v="30458"/>
    <x v="92"/>
    <d v="2015-02-08T00:00:00"/>
    <x v="1349"/>
    <n v="1"/>
    <n v="176.42"/>
    <n v="91414"/>
  </r>
  <r>
    <n v="23495"/>
    <x v="4"/>
    <n v="0"/>
    <n v="180.98"/>
    <n v="30"/>
    <n v="2486"/>
    <x v="809"/>
    <x v="1"/>
    <x v="2"/>
    <x v="1"/>
    <x v="1"/>
    <x v="1"/>
    <x v="646"/>
    <n v="0.69"/>
    <x v="0"/>
    <x v="3"/>
    <x v="29"/>
    <x v="641"/>
    <n v="30458"/>
    <x v="118"/>
    <d v="2015-02-05T00:00:00"/>
    <x v="1350"/>
    <n v="11"/>
    <n v="2084.16"/>
    <n v="91416"/>
  </r>
  <r>
    <n v="23983"/>
    <x v="1"/>
    <n v="0.04"/>
    <n v="3.08"/>
    <n v="0.99"/>
    <n v="2487"/>
    <x v="810"/>
    <x v="2"/>
    <x v="2"/>
    <x v="0"/>
    <x v="9"/>
    <x v="3"/>
    <x v="675"/>
    <n v="0.37"/>
    <x v="0"/>
    <x v="3"/>
    <x v="29"/>
    <x v="642"/>
    <n v="30084"/>
    <x v="105"/>
    <d v="2015-06-21T00:00:00"/>
    <x v="1351"/>
    <n v="14"/>
    <n v="43.41"/>
    <n v="91415"/>
  </r>
  <r>
    <n v="23984"/>
    <x v="1"/>
    <n v="0.1"/>
    <n v="2.78"/>
    <n v="1.25"/>
    <n v="2487"/>
    <x v="810"/>
    <x v="2"/>
    <x v="2"/>
    <x v="0"/>
    <x v="0"/>
    <x v="0"/>
    <x v="732"/>
    <n v="0.59"/>
    <x v="0"/>
    <x v="3"/>
    <x v="29"/>
    <x v="642"/>
    <n v="30084"/>
    <x v="105"/>
    <d v="2015-06-21T00:00:00"/>
    <x v="1352"/>
    <n v="18"/>
    <n v="46.42"/>
    <n v="91415"/>
  </r>
  <r>
    <n v="24476"/>
    <x v="1"/>
    <n v="0.02"/>
    <n v="136.97999999999999"/>
    <n v="24.49"/>
    <n v="2487"/>
    <x v="810"/>
    <x v="0"/>
    <x v="2"/>
    <x v="1"/>
    <x v="2"/>
    <x v="6"/>
    <x v="580"/>
    <n v="0.59"/>
    <x v="0"/>
    <x v="3"/>
    <x v="29"/>
    <x v="642"/>
    <n v="30084"/>
    <x v="42"/>
    <d v="2015-06-03T00:00:00"/>
    <x v="1353"/>
    <n v="8"/>
    <n v="1140.95"/>
    <n v="91417"/>
  </r>
  <r>
    <n v="20065"/>
    <x v="0"/>
    <n v="0.08"/>
    <n v="4.91"/>
    <n v="0.5"/>
    <n v="2488"/>
    <x v="811"/>
    <x v="2"/>
    <x v="3"/>
    <x v="0"/>
    <x v="9"/>
    <x v="3"/>
    <x v="41"/>
    <n v="0.36"/>
    <x v="0"/>
    <x v="3"/>
    <x v="40"/>
    <x v="643"/>
    <n v="72023"/>
    <x v="37"/>
    <d v="2015-04-09T00:00:00"/>
    <x v="1354"/>
    <n v="9"/>
    <n v="42.69"/>
    <n v="86887"/>
  </r>
  <r>
    <n v="20066"/>
    <x v="0"/>
    <n v="0.02"/>
    <n v="28.15"/>
    <n v="6.17"/>
    <n v="2488"/>
    <x v="811"/>
    <x v="2"/>
    <x v="3"/>
    <x v="0"/>
    <x v="0"/>
    <x v="2"/>
    <x v="765"/>
    <n v="0.55000000000000004"/>
    <x v="0"/>
    <x v="3"/>
    <x v="40"/>
    <x v="643"/>
    <n v="72023"/>
    <x v="37"/>
    <d v="2015-04-10T00:00:00"/>
    <x v="1355"/>
    <n v="11"/>
    <n v="327.41000000000003"/>
    <n v="86887"/>
  </r>
  <r>
    <n v="20602"/>
    <x v="0"/>
    <n v="0.01"/>
    <n v="2036.48"/>
    <n v="14.7"/>
    <n v="2489"/>
    <x v="812"/>
    <x v="1"/>
    <x v="3"/>
    <x v="2"/>
    <x v="6"/>
    <x v="1"/>
    <x v="220"/>
    <n v="0.55000000000000004"/>
    <x v="0"/>
    <x v="0"/>
    <x v="1"/>
    <x v="163"/>
    <n v="94521"/>
    <x v="143"/>
    <d v="2015-02-13T00:00:00"/>
    <x v="1356"/>
    <n v="2"/>
    <n v="3786.84"/>
    <n v="86883"/>
  </r>
  <r>
    <n v="21212"/>
    <x v="3"/>
    <n v="0.04"/>
    <n v="419.19"/>
    <n v="19.989999999999998"/>
    <n v="2489"/>
    <x v="812"/>
    <x v="2"/>
    <x v="1"/>
    <x v="0"/>
    <x v="10"/>
    <x v="3"/>
    <x v="260"/>
    <n v="0.57999999999999996"/>
    <x v="0"/>
    <x v="0"/>
    <x v="1"/>
    <x v="163"/>
    <n v="94521"/>
    <x v="138"/>
    <d v="2015-04-27T00:00:00"/>
    <x v="1357"/>
    <n v="5"/>
    <n v="2012.11"/>
    <n v="86885"/>
  </r>
  <r>
    <n v="21338"/>
    <x v="1"/>
    <n v="7.0000000000000007E-2"/>
    <n v="65.989999999999995"/>
    <n v="8.8000000000000007"/>
    <n v="2489"/>
    <x v="812"/>
    <x v="2"/>
    <x v="1"/>
    <x v="2"/>
    <x v="5"/>
    <x v="3"/>
    <x v="264"/>
    <n v="0.57999999999999996"/>
    <x v="0"/>
    <x v="0"/>
    <x v="1"/>
    <x v="163"/>
    <n v="94521"/>
    <x v="38"/>
    <d v="2015-01-12T00:00:00"/>
    <x v="1358"/>
    <n v="9"/>
    <n v="471.66"/>
    <n v="86886"/>
  </r>
  <r>
    <n v="24856"/>
    <x v="2"/>
    <n v="0.09"/>
    <n v="348.21"/>
    <n v="40.19"/>
    <n v="2490"/>
    <x v="813"/>
    <x v="1"/>
    <x v="1"/>
    <x v="1"/>
    <x v="11"/>
    <x v="5"/>
    <x v="553"/>
    <n v="0.62"/>
    <x v="0"/>
    <x v="0"/>
    <x v="1"/>
    <x v="644"/>
    <n v="92627"/>
    <x v="79"/>
    <d v="2015-02-16T00:00:00"/>
    <x v="1359"/>
    <n v="2"/>
    <n v="662.8"/>
    <n v="86884"/>
  </r>
  <r>
    <n v="21339"/>
    <x v="1"/>
    <n v="0"/>
    <n v="10.01"/>
    <n v="1.99"/>
    <n v="2490"/>
    <x v="813"/>
    <x v="0"/>
    <x v="1"/>
    <x v="2"/>
    <x v="13"/>
    <x v="2"/>
    <x v="766"/>
    <n v="0.41"/>
    <x v="0"/>
    <x v="0"/>
    <x v="1"/>
    <x v="644"/>
    <n v="92627"/>
    <x v="38"/>
    <d v="2015-01-14T00:00:00"/>
    <x v="1360"/>
    <n v="11"/>
    <n v="119.86"/>
    <n v="86886"/>
  </r>
  <r>
    <n v="6856"/>
    <x v="2"/>
    <n v="0.09"/>
    <n v="348.21"/>
    <n v="40.19"/>
    <n v="2491"/>
    <x v="814"/>
    <x v="1"/>
    <x v="1"/>
    <x v="1"/>
    <x v="11"/>
    <x v="5"/>
    <x v="553"/>
    <n v="0.62"/>
    <x v="0"/>
    <x v="0"/>
    <x v="1"/>
    <x v="154"/>
    <n v="90045"/>
    <x v="79"/>
    <d v="2015-02-16T00:00:00"/>
    <x v="1359"/>
    <n v="8"/>
    <n v="2651.21"/>
    <n v="48836"/>
  </r>
  <r>
    <n v="1617"/>
    <x v="4"/>
    <n v="0.06"/>
    <n v="4.28"/>
    <n v="0.94"/>
    <n v="2491"/>
    <x v="814"/>
    <x v="2"/>
    <x v="3"/>
    <x v="0"/>
    <x v="0"/>
    <x v="0"/>
    <x v="579"/>
    <n v="0.56000000000000005"/>
    <x v="0"/>
    <x v="0"/>
    <x v="1"/>
    <x v="154"/>
    <n v="90045"/>
    <x v="138"/>
    <d v="2015-04-28T00:00:00"/>
    <x v="1361"/>
    <n v="9"/>
    <n v="38.96"/>
    <n v="11712"/>
  </r>
  <r>
    <n v="3212"/>
    <x v="3"/>
    <n v="0.04"/>
    <n v="419.19"/>
    <n v="19.989999999999998"/>
    <n v="2491"/>
    <x v="814"/>
    <x v="2"/>
    <x v="1"/>
    <x v="0"/>
    <x v="10"/>
    <x v="3"/>
    <x v="260"/>
    <n v="0.57999999999999996"/>
    <x v="0"/>
    <x v="0"/>
    <x v="1"/>
    <x v="154"/>
    <n v="90045"/>
    <x v="138"/>
    <d v="2015-04-27T00:00:00"/>
    <x v="1362"/>
    <n v="20"/>
    <n v="8048.45"/>
    <n v="23042"/>
  </r>
  <r>
    <n v="3338"/>
    <x v="1"/>
    <n v="7.0000000000000007E-2"/>
    <n v="65.989999999999995"/>
    <n v="8.8000000000000007"/>
    <n v="2491"/>
    <x v="814"/>
    <x v="2"/>
    <x v="1"/>
    <x v="2"/>
    <x v="5"/>
    <x v="3"/>
    <x v="264"/>
    <n v="0.57999999999999996"/>
    <x v="0"/>
    <x v="0"/>
    <x v="1"/>
    <x v="154"/>
    <n v="90045"/>
    <x v="38"/>
    <d v="2015-01-12T00:00:00"/>
    <x v="1358"/>
    <n v="37"/>
    <n v="1939.03"/>
    <n v="23877"/>
  </r>
  <r>
    <n v="3339"/>
    <x v="1"/>
    <n v="0"/>
    <n v="10.01"/>
    <n v="1.99"/>
    <n v="2491"/>
    <x v="814"/>
    <x v="0"/>
    <x v="1"/>
    <x v="2"/>
    <x v="13"/>
    <x v="2"/>
    <x v="766"/>
    <n v="0.41"/>
    <x v="0"/>
    <x v="0"/>
    <x v="1"/>
    <x v="154"/>
    <n v="90045"/>
    <x v="38"/>
    <d v="2015-01-14T00:00:00"/>
    <x v="1363"/>
    <n v="42"/>
    <n v="457.63"/>
    <n v="23877"/>
  </r>
  <r>
    <n v="2065"/>
    <x v="0"/>
    <n v="0.08"/>
    <n v="4.91"/>
    <n v="0.5"/>
    <n v="2491"/>
    <x v="814"/>
    <x v="2"/>
    <x v="3"/>
    <x v="0"/>
    <x v="9"/>
    <x v="3"/>
    <x v="41"/>
    <n v="0.36"/>
    <x v="0"/>
    <x v="0"/>
    <x v="1"/>
    <x v="154"/>
    <n v="90045"/>
    <x v="37"/>
    <d v="2015-04-09T00:00:00"/>
    <x v="1364"/>
    <n v="36"/>
    <n v="170.75"/>
    <n v="14785"/>
  </r>
  <r>
    <n v="2066"/>
    <x v="0"/>
    <n v="0.02"/>
    <n v="28.15"/>
    <n v="6.17"/>
    <n v="2491"/>
    <x v="814"/>
    <x v="2"/>
    <x v="3"/>
    <x v="0"/>
    <x v="0"/>
    <x v="2"/>
    <x v="765"/>
    <n v="0.55000000000000004"/>
    <x v="0"/>
    <x v="0"/>
    <x v="1"/>
    <x v="154"/>
    <n v="90045"/>
    <x v="37"/>
    <d v="2015-04-10T00:00:00"/>
    <x v="1365"/>
    <n v="45"/>
    <n v="1339.42"/>
    <n v="14785"/>
  </r>
  <r>
    <n v="19617"/>
    <x v="4"/>
    <n v="0.06"/>
    <n v="4.28"/>
    <n v="0.94"/>
    <n v="2495"/>
    <x v="815"/>
    <x v="2"/>
    <x v="3"/>
    <x v="0"/>
    <x v="0"/>
    <x v="0"/>
    <x v="579"/>
    <n v="0.56000000000000005"/>
    <x v="0"/>
    <x v="0"/>
    <x v="47"/>
    <x v="609"/>
    <n v="82901"/>
    <x v="138"/>
    <d v="2015-04-28T00:00:00"/>
    <x v="1361"/>
    <n v="2"/>
    <n v="8.66"/>
    <n v="86885"/>
  </r>
  <r>
    <n v="2296"/>
    <x v="1"/>
    <n v="0.09"/>
    <n v="355.98"/>
    <n v="58.92"/>
    <n v="2498"/>
    <x v="816"/>
    <x v="1"/>
    <x v="0"/>
    <x v="1"/>
    <x v="1"/>
    <x v="1"/>
    <x v="464"/>
    <n v="0.64"/>
    <x v="0"/>
    <x v="0"/>
    <x v="1"/>
    <x v="454"/>
    <n v="92024"/>
    <x v="29"/>
    <d v="2015-02-20T00:00:00"/>
    <x v="1366"/>
    <n v="30"/>
    <n v="10554.63"/>
    <n v="16547"/>
  </r>
  <r>
    <n v="2297"/>
    <x v="1"/>
    <n v="0.04"/>
    <n v="218.75"/>
    <n v="69.64"/>
    <n v="2498"/>
    <x v="816"/>
    <x v="1"/>
    <x v="0"/>
    <x v="1"/>
    <x v="11"/>
    <x v="5"/>
    <x v="228"/>
    <n v="0.77"/>
    <x v="0"/>
    <x v="0"/>
    <x v="1"/>
    <x v="454"/>
    <n v="92024"/>
    <x v="29"/>
    <d v="2015-02-18T00:00:00"/>
    <x v="1367"/>
    <n v="8"/>
    <n v="1749.64"/>
    <n v="16547"/>
  </r>
  <r>
    <n v="7628"/>
    <x v="3"/>
    <n v="0.09"/>
    <n v="6.28"/>
    <n v="5.41"/>
    <n v="2498"/>
    <x v="816"/>
    <x v="2"/>
    <x v="2"/>
    <x v="1"/>
    <x v="2"/>
    <x v="3"/>
    <x v="593"/>
    <n v="0.53"/>
    <x v="0"/>
    <x v="0"/>
    <x v="1"/>
    <x v="454"/>
    <n v="92024"/>
    <x v="23"/>
    <d v="2015-02-04T00:00:00"/>
    <x v="1368"/>
    <n v="56"/>
    <n v="355.4"/>
    <n v="54567"/>
  </r>
  <r>
    <n v="2768"/>
    <x v="1"/>
    <n v="0.08"/>
    <n v="1.68"/>
    <n v="1.57"/>
    <n v="2498"/>
    <x v="816"/>
    <x v="2"/>
    <x v="2"/>
    <x v="0"/>
    <x v="0"/>
    <x v="0"/>
    <x v="15"/>
    <n v="0.59"/>
    <x v="0"/>
    <x v="0"/>
    <x v="1"/>
    <x v="454"/>
    <n v="92024"/>
    <x v="64"/>
    <d v="2015-02-06T00:00:00"/>
    <x v="1369"/>
    <n v="88"/>
    <n v="148.36000000000001"/>
    <n v="20007"/>
  </r>
  <r>
    <n v="20296"/>
    <x v="1"/>
    <n v="0.09"/>
    <n v="355.98"/>
    <n v="58.92"/>
    <n v="2499"/>
    <x v="817"/>
    <x v="1"/>
    <x v="0"/>
    <x v="1"/>
    <x v="1"/>
    <x v="1"/>
    <x v="464"/>
    <n v="0.64"/>
    <x v="0"/>
    <x v="2"/>
    <x v="12"/>
    <x v="645"/>
    <n v="60901"/>
    <x v="29"/>
    <d v="2015-02-20T00:00:00"/>
    <x v="1366"/>
    <n v="8"/>
    <n v="2814.57"/>
    <n v="88319"/>
  </r>
  <r>
    <n v="25628"/>
    <x v="3"/>
    <n v="0.09"/>
    <n v="6.28"/>
    <n v="5.41"/>
    <n v="2500"/>
    <x v="818"/>
    <x v="2"/>
    <x v="2"/>
    <x v="1"/>
    <x v="2"/>
    <x v="3"/>
    <x v="593"/>
    <n v="0.53"/>
    <x v="0"/>
    <x v="2"/>
    <x v="12"/>
    <x v="646"/>
    <n v="60102"/>
    <x v="23"/>
    <d v="2015-02-04T00:00:00"/>
    <x v="1370"/>
    <n v="14"/>
    <n v="88.85"/>
    <n v="88320"/>
  </r>
  <r>
    <n v="24899"/>
    <x v="0"/>
    <n v="0.1"/>
    <n v="24.92"/>
    <n v="12.98"/>
    <n v="2502"/>
    <x v="819"/>
    <x v="2"/>
    <x v="1"/>
    <x v="0"/>
    <x v="8"/>
    <x v="3"/>
    <x v="662"/>
    <n v="0.39"/>
    <x v="0"/>
    <x v="2"/>
    <x v="38"/>
    <x v="647"/>
    <n v="46321"/>
    <x v="91"/>
    <d v="2015-03-19T00:00:00"/>
    <x v="1371"/>
    <n v="3"/>
    <n v="70.819999999999993"/>
    <n v="91310"/>
  </r>
  <r>
    <n v="24901"/>
    <x v="0"/>
    <n v="0"/>
    <n v="12.28"/>
    <n v="6.35"/>
    <n v="2502"/>
    <x v="819"/>
    <x v="0"/>
    <x v="1"/>
    <x v="0"/>
    <x v="7"/>
    <x v="3"/>
    <x v="554"/>
    <n v="0.38"/>
    <x v="0"/>
    <x v="2"/>
    <x v="38"/>
    <x v="647"/>
    <n v="46321"/>
    <x v="91"/>
    <d v="2015-03-20T00:00:00"/>
    <x v="1372"/>
    <n v="7"/>
    <n v="90.44"/>
    <n v="91310"/>
  </r>
  <r>
    <n v="18219"/>
    <x v="3"/>
    <n v="0.02"/>
    <n v="6.48"/>
    <n v="8.74"/>
    <n v="2506"/>
    <x v="820"/>
    <x v="2"/>
    <x v="1"/>
    <x v="0"/>
    <x v="7"/>
    <x v="3"/>
    <x v="767"/>
    <n v="0.36"/>
    <x v="0"/>
    <x v="1"/>
    <x v="18"/>
    <x v="648"/>
    <n v="6408"/>
    <x v="75"/>
    <d v="2015-06-07T00:00:00"/>
    <x v="1373"/>
    <n v="1"/>
    <n v="10.72"/>
    <n v="87033"/>
  </r>
  <r>
    <n v="18217"/>
    <x v="3"/>
    <n v="0.06"/>
    <n v="699.99"/>
    <n v="24.49"/>
    <n v="2507"/>
    <x v="821"/>
    <x v="0"/>
    <x v="1"/>
    <x v="2"/>
    <x v="16"/>
    <x v="6"/>
    <x v="199"/>
    <n v="0.41"/>
    <x v="0"/>
    <x v="1"/>
    <x v="14"/>
    <x v="96"/>
    <n v="4401"/>
    <x v="75"/>
    <d v="2015-06-07T00:00:00"/>
    <x v="1374"/>
    <n v="15"/>
    <n v="10180.01"/>
    <n v="87033"/>
  </r>
  <r>
    <n v="23265"/>
    <x v="4"/>
    <n v="0.02"/>
    <n v="5.81"/>
    <n v="8.49"/>
    <n v="2508"/>
    <x v="822"/>
    <x v="2"/>
    <x v="1"/>
    <x v="0"/>
    <x v="8"/>
    <x v="3"/>
    <x v="104"/>
    <n v="0.39"/>
    <x v="0"/>
    <x v="1"/>
    <x v="14"/>
    <x v="91"/>
    <n v="4073"/>
    <x v="176"/>
    <d v="2015-01-12T00:00:00"/>
    <x v="1375"/>
    <n v="7"/>
    <n v="42.44"/>
    <n v="87031"/>
  </r>
  <r>
    <n v="21918"/>
    <x v="3"/>
    <n v="0.05"/>
    <n v="30.98"/>
    <n v="9.18"/>
    <n v="2509"/>
    <x v="823"/>
    <x v="2"/>
    <x v="1"/>
    <x v="0"/>
    <x v="7"/>
    <x v="3"/>
    <x v="768"/>
    <n v="0.4"/>
    <x v="0"/>
    <x v="1"/>
    <x v="14"/>
    <x v="139"/>
    <n v="4106"/>
    <x v="130"/>
    <d v="2015-05-05T00:00:00"/>
    <x v="1376"/>
    <n v="15"/>
    <n v="462.57"/>
    <n v="87029"/>
  </r>
  <r>
    <n v="21102"/>
    <x v="1"/>
    <n v="0.04"/>
    <n v="6.48"/>
    <n v="9.5399999999999991"/>
    <n v="2512"/>
    <x v="824"/>
    <x v="2"/>
    <x v="1"/>
    <x v="0"/>
    <x v="7"/>
    <x v="3"/>
    <x v="769"/>
    <n v="0.37"/>
    <x v="0"/>
    <x v="1"/>
    <x v="15"/>
    <x v="649"/>
    <n v="2138"/>
    <x v="15"/>
    <d v="2015-06-17T00:00:00"/>
    <x v="1377"/>
    <n v="19"/>
    <n v="125.37"/>
    <n v="87030"/>
  </r>
  <r>
    <n v="18220"/>
    <x v="3"/>
    <n v="0.02"/>
    <n v="17.149999999999999"/>
    <n v="4.96"/>
    <n v="2516"/>
    <x v="825"/>
    <x v="2"/>
    <x v="1"/>
    <x v="0"/>
    <x v="10"/>
    <x v="3"/>
    <x v="206"/>
    <n v="0.57999999999999996"/>
    <x v="0"/>
    <x v="1"/>
    <x v="2"/>
    <x v="378"/>
    <n v="7631"/>
    <x v="75"/>
    <d v="2015-06-07T00:00:00"/>
    <x v="1378"/>
    <n v="11"/>
    <n v="190.85"/>
    <n v="87033"/>
  </r>
  <r>
    <n v="18221"/>
    <x v="3"/>
    <n v="7.0000000000000007E-2"/>
    <n v="30.98"/>
    <n v="8.74"/>
    <n v="2520"/>
    <x v="826"/>
    <x v="2"/>
    <x v="1"/>
    <x v="0"/>
    <x v="7"/>
    <x v="3"/>
    <x v="699"/>
    <n v="0.4"/>
    <x v="0"/>
    <x v="1"/>
    <x v="31"/>
    <x v="650"/>
    <n v="2908"/>
    <x v="75"/>
    <d v="2015-06-06T00:00:00"/>
    <x v="1379"/>
    <n v="12"/>
    <n v="370.68"/>
    <n v="87033"/>
  </r>
  <r>
    <n v="25463"/>
    <x v="3"/>
    <n v="0"/>
    <n v="175.99"/>
    <n v="4.99"/>
    <n v="2521"/>
    <x v="827"/>
    <x v="2"/>
    <x v="1"/>
    <x v="2"/>
    <x v="5"/>
    <x v="3"/>
    <x v="32"/>
    <n v="0.59"/>
    <x v="0"/>
    <x v="2"/>
    <x v="7"/>
    <x v="651"/>
    <n v="75109"/>
    <x v="29"/>
    <d v="2015-02-21T00:00:00"/>
    <x v="1380"/>
    <n v="15"/>
    <n v="2400.9499999999998"/>
    <n v="87032"/>
  </r>
  <r>
    <n v="18218"/>
    <x v="3"/>
    <n v="0.04"/>
    <n v="1360.14"/>
    <n v="14.7"/>
    <n v="2522"/>
    <x v="828"/>
    <x v="1"/>
    <x v="1"/>
    <x v="2"/>
    <x v="6"/>
    <x v="1"/>
    <x v="203"/>
    <n v="0.59"/>
    <x v="0"/>
    <x v="1"/>
    <x v="9"/>
    <x v="19"/>
    <n v="5401"/>
    <x v="75"/>
    <d v="2015-06-08T00:00:00"/>
    <x v="1381"/>
    <n v="6"/>
    <n v="7303.05"/>
    <n v="87033"/>
  </r>
  <r>
    <n v="18866"/>
    <x v="2"/>
    <n v="0.01"/>
    <n v="2.16"/>
    <n v="6.05"/>
    <n v="2526"/>
    <x v="829"/>
    <x v="2"/>
    <x v="0"/>
    <x v="0"/>
    <x v="8"/>
    <x v="3"/>
    <x v="542"/>
    <n v="0.37"/>
    <x v="0"/>
    <x v="3"/>
    <x v="11"/>
    <x v="377"/>
    <n v="70506"/>
    <x v="94"/>
    <d v="2015-05-25T00:00:00"/>
    <x v="1382"/>
    <n v="24"/>
    <n v="58.05"/>
    <n v="87208"/>
  </r>
  <r>
    <n v="18867"/>
    <x v="2"/>
    <n v="7.0000000000000007E-2"/>
    <n v="21.38"/>
    <n v="8.99"/>
    <n v="2527"/>
    <x v="830"/>
    <x v="2"/>
    <x v="0"/>
    <x v="0"/>
    <x v="0"/>
    <x v="2"/>
    <x v="731"/>
    <n v="0.59"/>
    <x v="0"/>
    <x v="3"/>
    <x v="11"/>
    <x v="652"/>
    <n v="70601"/>
    <x v="94"/>
    <d v="2015-05-25T00:00:00"/>
    <x v="1383"/>
    <n v="3"/>
    <n v="68.64"/>
    <n v="87208"/>
  </r>
  <r>
    <n v="20254"/>
    <x v="0"/>
    <n v="0.04"/>
    <n v="40.98"/>
    <n v="6.5"/>
    <n v="2530"/>
    <x v="831"/>
    <x v="2"/>
    <x v="2"/>
    <x v="2"/>
    <x v="13"/>
    <x v="3"/>
    <x v="456"/>
    <n v="0.74"/>
    <x v="0"/>
    <x v="0"/>
    <x v="1"/>
    <x v="653"/>
    <n v="92307"/>
    <x v="48"/>
    <d v="2015-03-30T00:00:00"/>
    <x v="1384"/>
    <n v="7"/>
    <n v="277.07"/>
    <n v="87451"/>
  </r>
  <r>
    <n v="23782"/>
    <x v="3"/>
    <n v="0.08"/>
    <n v="4"/>
    <n v="1.3"/>
    <n v="2531"/>
    <x v="832"/>
    <x v="2"/>
    <x v="2"/>
    <x v="0"/>
    <x v="7"/>
    <x v="0"/>
    <x v="55"/>
    <n v="0.37"/>
    <x v="0"/>
    <x v="0"/>
    <x v="1"/>
    <x v="654"/>
    <n v="93422"/>
    <x v="10"/>
    <d v="2015-05-04T00:00:00"/>
    <x v="1385"/>
    <n v="14"/>
    <n v="51.99"/>
    <n v="87452"/>
  </r>
  <r>
    <n v="20255"/>
    <x v="0"/>
    <n v="0.05"/>
    <n v="35.99"/>
    <n v="3.3"/>
    <n v="2534"/>
    <x v="833"/>
    <x v="2"/>
    <x v="2"/>
    <x v="2"/>
    <x v="5"/>
    <x v="2"/>
    <x v="457"/>
    <n v="0.39"/>
    <x v="0"/>
    <x v="1"/>
    <x v="14"/>
    <x v="96"/>
    <n v="4401"/>
    <x v="48"/>
    <d v="2015-03-31T00:00:00"/>
    <x v="1386"/>
    <n v="5"/>
    <n v="149.66999999999999"/>
    <n v="87451"/>
  </r>
  <r>
    <n v="22839"/>
    <x v="1"/>
    <n v="0.08"/>
    <n v="12.53"/>
    <n v="0.5"/>
    <n v="2539"/>
    <x v="834"/>
    <x v="2"/>
    <x v="1"/>
    <x v="0"/>
    <x v="9"/>
    <x v="3"/>
    <x v="585"/>
    <n v="0.38"/>
    <x v="0"/>
    <x v="3"/>
    <x v="26"/>
    <x v="655"/>
    <n v="32789"/>
    <x v="74"/>
    <d v="2015-04-08T00:00:00"/>
    <x v="1387"/>
    <n v="5"/>
    <n v="61.1"/>
    <n v="91017"/>
  </r>
  <r>
    <n v="22840"/>
    <x v="1"/>
    <n v="0.02"/>
    <n v="178.47"/>
    <n v="19.989999999999998"/>
    <n v="2540"/>
    <x v="835"/>
    <x v="2"/>
    <x v="1"/>
    <x v="0"/>
    <x v="10"/>
    <x v="3"/>
    <x v="179"/>
    <n v="0.55000000000000004"/>
    <x v="0"/>
    <x v="3"/>
    <x v="26"/>
    <x v="656"/>
    <n v="32708"/>
    <x v="74"/>
    <d v="2015-04-08T00:00:00"/>
    <x v="1388"/>
    <n v="1"/>
    <n v="193.81"/>
    <n v="91017"/>
  </r>
  <r>
    <n v="19031"/>
    <x v="3"/>
    <n v="0.05"/>
    <n v="15.68"/>
    <n v="3.73"/>
    <n v="2543"/>
    <x v="836"/>
    <x v="2"/>
    <x v="2"/>
    <x v="1"/>
    <x v="2"/>
    <x v="2"/>
    <x v="770"/>
    <n v="0.46"/>
    <x v="0"/>
    <x v="3"/>
    <x v="8"/>
    <x v="404"/>
    <n v="23223"/>
    <x v="164"/>
    <d v="2015-06-12T00:00:00"/>
    <x v="1389"/>
    <n v="17"/>
    <n v="257.48"/>
    <n v="87917"/>
  </r>
  <r>
    <n v="19032"/>
    <x v="3"/>
    <n v="0.02"/>
    <n v="195.99"/>
    <n v="4.2"/>
    <n v="2543"/>
    <x v="836"/>
    <x v="2"/>
    <x v="2"/>
    <x v="2"/>
    <x v="5"/>
    <x v="3"/>
    <x v="736"/>
    <n v="0.56000000000000005"/>
    <x v="0"/>
    <x v="3"/>
    <x v="8"/>
    <x v="404"/>
    <n v="23223"/>
    <x v="164"/>
    <d v="2015-06-12T00:00:00"/>
    <x v="1390"/>
    <n v="19"/>
    <n v="3194.99"/>
    <n v="87917"/>
  </r>
  <r>
    <n v="19902"/>
    <x v="3"/>
    <n v="0.01"/>
    <n v="99.99"/>
    <n v="19.989999999999998"/>
    <n v="2545"/>
    <x v="837"/>
    <x v="0"/>
    <x v="1"/>
    <x v="2"/>
    <x v="6"/>
    <x v="3"/>
    <x v="23"/>
    <n v="0.52"/>
    <x v="0"/>
    <x v="3"/>
    <x v="8"/>
    <x v="293"/>
    <n v="22153"/>
    <x v="17"/>
    <d v="2015-03-12T00:00:00"/>
    <x v="1391"/>
    <n v="2"/>
    <n v="202.98"/>
    <n v="87915"/>
  </r>
  <r>
    <n v="25460"/>
    <x v="4"/>
    <n v="7.0000000000000007E-2"/>
    <n v="6.48"/>
    <n v="9.5399999999999991"/>
    <n v="2547"/>
    <x v="838"/>
    <x v="2"/>
    <x v="2"/>
    <x v="0"/>
    <x v="7"/>
    <x v="3"/>
    <x v="769"/>
    <n v="0.37"/>
    <x v="0"/>
    <x v="3"/>
    <x v="8"/>
    <x v="657"/>
    <n v="23464"/>
    <x v="47"/>
    <d v="2015-04-19T00:00:00"/>
    <x v="1392"/>
    <n v="1"/>
    <n v="10.86"/>
    <n v="87916"/>
  </r>
  <r>
    <n v="6525"/>
    <x v="4"/>
    <n v="0"/>
    <n v="35.99"/>
    <n v="0.99"/>
    <n v="2548"/>
    <x v="839"/>
    <x v="2"/>
    <x v="2"/>
    <x v="2"/>
    <x v="5"/>
    <x v="2"/>
    <x v="771"/>
    <n v="0.35"/>
    <x v="0"/>
    <x v="0"/>
    <x v="1"/>
    <x v="154"/>
    <n v="90068"/>
    <x v="36"/>
    <d v="2015-04-11T00:00:00"/>
    <x v="1393"/>
    <n v="46"/>
    <n v="1477.57"/>
    <n v="46436"/>
  </r>
  <r>
    <n v="5777"/>
    <x v="4"/>
    <n v="0.05"/>
    <n v="30.98"/>
    <n v="9.18"/>
    <n v="2548"/>
    <x v="839"/>
    <x v="0"/>
    <x v="2"/>
    <x v="0"/>
    <x v="7"/>
    <x v="3"/>
    <x v="768"/>
    <n v="0.4"/>
    <x v="0"/>
    <x v="0"/>
    <x v="1"/>
    <x v="154"/>
    <n v="90068"/>
    <x v="109"/>
    <d v="2015-04-21T00:00:00"/>
    <x v="1394"/>
    <n v="12"/>
    <n v="382.29"/>
    <n v="40997"/>
  </r>
  <r>
    <n v="5778"/>
    <x v="4"/>
    <n v="0.05"/>
    <n v="22.99"/>
    <n v="8.99"/>
    <n v="2548"/>
    <x v="839"/>
    <x v="2"/>
    <x v="2"/>
    <x v="0"/>
    <x v="0"/>
    <x v="2"/>
    <x v="772"/>
    <n v="0.56999999999999995"/>
    <x v="0"/>
    <x v="0"/>
    <x v="1"/>
    <x v="154"/>
    <n v="90068"/>
    <x v="109"/>
    <d v="2015-04-28T00:00:00"/>
    <x v="1395"/>
    <n v="37"/>
    <n v="881.74"/>
    <n v="40997"/>
  </r>
  <r>
    <n v="5780"/>
    <x v="4"/>
    <n v="0.04"/>
    <n v="212.6"/>
    <n v="110.2"/>
    <n v="2548"/>
    <x v="839"/>
    <x v="1"/>
    <x v="2"/>
    <x v="1"/>
    <x v="11"/>
    <x v="5"/>
    <x v="482"/>
    <n v="0.73"/>
    <x v="0"/>
    <x v="0"/>
    <x v="1"/>
    <x v="154"/>
    <n v="90068"/>
    <x v="109"/>
    <d v="2015-04-25T00:00:00"/>
    <x v="1396"/>
    <n v="33"/>
    <n v="7384.18"/>
    <n v="40997"/>
  </r>
  <r>
    <n v="4204"/>
    <x v="1"/>
    <n v="0.09"/>
    <n v="5.98"/>
    <n v="1.67"/>
    <n v="2548"/>
    <x v="839"/>
    <x v="2"/>
    <x v="2"/>
    <x v="0"/>
    <x v="0"/>
    <x v="0"/>
    <x v="773"/>
    <n v="0.51"/>
    <x v="0"/>
    <x v="0"/>
    <x v="1"/>
    <x v="154"/>
    <n v="90068"/>
    <x v="141"/>
    <d v="2015-06-07T00:00:00"/>
    <x v="1397"/>
    <n v="81"/>
    <n v="448.26"/>
    <n v="29889"/>
  </r>
  <r>
    <n v="23777"/>
    <x v="4"/>
    <n v="0.05"/>
    <n v="30.98"/>
    <n v="9.18"/>
    <n v="2549"/>
    <x v="840"/>
    <x v="0"/>
    <x v="2"/>
    <x v="0"/>
    <x v="7"/>
    <x v="3"/>
    <x v="768"/>
    <n v="0.4"/>
    <x v="0"/>
    <x v="1"/>
    <x v="10"/>
    <x v="658"/>
    <n v="43213"/>
    <x v="109"/>
    <d v="2015-04-21T00:00:00"/>
    <x v="1394"/>
    <n v="3"/>
    <n v="95.57"/>
    <n v="88657"/>
  </r>
  <r>
    <n v="23778"/>
    <x v="4"/>
    <n v="0.05"/>
    <n v="22.99"/>
    <n v="8.99"/>
    <n v="2549"/>
    <x v="840"/>
    <x v="2"/>
    <x v="2"/>
    <x v="0"/>
    <x v="0"/>
    <x v="2"/>
    <x v="772"/>
    <n v="0.56999999999999995"/>
    <x v="0"/>
    <x v="1"/>
    <x v="10"/>
    <x v="658"/>
    <n v="43213"/>
    <x v="109"/>
    <d v="2015-04-28T00:00:00"/>
    <x v="1395"/>
    <n v="9"/>
    <n v="214.48"/>
    <n v="88657"/>
  </r>
  <r>
    <n v="23780"/>
    <x v="4"/>
    <n v="0.04"/>
    <n v="212.6"/>
    <n v="110.2"/>
    <n v="2549"/>
    <x v="840"/>
    <x v="1"/>
    <x v="2"/>
    <x v="1"/>
    <x v="11"/>
    <x v="5"/>
    <x v="482"/>
    <n v="0.73"/>
    <x v="0"/>
    <x v="1"/>
    <x v="10"/>
    <x v="658"/>
    <n v="43213"/>
    <x v="109"/>
    <d v="2015-04-25T00:00:00"/>
    <x v="1396"/>
    <n v="8"/>
    <n v="1790.1"/>
    <n v="88657"/>
  </r>
  <r>
    <n v="22204"/>
    <x v="1"/>
    <n v="0.09"/>
    <n v="5.98"/>
    <n v="1.67"/>
    <n v="2549"/>
    <x v="840"/>
    <x v="2"/>
    <x v="2"/>
    <x v="0"/>
    <x v="0"/>
    <x v="0"/>
    <x v="773"/>
    <n v="0.51"/>
    <x v="0"/>
    <x v="1"/>
    <x v="10"/>
    <x v="658"/>
    <n v="43213"/>
    <x v="141"/>
    <d v="2015-06-07T00:00:00"/>
    <x v="1398"/>
    <n v="20"/>
    <n v="110.68"/>
    <n v="88658"/>
  </r>
  <r>
    <n v="24525"/>
    <x v="4"/>
    <n v="0"/>
    <n v="35.99"/>
    <n v="0.99"/>
    <n v="2551"/>
    <x v="841"/>
    <x v="2"/>
    <x v="2"/>
    <x v="2"/>
    <x v="5"/>
    <x v="2"/>
    <x v="771"/>
    <n v="0.35"/>
    <x v="0"/>
    <x v="1"/>
    <x v="19"/>
    <x v="659"/>
    <n v="17403"/>
    <x v="36"/>
    <d v="2015-04-11T00:00:00"/>
    <x v="1399"/>
    <n v="12"/>
    <n v="385.45"/>
    <n v="88656"/>
  </r>
  <r>
    <n v="18130"/>
    <x v="3"/>
    <n v="0.03"/>
    <n v="12.53"/>
    <n v="7.17"/>
    <n v="2553"/>
    <x v="842"/>
    <x v="2"/>
    <x v="1"/>
    <x v="0"/>
    <x v="8"/>
    <x v="3"/>
    <x v="774"/>
    <n v="0.38"/>
    <x v="0"/>
    <x v="2"/>
    <x v="45"/>
    <x v="660"/>
    <n v="53142"/>
    <x v="6"/>
    <d v="2015-02-13T00:00:00"/>
    <x v="1400"/>
    <n v="1"/>
    <n v="19.32"/>
    <n v="86528"/>
  </r>
  <r>
    <n v="23666"/>
    <x v="4"/>
    <n v="0.1"/>
    <n v="2.6"/>
    <n v="2.4"/>
    <n v="2555"/>
    <x v="843"/>
    <x v="2"/>
    <x v="1"/>
    <x v="0"/>
    <x v="0"/>
    <x v="0"/>
    <x v="371"/>
    <n v="0.57999999999999996"/>
    <x v="0"/>
    <x v="2"/>
    <x v="45"/>
    <x v="320"/>
    <n v="53711"/>
    <x v="85"/>
    <d v="2015-01-14T00:00:00"/>
    <x v="1401"/>
    <n v="12"/>
    <n v="30.1"/>
    <n v="86527"/>
  </r>
  <r>
    <n v="23583"/>
    <x v="2"/>
    <n v="0"/>
    <n v="12.97"/>
    <n v="1.49"/>
    <n v="2555"/>
    <x v="843"/>
    <x v="2"/>
    <x v="1"/>
    <x v="0"/>
    <x v="8"/>
    <x v="3"/>
    <x v="513"/>
    <n v="0.35"/>
    <x v="0"/>
    <x v="2"/>
    <x v="45"/>
    <x v="320"/>
    <n v="53711"/>
    <x v="23"/>
    <d v="2015-02-03T00:00:00"/>
    <x v="1402"/>
    <n v="19"/>
    <n v="261.20999999999998"/>
    <n v="86529"/>
  </r>
  <r>
    <n v="23584"/>
    <x v="2"/>
    <n v="0.06"/>
    <n v="4.91"/>
    <n v="0.5"/>
    <n v="2555"/>
    <x v="843"/>
    <x v="2"/>
    <x v="1"/>
    <x v="0"/>
    <x v="9"/>
    <x v="3"/>
    <x v="550"/>
    <n v="0.36"/>
    <x v="0"/>
    <x v="2"/>
    <x v="45"/>
    <x v="320"/>
    <n v="53711"/>
    <x v="23"/>
    <d v="2015-02-02T00:00:00"/>
    <x v="1403"/>
    <n v="9"/>
    <n v="42.79"/>
    <n v="86529"/>
  </r>
  <r>
    <n v="19840"/>
    <x v="1"/>
    <n v="0.03"/>
    <n v="160.97999999999999"/>
    <n v="30"/>
    <n v="2561"/>
    <x v="844"/>
    <x v="1"/>
    <x v="3"/>
    <x v="1"/>
    <x v="1"/>
    <x v="1"/>
    <x v="48"/>
    <n v="0.62"/>
    <x v="0"/>
    <x v="1"/>
    <x v="4"/>
    <x v="661"/>
    <n v="10562"/>
    <x v="27"/>
    <d v="2015-03-25T00:00:00"/>
    <x v="1404"/>
    <n v="11"/>
    <n v="1828.22"/>
    <n v="86465"/>
  </r>
  <r>
    <n v="23161"/>
    <x v="1"/>
    <n v="7.0000000000000007E-2"/>
    <n v="3.98"/>
    <n v="5.26"/>
    <n v="2561"/>
    <x v="844"/>
    <x v="2"/>
    <x v="3"/>
    <x v="0"/>
    <x v="8"/>
    <x v="3"/>
    <x v="600"/>
    <n v="0.38"/>
    <x v="0"/>
    <x v="1"/>
    <x v="4"/>
    <x v="661"/>
    <n v="10562"/>
    <x v="4"/>
    <d v="2015-04-10T00:00:00"/>
    <x v="1405"/>
    <n v="7"/>
    <n v="29.77"/>
    <n v="86466"/>
  </r>
  <r>
    <n v="23162"/>
    <x v="1"/>
    <n v="7.0000000000000007E-2"/>
    <n v="12.22"/>
    <n v="2.85"/>
    <n v="2561"/>
    <x v="844"/>
    <x v="2"/>
    <x v="3"/>
    <x v="1"/>
    <x v="2"/>
    <x v="2"/>
    <x v="775"/>
    <n v="0.55000000000000004"/>
    <x v="0"/>
    <x v="1"/>
    <x v="4"/>
    <x v="661"/>
    <n v="10562"/>
    <x v="4"/>
    <d v="2015-04-08T00:00:00"/>
    <x v="1406"/>
    <n v="12"/>
    <n v="147.19"/>
    <n v="86466"/>
  </r>
  <r>
    <n v="22374"/>
    <x v="1"/>
    <n v="0.08"/>
    <n v="4.55"/>
    <n v="1.49"/>
    <n v="2563"/>
    <x v="845"/>
    <x v="2"/>
    <x v="1"/>
    <x v="0"/>
    <x v="8"/>
    <x v="3"/>
    <x v="516"/>
    <n v="0.35"/>
    <x v="0"/>
    <x v="2"/>
    <x v="3"/>
    <x v="662"/>
    <n v="55432"/>
    <x v="4"/>
    <d v="2015-04-09T00:00:00"/>
    <x v="1407"/>
    <n v="9"/>
    <n v="39.17"/>
    <n v="91447"/>
  </r>
  <r>
    <n v="25095"/>
    <x v="2"/>
    <n v="0"/>
    <n v="4.37"/>
    <n v="5.15"/>
    <n v="2570"/>
    <x v="846"/>
    <x v="2"/>
    <x v="3"/>
    <x v="0"/>
    <x v="15"/>
    <x v="3"/>
    <x v="358"/>
    <n v="0.59"/>
    <x v="0"/>
    <x v="0"/>
    <x v="1"/>
    <x v="663"/>
    <n v="95616"/>
    <x v="177"/>
    <d v="2015-04-27T00:00:00"/>
    <x v="1408"/>
    <n v="19"/>
    <n v="87.85"/>
    <n v="90327"/>
  </r>
  <r>
    <n v="25096"/>
    <x v="2"/>
    <n v="0.01"/>
    <n v="500.98"/>
    <n v="56"/>
    <n v="2570"/>
    <x v="846"/>
    <x v="1"/>
    <x v="3"/>
    <x v="1"/>
    <x v="1"/>
    <x v="1"/>
    <x v="1"/>
    <n v="0.6"/>
    <x v="0"/>
    <x v="0"/>
    <x v="1"/>
    <x v="663"/>
    <n v="95616"/>
    <x v="177"/>
    <d v="2015-04-26T00:00:00"/>
    <x v="1409"/>
    <n v="14"/>
    <n v="7429.63"/>
    <n v="90327"/>
  </r>
  <r>
    <n v="25097"/>
    <x v="2"/>
    <n v="0.02"/>
    <n v="12.58"/>
    <n v="5.16"/>
    <n v="2570"/>
    <x v="846"/>
    <x v="2"/>
    <x v="3"/>
    <x v="1"/>
    <x v="2"/>
    <x v="3"/>
    <x v="776"/>
    <n v="0.43"/>
    <x v="0"/>
    <x v="0"/>
    <x v="1"/>
    <x v="663"/>
    <n v="95616"/>
    <x v="177"/>
    <d v="2015-04-25T00:00:00"/>
    <x v="1410"/>
    <n v="18"/>
    <n v="224.29"/>
    <n v="90327"/>
  </r>
  <r>
    <n v="25098"/>
    <x v="2"/>
    <n v="0.1"/>
    <n v="7.7"/>
    <n v="3.68"/>
    <n v="2570"/>
    <x v="846"/>
    <x v="2"/>
    <x v="3"/>
    <x v="1"/>
    <x v="2"/>
    <x v="0"/>
    <x v="777"/>
    <n v="0.52"/>
    <x v="0"/>
    <x v="0"/>
    <x v="1"/>
    <x v="663"/>
    <n v="95616"/>
    <x v="177"/>
    <d v="2015-04-26T00:00:00"/>
    <x v="1411"/>
    <n v="7"/>
    <n v="51.2"/>
    <n v="90327"/>
  </r>
  <r>
    <n v="7096"/>
    <x v="2"/>
    <n v="0.01"/>
    <n v="500.98"/>
    <n v="56"/>
    <n v="2571"/>
    <x v="847"/>
    <x v="1"/>
    <x v="3"/>
    <x v="1"/>
    <x v="1"/>
    <x v="1"/>
    <x v="1"/>
    <n v="0.6"/>
    <x v="0"/>
    <x v="1"/>
    <x v="4"/>
    <x v="8"/>
    <n v="10165"/>
    <x v="177"/>
    <d v="2015-04-26T00:00:00"/>
    <x v="1412"/>
    <n v="56"/>
    <n v="29718.53"/>
    <n v="50656"/>
  </r>
  <r>
    <n v="7098"/>
    <x v="2"/>
    <n v="0.1"/>
    <n v="7.7"/>
    <n v="3.68"/>
    <n v="2571"/>
    <x v="847"/>
    <x v="2"/>
    <x v="3"/>
    <x v="1"/>
    <x v="2"/>
    <x v="0"/>
    <x v="777"/>
    <n v="0.52"/>
    <x v="0"/>
    <x v="1"/>
    <x v="4"/>
    <x v="8"/>
    <n v="10165"/>
    <x v="177"/>
    <d v="2015-04-26T00:00:00"/>
    <x v="1413"/>
    <n v="27"/>
    <n v="197.48"/>
    <n v="50656"/>
  </r>
  <r>
    <n v="20938"/>
    <x v="4"/>
    <n v="0.04"/>
    <n v="8.6"/>
    <n v="6.19"/>
    <n v="2578"/>
    <x v="848"/>
    <x v="2"/>
    <x v="1"/>
    <x v="0"/>
    <x v="8"/>
    <x v="3"/>
    <x v="331"/>
    <n v="0.38"/>
    <x v="0"/>
    <x v="3"/>
    <x v="43"/>
    <x v="664"/>
    <n v="36801"/>
    <x v="10"/>
    <d v="2015-05-04T00:00:00"/>
    <x v="1414"/>
    <n v="5"/>
    <n v="46.85"/>
    <n v="88298"/>
  </r>
  <r>
    <n v="20939"/>
    <x v="4"/>
    <n v="0.01"/>
    <n v="3.58"/>
    <n v="1.63"/>
    <n v="2578"/>
    <x v="848"/>
    <x v="2"/>
    <x v="1"/>
    <x v="0"/>
    <x v="3"/>
    <x v="0"/>
    <x v="6"/>
    <n v="0.36"/>
    <x v="0"/>
    <x v="3"/>
    <x v="43"/>
    <x v="664"/>
    <n v="36801"/>
    <x v="10"/>
    <d v="2015-05-06T00:00:00"/>
    <x v="1415"/>
    <n v="26"/>
    <n v="93.57"/>
    <n v="88298"/>
  </r>
  <r>
    <n v="20940"/>
    <x v="4"/>
    <n v="0.08"/>
    <n v="105.49"/>
    <n v="41.64"/>
    <n v="2578"/>
    <x v="848"/>
    <x v="1"/>
    <x v="1"/>
    <x v="1"/>
    <x v="11"/>
    <x v="5"/>
    <x v="778"/>
    <n v="0.75"/>
    <x v="0"/>
    <x v="3"/>
    <x v="43"/>
    <x v="664"/>
    <n v="36801"/>
    <x v="10"/>
    <d v="2015-05-09T00:00:00"/>
    <x v="1416"/>
    <n v="34"/>
    <n v="2694.49"/>
    <n v="88298"/>
  </r>
  <r>
    <n v="23705"/>
    <x v="0"/>
    <n v="0.09"/>
    <n v="212.6"/>
    <n v="52.2"/>
    <n v="2579"/>
    <x v="849"/>
    <x v="1"/>
    <x v="1"/>
    <x v="1"/>
    <x v="11"/>
    <x v="5"/>
    <x v="482"/>
    <n v="0.64"/>
    <x v="0"/>
    <x v="3"/>
    <x v="43"/>
    <x v="665"/>
    <n v="36869"/>
    <x v="35"/>
    <d v="2015-01-04T00:00:00"/>
    <x v="1417"/>
    <n v="1"/>
    <n v="174.5"/>
    <n v="88296"/>
  </r>
  <r>
    <n v="22508"/>
    <x v="3"/>
    <n v="7.0000000000000007E-2"/>
    <n v="1.76"/>
    <n v="4.8600000000000003"/>
    <n v="2579"/>
    <x v="849"/>
    <x v="2"/>
    <x v="1"/>
    <x v="1"/>
    <x v="2"/>
    <x v="3"/>
    <x v="620"/>
    <n v="0.41"/>
    <x v="0"/>
    <x v="3"/>
    <x v="43"/>
    <x v="665"/>
    <n v="36869"/>
    <x v="60"/>
    <d v="2015-01-17T00:00:00"/>
    <x v="1418"/>
    <n v="15"/>
    <n v="26.01"/>
    <n v="88297"/>
  </r>
  <r>
    <n v="19123"/>
    <x v="3"/>
    <n v="0.04"/>
    <n v="510.14"/>
    <n v="14.7"/>
    <n v="2583"/>
    <x v="850"/>
    <x v="1"/>
    <x v="1"/>
    <x v="2"/>
    <x v="6"/>
    <x v="1"/>
    <x v="779"/>
    <n v="0.56000000000000005"/>
    <x v="0"/>
    <x v="2"/>
    <x v="22"/>
    <x v="666"/>
    <n v="49423"/>
    <x v="31"/>
    <d v="2015-06-09T00:00:00"/>
    <x v="1419"/>
    <n v="3"/>
    <n v="1527.97"/>
    <n v="89657"/>
  </r>
  <r>
    <n v="19124"/>
    <x v="3"/>
    <n v="0"/>
    <n v="4.76"/>
    <n v="3.01"/>
    <n v="2583"/>
    <x v="850"/>
    <x v="2"/>
    <x v="1"/>
    <x v="0"/>
    <x v="7"/>
    <x v="0"/>
    <x v="780"/>
    <n v="0.36"/>
    <x v="0"/>
    <x v="2"/>
    <x v="22"/>
    <x v="666"/>
    <n v="49423"/>
    <x v="31"/>
    <d v="2015-06-09T00:00:00"/>
    <x v="1420"/>
    <n v="23"/>
    <n v="110.86"/>
    <n v="89657"/>
  </r>
  <r>
    <n v="19134"/>
    <x v="2"/>
    <n v="0.04"/>
    <n v="6.3"/>
    <n v="0.5"/>
    <n v="2584"/>
    <x v="851"/>
    <x v="2"/>
    <x v="1"/>
    <x v="0"/>
    <x v="9"/>
    <x v="3"/>
    <x v="421"/>
    <n v="0.39"/>
    <x v="0"/>
    <x v="2"/>
    <x v="22"/>
    <x v="667"/>
    <n v="48141"/>
    <x v="62"/>
    <d v="2015-06-11T00:00:00"/>
    <x v="1421"/>
    <n v="15"/>
    <n v="97.98"/>
    <n v="89658"/>
  </r>
  <r>
    <n v="20976"/>
    <x v="3"/>
    <n v="0.01"/>
    <n v="6.48"/>
    <n v="6.57"/>
    <n v="2587"/>
    <x v="852"/>
    <x v="0"/>
    <x v="1"/>
    <x v="0"/>
    <x v="7"/>
    <x v="3"/>
    <x v="781"/>
    <n v="0.37"/>
    <x v="0"/>
    <x v="2"/>
    <x v="45"/>
    <x v="668"/>
    <n v="54220"/>
    <x v="136"/>
    <d v="2015-02-28T00:00:00"/>
    <x v="1422"/>
    <n v="18"/>
    <n v="127.83"/>
    <n v="91166"/>
  </r>
  <r>
    <n v="20810"/>
    <x v="1"/>
    <n v="0.02"/>
    <n v="22.72"/>
    <n v="8.99"/>
    <n v="2587"/>
    <x v="852"/>
    <x v="2"/>
    <x v="1"/>
    <x v="1"/>
    <x v="2"/>
    <x v="2"/>
    <x v="275"/>
    <n v="0.44"/>
    <x v="0"/>
    <x v="2"/>
    <x v="45"/>
    <x v="668"/>
    <n v="54220"/>
    <x v="175"/>
    <d v="2015-06-26T00:00:00"/>
    <x v="1423"/>
    <n v="12"/>
    <n v="289.88"/>
    <n v="91167"/>
  </r>
  <r>
    <n v="22275"/>
    <x v="4"/>
    <n v="0.02"/>
    <n v="419.19"/>
    <n v="19.989999999999998"/>
    <n v="2593"/>
    <x v="853"/>
    <x v="2"/>
    <x v="0"/>
    <x v="0"/>
    <x v="10"/>
    <x v="3"/>
    <x v="260"/>
    <n v="0.57999999999999996"/>
    <x v="0"/>
    <x v="3"/>
    <x v="29"/>
    <x v="669"/>
    <n v="30605"/>
    <x v="89"/>
    <d v="2015-04-17T00:00:00"/>
    <x v="1424"/>
    <n v="10"/>
    <n v="4354.55"/>
    <n v="87772"/>
  </r>
  <r>
    <n v="23765"/>
    <x v="4"/>
    <n v="0.01"/>
    <n v="85.99"/>
    <n v="0.99"/>
    <n v="2593"/>
    <x v="853"/>
    <x v="2"/>
    <x v="0"/>
    <x v="2"/>
    <x v="5"/>
    <x v="0"/>
    <x v="163"/>
    <n v="0.85"/>
    <x v="0"/>
    <x v="3"/>
    <x v="29"/>
    <x v="669"/>
    <n v="30605"/>
    <x v="14"/>
    <d v="2015-03-17T00:00:00"/>
    <x v="1425"/>
    <n v="2"/>
    <n v="146.16999999999999"/>
    <n v="87773"/>
  </r>
  <r>
    <n v="19859"/>
    <x v="4"/>
    <n v="0.05"/>
    <n v="5.74"/>
    <n v="5.3"/>
    <n v="2601"/>
    <x v="854"/>
    <x v="2"/>
    <x v="0"/>
    <x v="0"/>
    <x v="12"/>
    <x v="2"/>
    <x v="782"/>
    <n v="0.55000000000000004"/>
    <x v="0"/>
    <x v="1"/>
    <x v="16"/>
    <x v="670"/>
    <n v="3054"/>
    <x v="68"/>
    <d v="2015-03-26T00:00:00"/>
    <x v="1426"/>
    <n v="7"/>
    <n v="42.02"/>
    <n v="87382"/>
  </r>
  <r>
    <n v="20849"/>
    <x v="2"/>
    <n v="7.0000000000000007E-2"/>
    <n v="200.99"/>
    <n v="4.2"/>
    <n v="2603"/>
    <x v="855"/>
    <x v="2"/>
    <x v="0"/>
    <x v="2"/>
    <x v="5"/>
    <x v="3"/>
    <x v="186"/>
    <n v="0.59"/>
    <x v="0"/>
    <x v="1"/>
    <x v="2"/>
    <x v="671"/>
    <n v="7601"/>
    <x v="121"/>
    <d v="2015-04-06T00:00:00"/>
    <x v="1427"/>
    <n v="22"/>
    <n v="3705.14"/>
    <n v="87383"/>
  </r>
  <r>
    <n v="20850"/>
    <x v="2"/>
    <n v="0.01"/>
    <n v="297.48"/>
    <n v="18.059999999999999"/>
    <n v="2604"/>
    <x v="856"/>
    <x v="1"/>
    <x v="0"/>
    <x v="2"/>
    <x v="6"/>
    <x v="1"/>
    <x v="192"/>
    <n v="0.6"/>
    <x v="0"/>
    <x v="1"/>
    <x v="2"/>
    <x v="672"/>
    <n v="8830"/>
    <x v="121"/>
    <d v="2015-04-06T00:00:00"/>
    <x v="1428"/>
    <n v="3"/>
    <n v="945.36"/>
    <n v="87383"/>
  </r>
  <r>
    <n v="18046"/>
    <x v="0"/>
    <n v="0.09"/>
    <n v="5.4"/>
    <n v="7.78"/>
    <n v="2610"/>
    <x v="857"/>
    <x v="2"/>
    <x v="0"/>
    <x v="0"/>
    <x v="8"/>
    <x v="3"/>
    <x v="97"/>
    <n v="0.37"/>
    <x v="0"/>
    <x v="0"/>
    <x v="1"/>
    <x v="663"/>
    <n v="95616"/>
    <x v="41"/>
    <d v="2015-05-17T00:00:00"/>
    <x v="1429"/>
    <n v="9"/>
    <n v="49.24"/>
    <n v="86118"/>
  </r>
  <r>
    <n v="19971"/>
    <x v="4"/>
    <n v="0.02"/>
    <n v="50.98"/>
    <n v="13.66"/>
    <n v="2613"/>
    <x v="858"/>
    <x v="0"/>
    <x v="0"/>
    <x v="0"/>
    <x v="15"/>
    <x v="3"/>
    <x v="783"/>
    <n v="0.57999999999999996"/>
    <x v="0"/>
    <x v="1"/>
    <x v="2"/>
    <x v="673"/>
    <n v="8863"/>
    <x v="76"/>
    <d v="2015-01-24T00:00:00"/>
    <x v="1430"/>
    <n v="1"/>
    <n v="68.45"/>
    <n v="86119"/>
  </r>
  <r>
    <n v="25962"/>
    <x v="2"/>
    <n v="0"/>
    <n v="2.6"/>
    <n v="2.4"/>
    <n v="2616"/>
    <x v="859"/>
    <x v="2"/>
    <x v="0"/>
    <x v="0"/>
    <x v="0"/>
    <x v="0"/>
    <x v="371"/>
    <n v="0.57999999999999996"/>
    <x v="0"/>
    <x v="2"/>
    <x v="22"/>
    <x v="674"/>
    <n v="49002"/>
    <x v="140"/>
    <d v="2015-03-13T00:00:00"/>
    <x v="1431"/>
    <n v="16"/>
    <n v="44.75"/>
    <n v="91495"/>
  </r>
  <r>
    <n v="25478"/>
    <x v="1"/>
    <n v="0.1"/>
    <n v="3.25"/>
    <n v="49"/>
    <n v="2617"/>
    <x v="860"/>
    <x v="2"/>
    <x v="0"/>
    <x v="0"/>
    <x v="15"/>
    <x v="6"/>
    <x v="648"/>
    <n v="0.56000000000000005"/>
    <x v="0"/>
    <x v="2"/>
    <x v="46"/>
    <x v="675"/>
    <n v="57401"/>
    <x v="150"/>
    <d v="2015-06-28T00:00:00"/>
    <x v="1432"/>
    <n v="6"/>
    <n v="40.69"/>
    <n v="91496"/>
  </r>
  <r>
    <n v="6585"/>
    <x v="3"/>
    <n v="0.1"/>
    <n v="7.64"/>
    <n v="1.39"/>
    <n v="2618"/>
    <x v="861"/>
    <x v="2"/>
    <x v="0"/>
    <x v="0"/>
    <x v="4"/>
    <x v="3"/>
    <x v="784"/>
    <n v="0.36"/>
    <x v="0"/>
    <x v="1"/>
    <x v="4"/>
    <x v="8"/>
    <n v="10004"/>
    <x v="60"/>
    <d v="2015-01-19T00:00:00"/>
    <x v="1433"/>
    <n v="18"/>
    <n v="130.11000000000001"/>
    <n v="46884"/>
  </r>
  <r>
    <n v="6586"/>
    <x v="3"/>
    <n v="0"/>
    <n v="125.99"/>
    <n v="2.5"/>
    <n v="2618"/>
    <x v="861"/>
    <x v="2"/>
    <x v="0"/>
    <x v="2"/>
    <x v="5"/>
    <x v="3"/>
    <x v="785"/>
    <n v="0.59"/>
    <x v="0"/>
    <x v="1"/>
    <x v="4"/>
    <x v="8"/>
    <n v="10004"/>
    <x v="60"/>
    <d v="2015-01-19T00:00:00"/>
    <x v="1434"/>
    <n v="3"/>
    <n v="337.34"/>
    <n v="46884"/>
  </r>
  <r>
    <n v="6587"/>
    <x v="3"/>
    <n v="0.1"/>
    <n v="11.55"/>
    <n v="2.36"/>
    <n v="2618"/>
    <x v="861"/>
    <x v="2"/>
    <x v="0"/>
    <x v="0"/>
    <x v="0"/>
    <x v="0"/>
    <x v="99"/>
    <n v="0.55000000000000004"/>
    <x v="0"/>
    <x v="1"/>
    <x v="4"/>
    <x v="8"/>
    <n v="10004"/>
    <x v="60"/>
    <d v="2015-01-18T00:00:00"/>
    <x v="1435"/>
    <n v="25"/>
    <n v="280.43"/>
    <n v="46884"/>
  </r>
  <r>
    <n v="4788"/>
    <x v="0"/>
    <n v="0.05"/>
    <n v="4.84"/>
    <n v="0.71"/>
    <n v="2618"/>
    <x v="861"/>
    <x v="0"/>
    <x v="0"/>
    <x v="0"/>
    <x v="0"/>
    <x v="0"/>
    <x v="525"/>
    <n v="0.52"/>
    <x v="0"/>
    <x v="1"/>
    <x v="4"/>
    <x v="8"/>
    <n v="10004"/>
    <x v="165"/>
    <d v="2015-03-23T00:00:00"/>
    <x v="1436"/>
    <n v="20"/>
    <n v="103.39"/>
    <n v="34017"/>
  </r>
  <r>
    <n v="4789"/>
    <x v="0"/>
    <n v="0.01"/>
    <n v="14.98"/>
    <n v="7.69"/>
    <n v="2618"/>
    <x v="861"/>
    <x v="2"/>
    <x v="0"/>
    <x v="0"/>
    <x v="10"/>
    <x v="3"/>
    <x v="607"/>
    <n v="0.56999999999999995"/>
    <x v="0"/>
    <x v="1"/>
    <x v="4"/>
    <x v="8"/>
    <n v="10004"/>
    <x v="165"/>
    <d v="2015-03-25T00:00:00"/>
    <x v="1437"/>
    <n v="28"/>
    <n v="435.39"/>
    <n v="34017"/>
  </r>
  <r>
    <n v="7452"/>
    <x v="2"/>
    <n v="0.1"/>
    <n v="20.27"/>
    <n v="3.99"/>
    <n v="2618"/>
    <x v="861"/>
    <x v="2"/>
    <x v="0"/>
    <x v="0"/>
    <x v="15"/>
    <x v="3"/>
    <x v="535"/>
    <n v="0.56999999999999995"/>
    <x v="0"/>
    <x v="1"/>
    <x v="4"/>
    <x v="8"/>
    <n v="10004"/>
    <x v="165"/>
    <d v="2015-03-24T00:00:00"/>
    <x v="1438"/>
    <n v="53"/>
    <n v="1051.52"/>
    <n v="53153"/>
  </r>
  <r>
    <n v="22788"/>
    <x v="0"/>
    <n v="0.05"/>
    <n v="4.84"/>
    <n v="0.71"/>
    <n v="2619"/>
    <x v="862"/>
    <x v="0"/>
    <x v="0"/>
    <x v="0"/>
    <x v="0"/>
    <x v="0"/>
    <x v="525"/>
    <n v="0.52"/>
    <x v="0"/>
    <x v="2"/>
    <x v="46"/>
    <x v="676"/>
    <n v="57103"/>
    <x v="165"/>
    <d v="2015-03-23T00:00:00"/>
    <x v="1439"/>
    <n v="5"/>
    <n v="25.85"/>
    <n v="88014"/>
  </r>
  <r>
    <n v="18461"/>
    <x v="1"/>
    <n v="0.1"/>
    <n v="30.98"/>
    <n v="8.99"/>
    <n v="2619"/>
    <x v="862"/>
    <x v="2"/>
    <x v="0"/>
    <x v="0"/>
    <x v="0"/>
    <x v="2"/>
    <x v="548"/>
    <n v="0.57999999999999996"/>
    <x v="0"/>
    <x v="2"/>
    <x v="46"/>
    <x v="676"/>
    <n v="57103"/>
    <x v="170"/>
    <d v="2015-02-11T00:00:00"/>
    <x v="1440"/>
    <n v="4"/>
    <n v="119.37"/>
    <n v="88015"/>
  </r>
  <r>
    <n v="25452"/>
    <x v="2"/>
    <n v="0.1"/>
    <n v="20.27"/>
    <n v="3.99"/>
    <n v="2620"/>
    <x v="863"/>
    <x v="2"/>
    <x v="0"/>
    <x v="0"/>
    <x v="15"/>
    <x v="3"/>
    <x v="535"/>
    <n v="0.56999999999999995"/>
    <x v="0"/>
    <x v="3"/>
    <x v="20"/>
    <x v="677"/>
    <n v="38134"/>
    <x v="165"/>
    <d v="2015-03-24T00:00:00"/>
    <x v="1441"/>
    <n v="13"/>
    <n v="257.92"/>
    <n v="88017"/>
  </r>
  <r>
    <n v="26296"/>
    <x v="0"/>
    <n v="0.03"/>
    <n v="40.97"/>
    <n v="8.99"/>
    <n v="2621"/>
    <x v="864"/>
    <x v="0"/>
    <x v="0"/>
    <x v="0"/>
    <x v="0"/>
    <x v="2"/>
    <x v="786"/>
    <n v="0.59"/>
    <x v="0"/>
    <x v="3"/>
    <x v="20"/>
    <x v="678"/>
    <n v="37027"/>
    <x v="91"/>
    <d v="2015-03-20T00:00:00"/>
    <x v="1442"/>
    <n v="5"/>
    <n v="207.22"/>
    <n v="88016"/>
  </r>
  <r>
    <n v="26032"/>
    <x v="0"/>
    <n v="0.1"/>
    <n v="41.94"/>
    <n v="2.99"/>
    <n v="2626"/>
    <x v="865"/>
    <x v="2"/>
    <x v="3"/>
    <x v="0"/>
    <x v="8"/>
    <x v="3"/>
    <x v="787"/>
    <n v="0.35"/>
    <x v="0"/>
    <x v="0"/>
    <x v="1"/>
    <x v="370"/>
    <n v="94025"/>
    <x v="131"/>
    <d v="2015-02-08T00:00:00"/>
    <x v="1443"/>
    <n v="6"/>
    <n v="237.8"/>
    <n v="90927"/>
  </r>
  <r>
    <n v="18623"/>
    <x v="3"/>
    <n v="0.02"/>
    <n v="30.53"/>
    <n v="19.989999999999998"/>
    <n v="2628"/>
    <x v="866"/>
    <x v="0"/>
    <x v="0"/>
    <x v="0"/>
    <x v="9"/>
    <x v="3"/>
    <x v="244"/>
    <n v="0.39"/>
    <x v="0"/>
    <x v="2"/>
    <x v="23"/>
    <x v="627"/>
    <n v="73160"/>
    <x v="60"/>
    <d v="2015-01-19T00:00:00"/>
    <x v="1444"/>
    <n v="14"/>
    <n v="448.47"/>
    <n v="85916"/>
  </r>
  <r>
    <n v="21981"/>
    <x v="2"/>
    <n v="0.01"/>
    <n v="194.3"/>
    <n v="11.54"/>
    <n v="2630"/>
    <x v="867"/>
    <x v="2"/>
    <x v="2"/>
    <x v="1"/>
    <x v="2"/>
    <x v="6"/>
    <x v="423"/>
    <n v="0.59"/>
    <x v="0"/>
    <x v="2"/>
    <x v="23"/>
    <x v="679"/>
    <n v="73071"/>
    <x v="99"/>
    <d v="2015-01-07T00:00:00"/>
    <x v="1445"/>
    <n v="5"/>
    <n v="1000.26"/>
    <n v="85914"/>
  </r>
  <r>
    <n v="21982"/>
    <x v="2"/>
    <n v="0.02"/>
    <n v="209.84"/>
    <n v="21.21"/>
    <n v="2630"/>
    <x v="867"/>
    <x v="2"/>
    <x v="2"/>
    <x v="1"/>
    <x v="2"/>
    <x v="6"/>
    <x v="422"/>
    <n v="0.59"/>
    <x v="0"/>
    <x v="2"/>
    <x v="23"/>
    <x v="679"/>
    <n v="73071"/>
    <x v="99"/>
    <d v="2015-01-06T00:00:00"/>
    <x v="1446"/>
    <n v="10"/>
    <n v="2184.9899999999998"/>
    <n v="85914"/>
  </r>
  <r>
    <n v="21983"/>
    <x v="2"/>
    <n v="0"/>
    <n v="145.44999999999999"/>
    <n v="17.850000000000001"/>
    <n v="2630"/>
    <x v="867"/>
    <x v="1"/>
    <x v="2"/>
    <x v="2"/>
    <x v="6"/>
    <x v="1"/>
    <x v="390"/>
    <n v="0.56000000000000005"/>
    <x v="0"/>
    <x v="2"/>
    <x v="23"/>
    <x v="679"/>
    <n v="73071"/>
    <x v="99"/>
    <d v="2015-01-07T00:00:00"/>
    <x v="1447"/>
    <n v="8"/>
    <n v="1191.2"/>
    <n v="85914"/>
  </r>
  <r>
    <n v="22540"/>
    <x v="0"/>
    <n v="7.0000000000000007E-2"/>
    <n v="65.989999999999995"/>
    <n v="5.99"/>
    <n v="2630"/>
    <x v="867"/>
    <x v="2"/>
    <x v="2"/>
    <x v="2"/>
    <x v="5"/>
    <x v="3"/>
    <x v="788"/>
    <n v="0.57999999999999996"/>
    <x v="0"/>
    <x v="2"/>
    <x v="23"/>
    <x v="679"/>
    <n v="73071"/>
    <x v="0"/>
    <d v="2015-01-08T00:00:00"/>
    <x v="1448"/>
    <n v="3"/>
    <n v="165.71"/>
    <n v="85915"/>
  </r>
  <r>
    <n v="25594"/>
    <x v="4"/>
    <n v="0.05"/>
    <n v="100.97"/>
    <n v="7.18"/>
    <n v="2638"/>
    <x v="868"/>
    <x v="0"/>
    <x v="3"/>
    <x v="2"/>
    <x v="13"/>
    <x v="3"/>
    <x v="707"/>
    <n v="0.46"/>
    <x v="0"/>
    <x v="0"/>
    <x v="44"/>
    <x v="680"/>
    <n v="83704"/>
    <x v="178"/>
    <d v="2015-06-08T00:00:00"/>
    <x v="1449"/>
    <n v="13"/>
    <n v="1277.49"/>
    <n v="90951"/>
  </r>
  <r>
    <n v="21041"/>
    <x v="1"/>
    <n v="0.05"/>
    <n v="4.9800000000000004"/>
    <n v="0.49"/>
    <n v="2639"/>
    <x v="869"/>
    <x v="2"/>
    <x v="3"/>
    <x v="0"/>
    <x v="9"/>
    <x v="3"/>
    <x v="509"/>
    <n v="0.39"/>
    <x v="0"/>
    <x v="0"/>
    <x v="27"/>
    <x v="151"/>
    <n v="88201"/>
    <x v="91"/>
    <d v="2015-03-19T00:00:00"/>
    <x v="1450"/>
    <n v="3"/>
    <n v="14.2"/>
    <n v="90952"/>
  </r>
  <r>
    <n v="22438"/>
    <x v="4"/>
    <n v="0.1"/>
    <n v="10.98"/>
    <n v="3.99"/>
    <n v="2647"/>
    <x v="870"/>
    <x v="2"/>
    <x v="0"/>
    <x v="0"/>
    <x v="15"/>
    <x v="3"/>
    <x v="555"/>
    <n v="0.57999999999999996"/>
    <x v="0"/>
    <x v="0"/>
    <x v="1"/>
    <x v="681"/>
    <n v="93309"/>
    <x v="83"/>
    <d v="2015-03-24T00:00:00"/>
    <x v="1451"/>
    <n v="5"/>
    <n v="52.21"/>
    <n v="91386"/>
  </r>
  <r>
    <n v="22439"/>
    <x v="4"/>
    <n v="0.01"/>
    <n v="39.979999999999997"/>
    <n v="9.1999999999999993"/>
    <n v="2647"/>
    <x v="870"/>
    <x v="2"/>
    <x v="0"/>
    <x v="1"/>
    <x v="2"/>
    <x v="0"/>
    <x v="789"/>
    <n v="0.65"/>
    <x v="0"/>
    <x v="0"/>
    <x v="1"/>
    <x v="681"/>
    <n v="93309"/>
    <x v="83"/>
    <d v="2015-03-19T00:00:00"/>
    <x v="1452"/>
    <n v="4"/>
    <n v="170.32"/>
    <n v="91386"/>
  </r>
  <r>
    <n v="18720"/>
    <x v="0"/>
    <n v="0.01"/>
    <n v="39.979999999999997"/>
    <n v="4"/>
    <n v="2649"/>
    <x v="871"/>
    <x v="2"/>
    <x v="0"/>
    <x v="2"/>
    <x v="13"/>
    <x v="3"/>
    <x v="74"/>
    <n v="0.7"/>
    <x v="0"/>
    <x v="1"/>
    <x v="30"/>
    <x v="608"/>
    <n v="21040"/>
    <x v="164"/>
    <d v="2015-06-12T00:00:00"/>
    <x v="1453"/>
    <n v="5"/>
    <n v="203.29"/>
    <n v="88814"/>
  </r>
  <r>
    <n v="22904"/>
    <x v="2"/>
    <n v="0.05"/>
    <n v="35.99"/>
    <n v="5.99"/>
    <n v="2650"/>
    <x v="872"/>
    <x v="2"/>
    <x v="0"/>
    <x v="2"/>
    <x v="5"/>
    <x v="0"/>
    <x v="351"/>
    <n v="0.38"/>
    <x v="0"/>
    <x v="1"/>
    <x v="19"/>
    <x v="682"/>
    <n v="15234"/>
    <x v="82"/>
    <d v="2015-05-05T00:00:00"/>
    <x v="1454"/>
    <n v="26"/>
    <n v="759.88"/>
    <n v="88815"/>
  </r>
  <r>
    <n v="18949"/>
    <x v="3"/>
    <n v="0.06"/>
    <n v="47.9"/>
    <n v="5.86"/>
    <n v="2652"/>
    <x v="873"/>
    <x v="2"/>
    <x v="3"/>
    <x v="0"/>
    <x v="7"/>
    <x v="3"/>
    <x v="661"/>
    <n v="0.37"/>
    <x v="0"/>
    <x v="0"/>
    <x v="1"/>
    <x v="681"/>
    <n v="93309"/>
    <x v="40"/>
    <d v="2015-05-27T00:00:00"/>
    <x v="1455"/>
    <n v="2"/>
    <n v="94.2"/>
    <n v="89361"/>
  </r>
  <r>
    <n v="25662"/>
    <x v="1"/>
    <n v="0.05"/>
    <n v="4.9800000000000004"/>
    <n v="4.62"/>
    <n v="2653"/>
    <x v="874"/>
    <x v="2"/>
    <x v="3"/>
    <x v="2"/>
    <x v="13"/>
    <x v="2"/>
    <x v="139"/>
    <n v="0.64"/>
    <x v="0"/>
    <x v="2"/>
    <x v="13"/>
    <x v="683"/>
    <n v="67037"/>
    <x v="11"/>
    <d v="2015-02-23T00:00:00"/>
    <x v="1456"/>
    <n v="7"/>
    <n v="34.32"/>
    <n v="89360"/>
  </r>
  <r>
    <n v="25663"/>
    <x v="1"/>
    <n v="0.02"/>
    <n v="34.229999999999997"/>
    <n v="5.0199999999999996"/>
    <n v="2653"/>
    <x v="874"/>
    <x v="2"/>
    <x v="3"/>
    <x v="1"/>
    <x v="2"/>
    <x v="3"/>
    <x v="492"/>
    <n v="0.55000000000000004"/>
    <x v="0"/>
    <x v="2"/>
    <x v="13"/>
    <x v="683"/>
    <n v="67037"/>
    <x v="11"/>
    <d v="2015-02-24T00:00:00"/>
    <x v="1457"/>
    <n v="11"/>
    <n v="392.45"/>
    <n v="89360"/>
  </r>
  <r>
    <n v="19131"/>
    <x v="3"/>
    <n v="0.09"/>
    <n v="89.99"/>
    <n v="42"/>
    <n v="2655"/>
    <x v="875"/>
    <x v="1"/>
    <x v="3"/>
    <x v="1"/>
    <x v="1"/>
    <x v="1"/>
    <x v="790"/>
    <n v="0.66"/>
    <x v="0"/>
    <x v="3"/>
    <x v="29"/>
    <x v="135"/>
    <n v="30318"/>
    <x v="106"/>
    <d v="2015-04-18T00:00:00"/>
    <x v="1458"/>
    <n v="6"/>
    <n v="511.25"/>
    <n v="86063"/>
  </r>
  <r>
    <n v="22938"/>
    <x v="2"/>
    <n v="7.0000000000000007E-2"/>
    <n v="2.94"/>
    <n v="0.81"/>
    <n v="2655"/>
    <x v="875"/>
    <x v="2"/>
    <x v="0"/>
    <x v="0"/>
    <x v="0"/>
    <x v="0"/>
    <x v="791"/>
    <n v="0.4"/>
    <x v="0"/>
    <x v="3"/>
    <x v="29"/>
    <x v="135"/>
    <n v="30318"/>
    <x v="4"/>
    <d v="2015-04-09T00:00:00"/>
    <x v="1459"/>
    <n v="10"/>
    <n v="29.88"/>
    <n v="86064"/>
  </r>
  <r>
    <n v="19525"/>
    <x v="2"/>
    <n v="0.01"/>
    <n v="138.13999999999999"/>
    <n v="35"/>
    <n v="2660"/>
    <x v="876"/>
    <x v="2"/>
    <x v="2"/>
    <x v="0"/>
    <x v="10"/>
    <x v="6"/>
    <x v="792"/>
    <m/>
    <x v="0"/>
    <x v="1"/>
    <x v="14"/>
    <x v="269"/>
    <n v="4038"/>
    <x v="152"/>
    <d v="2015-02-26T00:00:00"/>
    <x v="1460"/>
    <n v="4"/>
    <n v="599.03"/>
    <n v="86486"/>
  </r>
  <r>
    <n v="18400"/>
    <x v="0"/>
    <n v="0.04"/>
    <n v="90.24"/>
    <n v="0.99"/>
    <n v="2667"/>
    <x v="877"/>
    <x v="2"/>
    <x v="1"/>
    <x v="0"/>
    <x v="15"/>
    <x v="3"/>
    <x v="793"/>
    <n v="0.56000000000000005"/>
    <x v="0"/>
    <x v="1"/>
    <x v="10"/>
    <x v="10"/>
    <n v="44107"/>
    <x v="57"/>
    <d v="2015-04-04T00:00:00"/>
    <x v="1461"/>
    <n v="4"/>
    <n v="356.92"/>
    <n v="87831"/>
  </r>
  <r>
    <n v="18401"/>
    <x v="0"/>
    <n v="0.09"/>
    <n v="47.9"/>
    <n v="5.86"/>
    <n v="2667"/>
    <x v="877"/>
    <x v="0"/>
    <x v="1"/>
    <x v="0"/>
    <x v="7"/>
    <x v="3"/>
    <x v="661"/>
    <n v="0.37"/>
    <x v="0"/>
    <x v="1"/>
    <x v="10"/>
    <x v="10"/>
    <n v="44107"/>
    <x v="57"/>
    <d v="2015-04-04T00:00:00"/>
    <x v="1462"/>
    <n v="3"/>
    <n v="136.16"/>
    <n v="87831"/>
  </r>
  <r>
    <n v="19294"/>
    <x v="0"/>
    <n v="0.04"/>
    <n v="10.4"/>
    <n v="5.4"/>
    <n v="2668"/>
    <x v="878"/>
    <x v="2"/>
    <x v="0"/>
    <x v="1"/>
    <x v="2"/>
    <x v="2"/>
    <x v="794"/>
    <n v="0.51"/>
    <x v="0"/>
    <x v="2"/>
    <x v="46"/>
    <x v="684"/>
    <n v="57701"/>
    <x v="145"/>
    <d v="2015-03-29T00:00:00"/>
    <x v="1463"/>
    <n v="12"/>
    <n v="130.74"/>
    <n v="87830"/>
  </r>
  <r>
    <n v="19295"/>
    <x v="0"/>
    <n v="0.08"/>
    <n v="4.28"/>
    <n v="4.79"/>
    <n v="2668"/>
    <x v="878"/>
    <x v="2"/>
    <x v="0"/>
    <x v="0"/>
    <x v="7"/>
    <x v="3"/>
    <x v="795"/>
    <n v="0.4"/>
    <x v="0"/>
    <x v="2"/>
    <x v="46"/>
    <x v="684"/>
    <n v="57701"/>
    <x v="145"/>
    <d v="2015-03-30T00:00:00"/>
    <x v="1464"/>
    <n v="12"/>
    <n v="49.87"/>
    <n v="87830"/>
  </r>
  <r>
    <n v="18870"/>
    <x v="1"/>
    <n v="0.06"/>
    <n v="3.93"/>
    <n v="0.99"/>
    <n v="2668"/>
    <x v="878"/>
    <x v="2"/>
    <x v="1"/>
    <x v="0"/>
    <x v="3"/>
    <x v="0"/>
    <x v="796"/>
    <n v="0.39"/>
    <x v="0"/>
    <x v="2"/>
    <x v="46"/>
    <x v="684"/>
    <n v="57701"/>
    <x v="109"/>
    <d v="2015-04-23T00:00:00"/>
    <x v="1465"/>
    <n v="6"/>
    <n v="24.18"/>
    <n v="87832"/>
  </r>
  <r>
    <n v="5338"/>
    <x v="0"/>
    <n v="0.05"/>
    <n v="165.2"/>
    <n v="19.989999999999998"/>
    <n v="2670"/>
    <x v="879"/>
    <x v="2"/>
    <x v="1"/>
    <x v="0"/>
    <x v="10"/>
    <x v="3"/>
    <x v="191"/>
    <n v="0.59"/>
    <x v="0"/>
    <x v="0"/>
    <x v="1"/>
    <x v="154"/>
    <n v="90049"/>
    <x v="124"/>
    <d v="2015-05-29T00:00:00"/>
    <x v="1466"/>
    <n v="167"/>
    <n v="27587.55"/>
    <n v="37924"/>
  </r>
  <r>
    <n v="5339"/>
    <x v="0"/>
    <n v="0.09"/>
    <n v="17.989999999999998"/>
    <n v="8.65"/>
    <n v="2670"/>
    <x v="879"/>
    <x v="2"/>
    <x v="1"/>
    <x v="0"/>
    <x v="0"/>
    <x v="3"/>
    <x v="797"/>
    <n v="0.56999999999999995"/>
    <x v="0"/>
    <x v="0"/>
    <x v="1"/>
    <x v="154"/>
    <n v="90049"/>
    <x v="124"/>
    <d v="2015-05-29T00:00:00"/>
    <x v="1467"/>
    <n v="71"/>
    <n v="1191.58"/>
    <n v="37924"/>
  </r>
  <r>
    <n v="23338"/>
    <x v="0"/>
    <n v="0.05"/>
    <n v="165.2"/>
    <n v="19.989999999999998"/>
    <n v="2671"/>
    <x v="880"/>
    <x v="2"/>
    <x v="1"/>
    <x v="0"/>
    <x v="10"/>
    <x v="3"/>
    <x v="191"/>
    <n v="0.59"/>
    <x v="0"/>
    <x v="3"/>
    <x v="20"/>
    <x v="678"/>
    <n v="37027"/>
    <x v="124"/>
    <d v="2015-05-29T00:00:00"/>
    <x v="1468"/>
    <n v="42"/>
    <n v="6938.19"/>
    <n v="90551"/>
  </r>
  <r>
    <n v="18147"/>
    <x v="2"/>
    <n v="0.03"/>
    <n v="41.32"/>
    <n v="58.66"/>
    <n v="2677"/>
    <x v="881"/>
    <x v="0"/>
    <x v="2"/>
    <x v="1"/>
    <x v="2"/>
    <x v="4"/>
    <x v="798"/>
    <n v="0.76"/>
    <x v="0"/>
    <x v="3"/>
    <x v="8"/>
    <x v="685"/>
    <n v="22601"/>
    <x v="154"/>
    <d v="2015-06-17T00:00:00"/>
    <x v="1469"/>
    <n v="10"/>
    <n v="419.27"/>
    <n v="86633"/>
  </r>
  <r>
    <n v="18148"/>
    <x v="2"/>
    <n v="0"/>
    <n v="6.88"/>
    <n v="2"/>
    <n v="2677"/>
    <x v="881"/>
    <x v="2"/>
    <x v="2"/>
    <x v="0"/>
    <x v="7"/>
    <x v="0"/>
    <x v="232"/>
    <n v="0.39"/>
    <x v="0"/>
    <x v="3"/>
    <x v="8"/>
    <x v="685"/>
    <n v="22601"/>
    <x v="154"/>
    <d v="2015-06-16T00:00:00"/>
    <x v="1470"/>
    <n v="5"/>
    <n v="36"/>
    <n v="86633"/>
  </r>
  <r>
    <n v="22848"/>
    <x v="4"/>
    <n v="0.09"/>
    <n v="8.74"/>
    <n v="1.39"/>
    <n v="2684"/>
    <x v="882"/>
    <x v="0"/>
    <x v="2"/>
    <x v="0"/>
    <x v="4"/>
    <x v="3"/>
    <x v="526"/>
    <n v="0.38"/>
    <x v="0"/>
    <x v="3"/>
    <x v="26"/>
    <x v="686"/>
    <n v="33952"/>
    <x v="2"/>
    <d v="2015-02-20T00:00:00"/>
    <x v="1471"/>
    <n v="1"/>
    <n v="11.78"/>
    <n v="89146"/>
  </r>
  <r>
    <n v="22849"/>
    <x v="4"/>
    <n v="0.09"/>
    <n v="18.97"/>
    <n v="9.0299999999999994"/>
    <n v="2684"/>
    <x v="882"/>
    <x v="2"/>
    <x v="2"/>
    <x v="0"/>
    <x v="7"/>
    <x v="3"/>
    <x v="273"/>
    <n v="0.37"/>
    <x v="0"/>
    <x v="3"/>
    <x v="26"/>
    <x v="686"/>
    <n v="33952"/>
    <x v="2"/>
    <d v="2015-02-20T00:00:00"/>
    <x v="1472"/>
    <n v="1"/>
    <n v="20.96"/>
    <n v="89146"/>
  </r>
  <r>
    <n v="25649"/>
    <x v="4"/>
    <n v="7.0000000000000007E-2"/>
    <n v="4.97"/>
    <n v="5.71"/>
    <n v="2684"/>
    <x v="882"/>
    <x v="2"/>
    <x v="2"/>
    <x v="1"/>
    <x v="2"/>
    <x v="4"/>
    <x v="799"/>
    <n v="0.54"/>
    <x v="0"/>
    <x v="3"/>
    <x v="26"/>
    <x v="686"/>
    <n v="33952"/>
    <x v="98"/>
    <d v="2015-04-15T00:00:00"/>
    <x v="1473"/>
    <n v="5"/>
    <n v="26.66"/>
    <n v="89148"/>
  </r>
  <r>
    <n v="25650"/>
    <x v="4"/>
    <n v="0.09"/>
    <n v="2.62"/>
    <n v="0.8"/>
    <n v="2684"/>
    <x v="882"/>
    <x v="2"/>
    <x v="2"/>
    <x v="0"/>
    <x v="3"/>
    <x v="0"/>
    <x v="505"/>
    <n v="0.39"/>
    <x v="0"/>
    <x v="3"/>
    <x v="26"/>
    <x v="686"/>
    <n v="33952"/>
    <x v="98"/>
    <d v="2015-04-12T00:00:00"/>
    <x v="1474"/>
    <n v="12"/>
    <n v="29.55"/>
    <n v="89148"/>
  </r>
  <r>
    <n v="25651"/>
    <x v="4"/>
    <n v="0.03"/>
    <n v="65.989999999999995"/>
    <n v="8.8000000000000007"/>
    <n v="2684"/>
    <x v="882"/>
    <x v="2"/>
    <x v="2"/>
    <x v="2"/>
    <x v="5"/>
    <x v="3"/>
    <x v="264"/>
    <n v="0.57999999999999996"/>
    <x v="0"/>
    <x v="3"/>
    <x v="26"/>
    <x v="686"/>
    <n v="33952"/>
    <x v="98"/>
    <d v="2015-04-10T00:00:00"/>
    <x v="1475"/>
    <n v="21"/>
    <n v="1237.4000000000001"/>
    <n v="89148"/>
  </r>
  <r>
    <n v="21114"/>
    <x v="0"/>
    <n v="0"/>
    <n v="7.38"/>
    <n v="11.51"/>
    <n v="2685"/>
    <x v="883"/>
    <x v="2"/>
    <x v="2"/>
    <x v="0"/>
    <x v="8"/>
    <x v="3"/>
    <x v="800"/>
    <n v="0.36"/>
    <x v="0"/>
    <x v="1"/>
    <x v="4"/>
    <x v="687"/>
    <n v="11803"/>
    <x v="36"/>
    <d v="2015-04-05T00:00:00"/>
    <x v="1476"/>
    <n v="2"/>
    <n v="17.64"/>
    <n v="89147"/>
  </r>
  <r>
    <n v="23299"/>
    <x v="2"/>
    <n v="0.09"/>
    <n v="3.75"/>
    <n v="0.5"/>
    <n v="2689"/>
    <x v="884"/>
    <x v="2"/>
    <x v="1"/>
    <x v="0"/>
    <x v="9"/>
    <x v="3"/>
    <x v="801"/>
    <n v="0.37"/>
    <x v="0"/>
    <x v="1"/>
    <x v="2"/>
    <x v="688"/>
    <n v="7011"/>
    <x v="82"/>
    <d v="2015-05-06T00:00:00"/>
    <x v="1477"/>
    <n v="21"/>
    <n v="74.23"/>
    <n v="90624"/>
  </r>
  <r>
    <n v="23298"/>
    <x v="2"/>
    <n v="0.01"/>
    <n v="30.98"/>
    <n v="9.18"/>
    <n v="2693"/>
    <x v="885"/>
    <x v="2"/>
    <x v="1"/>
    <x v="0"/>
    <x v="7"/>
    <x v="3"/>
    <x v="768"/>
    <n v="0.4"/>
    <x v="0"/>
    <x v="1"/>
    <x v="9"/>
    <x v="268"/>
    <n v="5201"/>
    <x v="82"/>
    <d v="2015-05-04T00:00:00"/>
    <x v="1478"/>
    <n v="20"/>
    <n v="627.19000000000005"/>
    <n v="90624"/>
  </r>
  <r>
    <n v="18354"/>
    <x v="2"/>
    <n v="0.05"/>
    <n v="107.53"/>
    <n v="5.81"/>
    <n v="2696"/>
    <x v="886"/>
    <x v="2"/>
    <x v="1"/>
    <x v="1"/>
    <x v="2"/>
    <x v="4"/>
    <x v="582"/>
    <n v="0.65"/>
    <x v="0"/>
    <x v="3"/>
    <x v="43"/>
    <x v="689"/>
    <n v="35401"/>
    <x v="93"/>
    <d v="2015-03-06T00:00:00"/>
    <x v="1479"/>
    <n v="6"/>
    <n v="612.91999999999996"/>
    <n v="87676"/>
  </r>
  <r>
    <n v="19506"/>
    <x v="2"/>
    <n v="0.04"/>
    <n v="1.74"/>
    <n v="4.08"/>
    <n v="2697"/>
    <x v="887"/>
    <x v="2"/>
    <x v="0"/>
    <x v="1"/>
    <x v="2"/>
    <x v="2"/>
    <x v="60"/>
    <n v="0.53"/>
    <x v="0"/>
    <x v="3"/>
    <x v="43"/>
    <x v="690"/>
    <n v="35216"/>
    <x v="67"/>
    <d v="2015-02-25T00:00:00"/>
    <x v="1480"/>
    <n v="16"/>
    <n v="29.08"/>
    <n v="87678"/>
  </r>
  <r>
    <n v="19507"/>
    <x v="2"/>
    <n v="0.01"/>
    <n v="119.99"/>
    <n v="56.14"/>
    <n v="2697"/>
    <x v="887"/>
    <x v="1"/>
    <x v="0"/>
    <x v="2"/>
    <x v="6"/>
    <x v="5"/>
    <x v="102"/>
    <n v="0.39"/>
    <x v="0"/>
    <x v="3"/>
    <x v="43"/>
    <x v="690"/>
    <n v="35216"/>
    <x v="67"/>
    <d v="2015-02-24T00:00:00"/>
    <x v="1481"/>
    <n v="21"/>
    <n v="2569.5700000000002"/>
    <n v="87678"/>
  </r>
  <r>
    <n v="21580"/>
    <x v="2"/>
    <n v="0.06"/>
    <n v="4.9800000000000004"/>
    <n v="4.95"/>
    <n v="2699"/>
    <x v="888"/>
    <x v="2"/>
    <x v="0"/>
    <x v="0"/>
    <x v="8"/>
    <x v="3"/>
    <x v="802"/>
    <n v="0.37"/>
    <x v="0"/>
    <x v="0"/>
    <x v="28"/>
    <x v="691"/>
    <n v="86442"/>
    <x v="55"/>
    <d v="2015-05-24T00:00:00"/>
    <x v="1482"/>
    <n v="16"/>
    <n v="78.989999999999995"/>
    <n v="87677"/>
  </r>
  <r>
    <n v="20983"/>
    <x v="1"/>
    <n v="0.04"/>
    <n v="70.98"/>
    <n v="26.74"/>
    <n v="2699"/>
    <x v="888"/>
    <x v="1"/>
    <x v="0"/>
    <x v="1"/>
    <x v="14"/>
    <x v="5"/>
    <x v="803"/>
    <n v="0.6"/>
    <x v="0"/>
    <x v="0"/>
    <x v="28"/>
    <x v="691"/>
    <n v="86442"/>
    <x v="4"/>
    <d v="2015-04-10T00:00:00"/>
    <x v="1483"/>
    <n v="19"/>
    <n v="1345.33"/>
    <n v="87679"/>
  </r>
  <r>
    <n v="24151"/>
    <x v="2"/>
    <n v="0.06"/>
    <n v="3.6"/>
    <n v="2.2000000000000002"/>
    <n v="2704"/>
    <x v="889"/>
    <x v="2"/>
    <x v="3"/>
    <x v="0"/>
    <x v="7"/>
    <x v="0"/>
    <x v="587"/>
    <n v="0.39"/>
    <x v="0"/>
    <x v="3"/>
    <x v="26"/>
    <x v="692"/>
    <n v="32503"/>
    <x v="122"/>
    <d v="2015-05-02T00:00:00"/>
    <x v="1484"/>
    <n v="4"/>
    <n v="15.19"/>
    <n v="91407"/>
  </r>
  <r>
    <n v="21979"/>
    <x v="4"/>
    <n v="0.03"/>
    <n v="13.48"/>
    <n v="4.51"/>
    <n v="2704"/>
    <x v="889"/>
    <x v="0"/>
    <x v="3"/>
    <x v="0"/>
    <x v="10"/>
    <x v="3"/>
    <x v="804"/>
    <n v="0.59"/>
    <x v="0"/>
    <x v="3"/>
    <x v="26"/>
    <x v="692"/>
    <n v="32503"/>
    <x v="122"/>
    <d v="2015-05-04T00:00:00"/>
    <x v="1485"/>
    <n v="4"/>
    <n v="59.49"/>
    <n v="91408"/>
  </r>
  <r>
    <n v="18898"/>
    <x v="3"/>
    <n v="7.0000000000000007E-2"/>
    <n v="60.97"/>
    <n v="4.5"/>
    <n v="2709"/>
    <x v="890"/>
    <x v="2"/>
    <x v="3"/>
    <x v="0"/>
    <x v="15"/>
    <x v="3"/>
    <x v="714"/>
    <n v="0.56000000000000005"/>
    <x v="0"/>
    <x v="1"/>
    <x v="30"/>
    <x v="693"/>
    <n v="21042"/>
    <x v="5"/>
    <d v="2015-05-30T00:00:00"/>
    <x v="1486"/>
    <n v="1"/>
    <n v="57.84"/>
    <n v="89240"/>
  </r>
  <r>
    <n v="18899"/>
    <x v="3"/>
    <n v="0"/>
    <n v="90.98"/>
    <n v="56.2"/>
    <n v="2709"/>
    <x v="890"/>
    <x v="2"/>
    <x v="3"/>
    <x v="1"/>
    <x v="2"/>
    <x v="4"/>
    <x v="384"/>
    <n v="0.74"/>
    <x v="0"/>
    <x v="1"/>
    <x v="30"/>
    <x v="693"/>
    <n v="21042"/>
    <x v="5"/>
    <d v="2015-05-30T00:00:00"/>
    <x v="1487"/>
    <n v="15"/>
    <n v="1425.71"/>
    <n v="89240"/>
  </r>
  <r>
    <n v="18855"/>
    <x v="2"/>
    <n v="7.0000000000000007E-2"/>
    <n v="2.88"/>
    <n v="0.5"/>
    <n v="2713"/>
    <x v="891"/>
    <x v="2"/>
    <x v="0"/>
    <x v="0"/>
    <x v="9"/>
    <x v="3"/>
    <x v="805"/>
    <n v="0.39"/>
    <x v="0"/>
    <x v="2"/>
    <x v="22"/>
    <x v="694"/>
    <n v="49001"/>
    <x v="123"/>
    <d v="2015-06-24T00:00:00"/>
    <x v="1488"/>
    <n v="9"/>
    <n v="25.26"/>
    <n v="88701"/>
  </r>
  <r>
    <n v="18856"/>
    <x v="2"/>
    <n v="0.03"/>
    <n v="348.21"/>
    <n v="40.19"/>
    <n v="2713"/>
    <x v="891"/>
    <x v="1"/>
    <x v="0"/>
    <x v="1"/>
    <x v="11"/>
    <x v="5"/>
    <x v="553"/>
    <n v="0.62"/>
    <x v="0"/>
    <x v="2"/>
    <x v="22"/>
    <x v="694"/>
    <n v="49001"/>
    <x v="123"/>
    <d v="2015-06-22T00:00:00"/>
    <x v="1489"/>
    <n v="2"/>
    <n v="736.16"/>
    <n v="88701"/>
  </r>
  <r>
    <n v="21690"/>
    <x v="4"/>
    <n v="0.01"/>
    <n v="29.89"/>
    <n v="1.99"/>
    <n v="2715"/>
    <x v="892"/>
    <x v="2"/>
    <x v="0"/>
    <x v="2"/>
    <x v="13"/>
    <x v="2"/>
    <x v="468"/>
    <n v="0.5"/>
    <x v="0"/>
    <x v="2"/>
    <x v="22"/>
    <x v="695"/>
    <n v="48911"/>
    <x v="38"/>
    <d v="2015-01-16T00:00:00"/>
    <x v="1490"/>
    <n v="1"/>
    <n v="31.96"/>
    <n v="88702"/>
  </r>
  <r>
    <n v="21863"/>
    <x v="2"/>
    <n v="0.1"/>
    <n v="6.74"/>
    <n v="1.72"/>
    <n v="2718"/>
    <x v="893"/>
    <x v="2"/>
    <x v="3"/>
    <x v="0"/>
    <x v="7"/>
    <x v="0"/>
    <x v="806"/>
    <n v="0.35"/>
    <x v="0"/>
    <x v="2"/>
    <x v="12"/>
    <x v="695"/>
    <n v="60438"/>
    <x v="151"/>
    <d v="2015-03-03T00:00:00"/>
    <x v="1491"/>
    <n v="15"/>
    <n v="98.17"/>
    <n v="89394"/>
  </r>
  <r>
    <n v="21399"/>
    <x v="2"/>
    <n v="0"/>
    <n v="40.479999999999997"/>
    <n v="19.989999999999998"/>
    <n v="2720"/>
    <x v="894"/>
    <x v="2"/>
    <x v="2"/>
    <x v="2"/>
    <x v="13"/>
    <x v="3"/>
    <x v="295"/>
    <n v="0.77"/>
    <x v="0"/>
    <x v="3"/>
    <x v="29"/>
    <x v="696"/>
    <n v="30721"/>
    <x v="154"/>
    <d v="2015-06-17T00:00:00"/>
    <x v="1492"/>
    <n v="6"/>
    <n v="264.95"/>
    <n v="88766"/>
  </r>
  <r>
    <n v="19907"/>
    <x v="2"/>
    <n v="0.06"/>
    <n v="4.9800000000000004"/>
    <n v="7.44"/>
    <n v="2724"/>
    <x v="895"/>
    <x v="2"/>
    <x v="1"/>
    <x v="0"/>
    <x v="7"/>
    <x v="3"/>
    <x v="130"/>
    <n v="0.36"/>
    <x v="0"/>
    <x v="3"/>
    <x v="20"/>
    <x v="697"/>
    <n v="37421"/>
    <x v="90"/>
    <d v="2015-05-02T00:00:00"/>
    <x v="1493"/>
    <n v="10"/>
    <n v="53.21"/>
    <n v="88959"/>
  </r>
  <r>
    <n v="19908"/>
    <x v="2"/>
    <n v="0.01"/>
    <n v="6.48"/>
    <n v="7.37"/>
    <n v="2724"/>
    <x v="895"/>
    <x v="2"/>
    <x v="1"/>
    <x v="0"/>
    <x v="7"/>
    <x v="3"/>
    <x v="251"/>
    <n v="0.37"/>
    <x v="0"/>
    <x v="3"/>
    <x v="20"/>
    <x v="697"/>
    <n v="37421"/>
    <x v="90"/>
    <d v="2015-05-03T00:00:00"/>
    <x v="1494"/>
    <n v="18"/>
    <n v="122.8"/>
    <n v="88959"/>
  </r>
  <r>
    <n v="22612"/>
    <x v="1"/>
    <n v="0.05"/>
    <n v="28.15"/>
    <n v="6.17"/>
    <n v="2725"/>
    <x v="896"/>
    <x v="2"/>
    <x v="1"/>
    <x v="0"/>
    <x v="0"/>
    <x v="2"/>
    <x v="765"/>
    <n v="0.55000000000000004"/>
    <x v="0"/>
    <x v="3"/>
    <x v="20"/>
    <x v="698"/>
    <n v="37042"/>
    <x v="60"/>
    <d v="2015-01-18T00:00:00"/>
    <x v="1495"/>
    <n v="10"/>
    <n v="282.38"/>
    <n v="88958"/>
  </r>
  <r>
    <n v="21422"/>
    <x v="4"/>
    <n v="0.08"/>
    <n v="230.98"/>
    <n v="23.78"/>
    <n v="2729"/>
    <x v="897"/>
    <x v="1"/>
    <x v="3"/>
    <x v="1"/>
    <x v="11"/>
    <x v="5"/>
    <x v="292"/>
    <n v="0.6"/>
    <x v="0"/>
    <x v="0"/>
    <x v="0"/>
    <x v="130"/>
    <n v="98226"/>
    <x v="127"/>
    <d v="2015-03-10T00:00:00"/>
    <x v="1496"/>
    <n v="4"/>
    <n v="924.8"/>
    <n v="88114"/>
  </r>
  <r>
    <n v="19819"/>
    <x v="1"/>
    <n v="0.05"/>
    <n v="100.98"/>
    <n v="7.18"/>
    <n v="2737"/>
    <x v="898"/>
    <x v="2"/>
    <x v="2"/>
    <x v="2"/>
    <x v="13"/>
    <x v="3"/>
    <x v="751"/>
    <n v="0.4"/>
    <x v="0"/>
    <x v="1"/>
    <x v="9"/>
    <x v="174"/>
    <n v="5701"/>
    <x v="126"/>
    <d v="2015-04-24T00:00:00"/>
    <x v="1497"/>
    <n v="8"/>
    <n v="821.17"/>
    <n v="89018"/>
  </r>
  <r>
    <n v="18790"/>
    <x v="3"/>
    <n v="0.03"/>
    <n v="15.31"/>
    <n v="8.7799999999999994"/>
    <n v="2737"/>
    <x v="898"/>
    <x v="2"/>
    <x v="2"/>
    <x v="0"/>
    <x v="10"/>
    <x v="3"/>
    <x v="657"/>
    <n v="0.56999999999999995"/>
    <x v="0"/>
    <x v="1"/>
    <x v="9"/>
    <x v="174"/>
    <n v="5701"/>
    <x v="144"/>
    <d v="2015-06-02T00:00:00"/>
    <x v="1498"/>
    <n v="12"/>
    <n v="194.08"/>
    <n v="89019"/>
  </r>
  <r>
    <n v="24278"/>
    <x v="2"/>
    <n v="0.02"/>
    <n v="33.979999999999997"/>
    <n v="1.99"/>
    <n v="2738"/>
    <x v="899"/>
    <x v="2"/>
    <x v="2"/>
    <x v="2"/>
    <x v="13"/>
    <x v="2"/>
    <x v="807"/>
    <n v="0.45"/>
    <x v="0"/>
    <x v="1"/>
    <x v="9"/>
    <x v="186"/>
    <n v="5403"/>
    <x v="53"/>
    <d v="2015-04-15T00:00:00"/>
    <x v="1499"/>
    <n v="7"/>
    <n v="237.77"/>
    <n v="89017"/>
  </r>
  <r>
    <n v="19987"/>
    <x v="4"/>
    <n v="0.01"/>
    <n v="35.99"/>
    <n v="5.99"/>
    <n v="2741"/>
    <x v="900"/>
    <x v="2"/>
    <x v="2"/>
    <x v="2"/>
    <x v="5"/>
    <x v="0"/>
    <x v="351"/>
    <n v="0.38"/>
    <x v="0"/>
    <x v="0"/>
    <x v="44"/>
    <x v="699"/>
    <n v="83605"/>
    <x v="14"/>
    <d v="2015-03-19T00:00:00"/>
    <x v="1500"/>
    <n v="10"/>
    <n v="316.27999999999997"/>
    <n v="89481"/>
  </r>
  <r>
    <n v="21323"/>
    <x v="3"/>
    <n v="0.01"/>
    <n v="220.98"/>
    <n v="64.66"/>
    <n v="2745"/>
    <x v="901"/>
    <x v="1"/>
    <x v="0"/>
    <x v="1"/>
    <x v="14"/>
    <x v="5"/>
    <x v="808"/>
    <n v="0.62"/>
    <x v="0"/>
    <x v="0"/>
    <x v="28"/>
    <x v="700"/>
    <n v="85224"/>
    <x v="103"/>
    <d v="2015-03-19T00:00:00"/>
    <x v="1501"/>
    <n v="11"/>
    <n v="2591.09"/>
    <n v="86184"/>
  </r>
  <r>
    <n v="4949"/>
    <x v="3"/>
    <n v="0.08"/>
    <n v="9.98"/>
    <n v="12.52"/>
    <n v="2747"/>
    <x v="902"/>
    <x v="2"/>
    <x v="0"/>
    <x v="1"/>
    <x v="2"/>
    <x v="3"/>
    <x v="809"/>
    <n v="0.56999999999999995"/>
    <x v="0"/>
    <x v="1"/>
    <x v="4"/>
    <x v="8"/>
    <n v="10115"/>
    <x v="64"/>
    <d v="2015-02-07T00:00:00"/>
    <x v="1502"/>
    <n v="15"/>
    <n v="150.24"/>
    <n v="35200"/>
  </r>
  <r>
    <n v="3323"/>
    <x v="3"/>
    <n v="0.01"/>
    <n v="220.98"/>
    <n v="64.66"/>
    <n v="2747"/>
    <x v="902"/>
    <x v="1"/>
    <x v="0"/>
    <x v="1"/>
    <x v="14"/>
    <x v="5"/>
    <x v="808"/>
    <n v="0.62"/>
    <x v="0"/>
    <x v="1"/>
    <x v="4"/>
    <x v="8"/>
    <n v="10115"/>
    <x v="103"/>
    <d v="2015-03-19T00:00:00"/>
    <x v="1501"/>
    <n v="44"/>
    <n v="10364.36"/>
    <n v="23751"/>
  </r>
  <r>
    <n v="23271"/>
    <x v="2"/>
    <n v="0.02"/>
    <n v="161.55000000000001"/>
    <n v="19.989999999999998"/>
    <n v="2750"/>
    <x v="903"/>
    <x v="2"/>
    <x v="2"/>
    <x v="0"/>
    <x v="10"/>
    <x v="3"/>
    <x v="40"/>
    <n v="0.66"/>
    <x v="0"/>
    <x v="3"/>
    <x v="8"/>
    <x v="701"/>
    <n v="22980"/>
    <x v="129"/>
    <d v="2015-03-08T00:00:00"/>
    <x v="1503"/>
    <n v="4"/>
    <n v="657.61"/>
    <n v="91424"/>
  </r>
  <r>
    <n v="21630"/>
    <x v="3"/>
    <n v="0.08"/>
    <n v="22.01"/>
    <n v="5.53"/>
    <n v="2760"/>
    <x v="904"/>
    <x v="2"/>
    <x v="0"/>
    <x v="0"/>
    <x v="0"/>
    <x v="2"/>
    <x v="694"/>
    <n v="0.59"/>
    <x v="0"/>
    <x v="1"/>
    <x v="18"/>
    <x v="702"/>
    <n v="6708"/>
    <x v="126"/>
    <d v="2015-04-24T00:00:00"/>
    <x v="1504"/>
    <n v="11"/>
    <n v="241.97"/>
    <n v="90724"/>
  </r>
  <r>
    <n v="21629"/>
    <x v="3"/>
    <n v="0.02"/>
    <n v="29.74"/>
    <n v="6.64"/>
    <n v="2764"/>
    <x v="905"/>
    <x v="2"/>
    <x v="0"/>
    <x v="0"/>
    <x v="10"/>
    <x v="3"/>
    <x v="810"/>
    <n v="0.7"/>
    <x v="0"/>
    <x v="1"/>
    <x v="2"/>
    <x v="671"/>
    <n v="7601"/>
    <x v="126"/>
    <d v="2015-04-22T00:00:00"/>
    <x v="1505"/>
    <n v="4"/>
    <n v="120.81"/>
    <n v="90724"/>
  </r>
  <r>
    <n v="26156"/>
    <x v="4"/>
    <n v="0.03"/>
    <n v="5.85"/>
    <n v="2.27"/>
    <n v="2765"/>
    <x v="906"/>
    <x v="2"/>
    <x v="0"/>
    <x v="0"/>
    <x v="0"/>
    <x v="0"/>
    <x v="811"/>
    <n v="0.56000000000000005"/>
    <x v="0"/>
    <x v="1"/>
    <x v="2"/>
    <x v="703"/>
    <n v="8021"/>
    <x v="5"/>
    <d v="2015-05-30T00:00:00"/>
    <x v="1506"/>
    <n v="7"/>
    <n v="41.4"/>
    <n v="90725"/>
  </r>
  <r>
    <n v="23342"/>
    <x v="2"/>
    <n v="0.02"/>
    <n v="11.55"/>
    <n v="2.36"/>
    <n v="2770"/>
    <x v="907"/>
    <x v="2"/>
    <x v="0"/>
    <x v="0"/>
    <x v="0"/>
    <x v="0"/>
    <x v="99"/>
    <n v="0.55000000000000004"/>
    <x v="0"/>
    <x v="3"/>
    <x v="29"/>
    <x v="704"/>
    <n v="30338"/>
    <x v="129"/>
    <d v="2015-03-10T00:00:00"/>
    <x v="1507"/>
    <n v="14"/>
    <n v="159.53"/>
    <n v="88975"/>
  </r>
  <r>
    <n v="26157"/>
    <x v="0"/>
    <n v="7.0000000000000007E-2"/>
    <n v="177.98"/>
    <n v="0.99"/>
    <n v="2771"/>
    <x v="908"/>
    <x v="2"/>
    <x v="0"/>
    <x v="0"/>
    <x v="15"/>
    <x v="3"/>
    <x v="529"/>
    <n v="0.56000000000000005"/>
    <x v="0"/>
    <x v="3"/>
    <x v="29"/>
    <x v="705"/>
    <n v="30344"/>
    <x v="1"/>
    <d v="2015-06-13T00:00:00"/>
    <x v="1508"/>
    <n v="3"/>
    <n v="536.29"/>
    <n v="88974"/>
  </r>
  <r>
    <n v="24523"/>
    <x v="1"/>
    <n v="0.1"/>
    <n v="5.18"/>
    <n v="5.74"/>
    <n v="2773"/>
    <x v="909"/>
    <x v="2"/>
    <x v="0"/>
    <x v="0"/>
    <x v="8"/>
    <x v="3"/>
    <x v="314"/>
    <n v="0.36"/>
    <x v="0"/>
    <x v="0"/>
    <x v="1"/>
    <x v="281"/>
    <n v="94568"/>
    <x v="173"/>
    <d v="2015-03-28T00:00:00"/>
    <x v="1509"/>
    <n v="2"/>
    <n v="10.96"/>
    <n v="91584"/>
  </r>
  <r>
    <n v="20956"/>
    <x v="4"/>
    <n v="7.0000000000000007E-2"/>
    <n v="574.74"/>
    <n v="24.49"/>
    <n v="2775"/>
    <x v="910"/>
    <x v="2"/>
    <x v="3"/>
    <x v="2"/>
    <x v="6"/>
    <x v="6"/>
    <x v="81"/>
    <n v="0.37"/>
    <x v="0"/>
    <x v="2"/>
    <x v="12"/>
    <x v="706"/>
    <n v="60131"/>
    <x v="111"/>
    <d v="2015-02-04T00:00:00"/>
    <x v="1510"/>
    <n v="8"/>
    <n v="4146.28"/>
    <n v="91229"/>
  </r>
  <r>
    <n v="24122"/>
    <x v="2"/>
    <n v="0.03"/>
    <n v="350.98"/>
    <n v="30"/>
    <n v="2776"/>
    <x v="911"/>
    <x v="1"/>
    <x v="3"/>
    <x v="1"/>
    <x v="1"/>
    <x v="1"/>
    <x v="309"/>
    <n v="0.61"/>
    <x v="0"/>
    <x v="1"/>
    <x v="30"/>
    <x v="707"/>
    <n v="20877"/>
    <x v="38"/>
    <d v="2015-01-15T00:00:00"/>
    <x v="1511"/>
    <n v="11"/>
    <n v="3902.09"/>
    <n v="91228"/>
  </r>
  <r>
    <n v="24123"/>
    <x v="2"/>
    <n v="0.04"/>
    <n v="1.68"/>
    <n v="1"/>
    <n v="2776"/>
    <x v="911"/>
    <x v="2"/>
    <x v="3"/>
    <x v="0"/>
    <x v="0"/>
    <x v="0"/>
    <x v="812"/>
    <n v="0.35"/>
    <x v="0"/>
    <x v="1"/>
    <x v="30"/>
    <x v="707"/>
    <n v="20877"/>
    <x v="38"/>
    <d v="2015-01-14T00:00:00"/>
    <x v="1512"/>
    <n v="8"/>
    <n v="14.18"/>
    <n v="91228"/>
  </r>
  <r>
    <n v="20097"/>
    <x v="0"/>
    <n v="0.05"/>
    <n v="205.99"/>
    <n v="8.99"/>
    <n v="2778"/>
    <x v="912"/>
    <x v="0"/>
    <x v="3"/>
    <x v="2"/>
    <x v="5"/>
    <x v="3"/>
    <x v="813"/>
    <n v="0.57999999999999996"/>
    <x v="0"/>
    <x v="3"/>
    <x v="24"/>
    <x v="249"/>
    <n v="28403"/>
    <x v="143"/>
    <d v="2015-02-12T00:00:00"/>
    <x v="1513"/>
    <n v="12"/>
    <n v="2118.9899999999998"/>
    <n v="87160"/>
  </r>
  <r>
    <n v="20098"/>
    <x v="0"/>
    <n v="0.08"/>
    <n v="205.99"/>
    <n v="8.99"/>
    <n v="2778"/>
    <x v="912"/>
    <x v="2"/>
    <x v="3"/>
    <x v="2"/>
    <x v="5"/>
    <x v="3"/>
    <x v="20"/>
    <n v="0.56000000000000005"/>
    <x v="0"/>
    <x v="3"/>
    <x v="24"/>
    <x v="249"/>
    <n v="28403"/>
    <x v="143"/>
    <d v="2015-02-12T00:00:00"/>
    <x v="1514"/>
    <n v="5"/>
    <n v="837.64"/>
    <n v="87160"/>
  </r>
  <r>
    <n v="21707"/>
    <x v="2"/>
    <n v="0.01"/>
    <n v="35.99"/>
    <n v="5.99"/>
    <n v="2779"/>
    <x v="913"/>
    <x v="2"/>
    <x v="0"/>
    <x v="2"/>
    <x v="5"/>
    <x v="0"/>
    <x v="351"/>
    <n v="0.38"/>
    <x v="0"/>
    <x v="3"/>
    <x v="24"/>
    <x v="708"/>
    <n v="27893"/>
    <x v="164"/>
    <d v="2015-06-12T00:00:00"/>
    <x v="1515"/>
    <n v="11"/>
    <n v="345.07"/>
    <n v="87161"/>
  </r>
  <r>
    <n v="22095"/>
    <x v="4"/>
    <n v="0.09"/>
    <n v="2.16"/>
    <n v="6.05"/>
    <n v="2781"/>
    <x v="914"/>
    <x v="2"/>
    <x v="3"/>
    <x v="0"/>
    <x v="8"/>
    <x v="3"/>
    <x v="542"/>
    <n v="0.37"/>
    <x v="0"/>
    <x v="0"/>
    <x v="6"/>
    <x v="709"/>
    <n v="97071"/>
    <x v="70"/>
    <d v="2015-02-04T00:00:00"/>
    <x v="1516"/>
    <n v="2"/>
    <n v="5.48"/>
    <n v="87162"/>
  </r>
  <r>
    <n v="22096"/>
    <x v="4"/>
    <n v="0.03"/>
    <n v="808.49"/>
    <n v="55.3"/>
    <n v="2781"/>
    <x v="914"/>
    <x v="1"/>
    <x v="3"/>
    <x v="2"/>
    <x v="6"/>
    <x v="1"/>
    <x v="814"/>
    <n v="0.4"/>
    <x v="0"/>
    <x v="0"/>
    <x v="6"/>
    <x v="709"/>
    <n v="97071"/>
    <x v="70"/>
    <d v="2015-02-07T00:00:00"/>
    <x v="1517"/>
    <n v="11"/>
    <n v="8201.33"/>
    <n v="87162"/>
  </r>
  <r>
    <n v="22097"/>
    <x v="4"/>
    <n v="0"/>
    <n v="6.48"/>
    <n v="8.19"/>
    <n v="2781"/>
    <x v="914"/>
    <x v="2"/>
    <x v="3"/>
    <x v="0"/>
    <x v="7"/>
    <x v="3"/>
    <x v="815"/>
    <n v="0.37"/>
    <x v="0"/>
    <x v="0"/>
    <x v="6"/>
    <x v="709"/>
    <n v="97071"/>
    <x v="70"/>
    <d v="2015-02-07T00:00:00"/>
    <x v="1518"/>
    <n v="3"/>
    <n v="22.67"/>
    <n v="87162"/>
  </r>
  <r>
    <n v="21587"/>
    <x v="1"/>
    <n v="0.01"/>
    <n v="47.98"/>
    <n v="3.61"/>
    <n v="2787"/>
    <x v="915"/>
    <x v="0"/>
    <x v="3"/>
    <x v="2"/>
    <x v="13"/>
    <x v="2"/>
    <x v="367"/>
    <n v="0.71"/>
    <x v="0"/>
    <x v="3"/>
    <x v="11"/>
    <x v="710"/>
    <n v="70003"/>
    <x v="14"/>
    <d v="2015-03-13T00:00:00"/>
    <x v="1519"/>
    <n v="8"/>
    <n v="393.98"/>
    <n v="91316"/>
  </r>
  <r>
    <n v="19860"/>
    <x v="2"/>
    <n v="0.09"/>
    <n v="2.88"/>
    <n v="0.7"/>
    <n v="2791"/>
    <x v="916"/>
    <x v="2"/>
    <x v="0"/>
    <x v="0"/>
    <x v="0"/>
    <x v="0"/>
    <x v="816"/>
    <n v="0.56000000000000005"/>
    <x v="0"/>
    <x v="2"/>
    <x v="22"/>
    <x v="711"/>
    <n v="48071"/>
    <x v="43"/>
    <d v="2015-01-15T00:00:00"/>
    <x v="1520"/>
    <n v="7"/>
    <n v="19.29"/>
    <n v="88758"/>
  </r>
  <r>
    <n v="18361"/>
    <x v="3"/>
    <n v="0.06"/>
    <n v="2.61"/>
    <n v="0.5"/>
    <n v="2794"/>
    <x v="917"/>
    <x v="2"/>
    <x v="0"/>
    <x v="0"/>
    <x v="9"/>
    <x v="3"/>
    <x v="317"/>
    <n v="0.39"/>
    <x v="0"/>
    <x v="2"/>
    <x v="25"/>
    <x v="712"/>
    <n v="50158"/>
    <x v="80"/>
    <d v="2015-03-22T00:00:00"/>
    <x v="1521"/>
    <n v="2"/>
    <n v="5.21"/>
    <n v="87554"/>
  </r>
  <r>
    <n v="18895"/>
    <x v="0"/>
    <n v="7.0000000000000007E-2"/>
    <n v="4.76"/>
    <n v="0.88"/>
    <n v="2794"/>
    <x v="917"/>
    <x v="2"/>
    <x v="0"/>
    <x v="0"/>
    <x v="7"/>
    <x v="0"/>
    <x v="817"/>
    <n v="0.39"/>
    <x v="0"/>
    <x v="2"/>
    <x v="25"/>
    <x v="712"/>
    <n v="50158"/>
    <x v="31"/>
    <d v="2015-06-07T00:00:00"/>
    <x v="1522"/>
    <n v="5"/>
    <n v="22.92"/>
    <n v="87555"/>
  </r>
  <r>
    <n v="19486"/>
    <x v="4"/>
    <n v="0.04"/>
    <n v="3.57"/>
    <n v="4.17"/>
    <n v="2795"/>
    <x v="918"/>
    <x v="2"/>
    <x v="0"/>
    <x v="0"/>
    <x v="0"/>
    <x v="2"/>
    <x v="818"/>
    <n v="0.59"/>
    <x v="0"/>
    <x v="2"/>
    <x v="25"/>
    <x v="713"/>
    <n v="50401"/>
    <x v="161"/>
    <d v="2015-01-28T00:00:00"/>
    <x v="1523"/>
    <n v="8"/>
    <n v="30.9"/>
    <n v="87556"/>
  </r>
  <r>
    <n v="19487"/>
    <x v="4"/>
    <n v="0.05"/>
    <n v="200.99"/>
    <n v="4.2"/>
    <n v="2795"/>
    <x v="918"/>
    <x v="2"/>
    <x v="0"/>
    <x v="2"/>
    <x v="5"/>
    <x v="3"/>
    <x v="186"/>
    <n v="0.59"/>
    <x v="0"/>
    <x v="2"/>
    <x v="25"/>
    <x v="713"/>
    <n v="50401"/>
    <x v="161"/>
    <d v="2015-01-30T00:00:00"/>
    <x v="1524"/>
    <n v="14"/>
    <n v="2363.08"/>
    <n v="87556"/>
  </r>
  <r>
    <n v="19488"/>
    <x v="4"/>
    <n v="7.0000000000000007E-2"/>
    <n v="195.99"/>
    <n v="8.99"/>
    <n v="2795"/>
    <x v="918"/>
    <x v="2"/>
    <x v="0"/>
    <x v="2"/>
    <x v="5"/>
    <x v="3"/>
    <x v="819"/>
    <n v="0.57999999999999996"/>
    <x v="0"/>
    <x v="2"/>
    <x v="25"/>
    <x v="713"/>
    <n v="50401"/>
    <x v="161"/>
    <d v="2015-01-26T00:00:00"/>
    <x v="1525"/>
    <n v="2"/>
    <n v="328.45"/>
    <n v="87556"/>
  </r>
  <r>
    <n v="23351"/>
    <x v="3"/>
    <n v="0.02"/>
    <n v="30.44"/>
    <n v="1.49"/>
    <n v="2796"/>
    <x v="919"/>
    <x v="2"/>
    <x v="0"/>
    <x v="0"/>
    <x v="8"/>
    <x v="3"/>
    <x v="820"/>
    <n v="0.37"/>
    <x v="0"/>
    <x v="2"/>
    <x v="25"/>
    <x v="714"/>
    <n v="51106"/>
    <x v="72"/>
    <d v="2015-01-23T00:00:00"/>
    <x v="1526"/>
    <n v="12"/>
    <n v="386.61"/>
    <n v="87553"/>
  </r>
  <r>
    <n v="22787"/>
    <x v="3"/>
    <n v="0"/>
    <n v="5.0199999999999996"/>
    <n v="5.14"/>
    <n v="2797"/>
    <x v="920"/>
    <x v="2"/>
    <x v="3"/>
    <x v="2"/>
    <x v="13"/>
    <x v="2"/>
    <x v="301"/>
    <n v="0.79"/>
    <x v="0"/>
    <x v="1"/>
    <x v="19"/>
    <x v="715"/>
    <n v="15122"/>
    <x v="56"/>
    <d v="2015-01-11T00:00:00"/>
    <x v="1527"/>
    <n v="8"/>
    <n v="43.94"/>
    <n v="87552"/>
  </r>
  <r>
    <n v="23350"/>
    <x v="3"/>
    <n v="0.02"/>
    <n v="4.91"/>
    <n v="0.5"/>
    <n v="2797"/>
    <x v="920"/>
    <x v="2"/>
    <x v="0"/>
    <x v="0"/>
    <x v="9"/>
    <x v="3"/>
    <x v="550"/>
    <n v="0.36"/>
    <x v="0"/>
    <x v="1"/>
    <x v="19"/>
    <x v="715"/>
    <n v="15122"/>
    <x v="72"/>
    <d v="2015-01-22T00:00:00"/>
    <x v="1528"/>
    <n v="9"/>
    <n v="43.31"/>
    <n v="87553"/>
  </r>
  <r>
    <n v="20618"/>
    <x v="4"/>
    <n v="0"/>
    <n v="17.52"/>
    <n v="8.17"/>
    <n v="2801"/>
    <x v="921"/>
    <x v="2"/>
    <x v="1"/>
    <x v="0"/>
    <x v="15"/>
    <x v="4"/>
    <x v="821"/>
    <n v="0.5"/>
    <x v="0"/>
    <x v="0"/>
    <x v="28"/>
    <x v="700"/>
    <n v="85224"/>
    <x v="162"/>
    <d v="2015-07-03T00:00:00"/>
    <x v="1529"/>
    <n v="15"/>
    <n v="284.33999999999997"/>
    <n v="91049"/>
  </r>
  <r>
    <n v="18070"/>
    <x v="3"/>
    <n v="7.0000000000000007E-2"/>
    <n v="500.98"/>
    <n v="28.14"/>
    <n v="2803"/>
    <x v="922"/>
    <x v="1"/>
    <x v="2"/>
    <x v="2"/>
    <x v="6"/>
    <x v="1"/>
    <x v="822"/>
    <n v="0.38"/>
    <x v="0"/>
    <x v="0"/>
    <x v="1"/>
    <x v="716"/>
    <n v="90022"/>
    <x v="64"/>
    <d v="2015-02-06T00:00:00"/>
    <x v="1530"/>
    <n v="10"/>
    <n v="3913.02"/>
    <n v="86227"/>
  </r>
  <r>
    <n v="18071"/>
    <x v="3"/>
    <n v="0.1"/>
    <n v="178.47"/>
    <n v="19.989999999999998"/>
    <n v="2803"/>
    <x v="922"/>
    <x v="2"/>
    <x v="2"/>
    <x v="0"/>
    <x v="10"/>
    <x v="3"/>
    <x v="179"/>
    <n v="0.55000000000000004"/>
    <x v="0"/>
    <x v="0"/>
    <x v="1"/>
    <x v="716"/>
    <n v="90022"/>
    <x v="64"/>
    <d v="2015-02-07T00:00:00"/>
    <x v="1531"/>
    <n v="1"/>
    <n v="180.14"/>
    <n v="86227"/>
  </r>
  <r>
    <n v="24604"/>
    <x v="3"/>
    <n v="7.0000000000000007E-2"/>
    <n v="30.56"/>
    <n v="2.99"/>
    <n v="2813"/>
    <x v="923"/>
    <x v="2"/>
    <x v="0"/>
    <x v="0"/>
    <x v="8"/>
    <x v="3"/>
    <x v="823"/>
    <n v="0.35"/>
    <x v="0"/>
    <x v="3"/>
    <x v="20"/>
    <x v="717"/>
    <n v="37311"/>
    <x v="131"/>
    <d v="2015-02-07T00:00:00"/>
    <x v="1532"/>
    <n v="12"/>
    <n v="364.92"/>
    <n v="88819"/>
  </r>
  <r>
    <n v="24044"/>
    <x v="0"/>
    <n v="0.05"/>
    <n v="4.71"/>
    <n v="0.7"/>
    <n v="2817"/>
    <x v="924"/>
    <x v="0"/>
    <x v="0"/>
    <x v="0"/>
    <x v="3"/>
    <x v="0"/>
    <x v="444"/>
    <n v="0.8"/>
    <x v="0"/>
    <x v="1"/>
    <x v="10"/>
    <x v="82"/>
    <n v="43055"/>
    <x v="144"/>
    <d v="2015-06-02T00:00:00"/>
    <x v="1533"/>
    <n v="2"/>
    <n v="12.16"/>
    <n v="89743"/>
  </r>
  <r>
    <n v="24045"/>
    <x v="0"/>
    <n v="0.04"/>
    <n v="55.99"/>
    <n v="1.25"/>
    <n v="2817"/>
    <x v="924"/>
    <x v="0"/>
    <x v="0"/>
    <x v="2"/>
    <x v="5"/>
    <x v="2"/>
    <x v="824"/>
    <n v="0.35"/>
    <x v="0"/>
    <x v="1"/>
    <x v="10"/>
    <x v="82"/>
    <n v="43055"/>
    <x v="144"/>
    <d v="2015-06-02T00:00:00"/>
    <x v="1534"/>
    <n v="3"/>
    <n v="147.56"/>
    <n v="89743"/>
  </r>
  <r>
    <n v="24373"/>
    <x v="4"/>
    <n v="0.08"/>
    <n v="6.48"/>
    <n v="2.74"/>
    <n v="2820"/>
    <x v="925"/>
    <x v="2"/>
    <x v="1"/>
    <x v="2"/>
    <x v="13"/>
    <x v="2"/>
    <x v="584"/>
    <n v="0.71"/>
    <x v="0"/>
    <x v="2"/>
    <x v="33"/>
    <x v="718"/>
    <n v="63129"/>
    <x v="16"/>
    <d v="2015-05-12T00:00:00"/>
    <x v="1535"/>
    <n v="18"/>
    <n v="113.68"/>
    <n v="87899"/>
  </r>
  <r>
    <n v="24746"/>
    <x v="1"/>
    <n v="0.1"/>
    <n v="22.01"/>
    <n v="5.53"/>
    <n v="2820"/>
    <x v="925"/>
    <x v="2"/>
    <x v="1"/>
    <x v="0"/>
    <x v="0"/>
    <x v="2"/>
    <x v="694"/>
    <n v="0.59"/>
    <x v="0"/>
    <x v="2"/>
    <x v="33"/>
    <x v="718"/>
    <n v="63129"/>
    <x v="101"/>
    <d v="2015-01-15T00:00:00"/>
    <x v="1536"/>
    <n v="14"/>
    <n v="281.75"/>
    <n v="87900"/>
  </r>
  <r>
    <n v="23803"/>
    <x v="4"/>
    <n v="0.02"/>
    <n v="21.98"/>
    <n v="2.87"/>
    <n v="2823"/>
    <x v="926"/>
    <x v="2"/>
    <x v="0"/>
    <x v="0"/>
    <x v="0"/>
    <x v="2"/>
    <x v="825"/>
    <n v="0.55000000000000004"/>
    <x v="0"/>
    <x v="0"/>
    <x v="34"/>
    <x v="719"/>
    <n v="89031"/>
    <x v="122"/>
    <d v="2015-05-02T00:00:00"/>
    <x v="1537"/>
    <n v="11"/>
    <n v="240.05"/>
    <n v="87240"/>
  </r>
  <r>
    <n v="22660"/>
    <x v="4"/>
    <n v="0.02"/>
    <n v="27.48"/>
    <n v="4"/>
    <n v="2825"/>
    <x v="927"/>
    <x v="2"/>
    <x v="3"/>
    <x v="2"/>
    <x v="13"/>
    <x v="3"/>
    <x v="312"/>
    <n v="0.75"/>
    <x v="0"/>
    <x v="0"/>
    <x v="44"/>
    <x v="680"/>
    <n v="83701"/>
    <x v="135"/>
    <d v="2015-05-27T00:00:00"/>
    <x v="1538"/>
    <n v="3"/>
    <n v="87.21"/>
    <n v="89497"/>
  </r>
  <r>
    <n v="22661"/>
    <x v="4"/>
    <n v="0.08"/>
    <n v="10.06"/>
    <n v="2.06"/>
    <n v="2825"/>
    <x v="927"/>
    <x v="2"/>
    <x v="3"/>
    <x v="0"/>
    <x v="7"/>
    <x v="0"/>
    <x v="85"/>
    <n v="0.39"/>
    <x v="0"/>
    <x v="0"/>
    <x v="44"/>
    <x v="680"/>
    <n v="83701"/>
    <x v="135"/>
    <d v="2015-05-24T00:00:00"/>
    <x v="1539"/>
    <n v="4"/>
    <n v="40.15"/>
    <n v="89497"/>
  </r>
  <r>
    <n v="24607"/>
    <x v="0"/>
    <n v="0.05"/>
    <n v="11.29"/>
    <n v="5.03"/>
    <n v="2828"/>
    <x v="928"/>
    <x v="2"/>
    <x v="0"/>
    <x v="0"/>
    <x v="10"/>
    <x v="3"/>
    <x v="519"/>
    <n v="0.59"/>
    <x v="0"/>
    <x v="0"/>
    <x v="1"/>
    <x v="720"/>
    <n v="92243"/>
    <x v="153"/>
    <d v="2015-02-21T00:00:00"/>
    <x v="1540"/>
    <n v="8"/>
    <n v="90.46"/>
    <n v="87720"/>
  </r>
  <r>
    <n v="23431"/>
    <x v="3"/>
    <n v="7.0000000000000007E-2"/>
    <n v="39.479999999999997"/>
    <n v="1.99"/>
    <n v="2828"/>
    <x v="928"/>
    <x v="2"/>
    <x v="0"/>
    <x v="2"/>
    <x v="13"/>
    <x v="2"/>
    <x v="246"/>
    <n v="0.54"/>
    <x v="0"/>
    <x v="0"/>
    <x v="1"/>
    <x v="720"/>
    <n v="92243"/>
    <x v="144"/>
    <d v="2015-06-02T00:00:00"/>
    <x v="1541"/>
    <n v="12"/>
    <n v="467.03"/>
    <n v="87721"/>
  </r>
  <r>
    <n v="20594"/>
    <x v="1"/>
    <n v="0.03"/>
    <n v="140.97999999999999"/>
    <n v="36.090000000000003"/>
    <n v="2833"/>
    <x v="929"/>
    <x v="1"/>
    <x v="2"/>
    <x v="1"/>
    <x v="14"/>
    <x v="5"/>
    <x v="481"/>
    <n v="0.77"/>
    <x v="0"/>
    <x v="2"/>
    <x v="3"/>
    <x v="721"/>
    <n v="55076"/>
    <x v="78"/>
    <d v="2015-03-27T00:00:00"/>
    <x v="1542"/>
    <n v="4"/>
    <n v="608.80999999999995"/>
    <n v="91030"/>
  </r>
  <r>
    <n v="20595"/>
    <x v="1"/>
    <n v="0.08"/>
    <n v="65.989999999999995"/>
    <n v="8.99"/>
    <n v="2833"/>
    <x v="929"/>
    <x v="2"/>
    <x v="2"/>
    <x v="2"/>
    <x v="5"/>
    <x v="3"/>
    <x v="210"/>
    <n v="0.56000000000000005"/>
    <x v="0"/>
    <x v="2"/>
    <x v="3"/>
    <x v="721"/>
    <n v="55076"/>
    <x v="78"/>
    <d v="2015-03-26T00:00:00"/>
    <x v="1543"/>
    <n v="15"/>
    <n v="808.61"/>
    <n v="91030"/>
  </r>
  <r>
    <n v="19191"/>
    <x v="0"/>
    <n v="7.0000000000000007E-2"/>
    <n v="51.98"/>
    <n v="10.17"/>
    <n v="2837"/>
    <x v="930"/>
    <x v="2"/>
    <x v="1"/>
    <x v="2"/>
    <x v="6"/>
    <x v="4"/>
    <x v="415"/>
    <n v="0.37"/>
    <x v="0"/>
    <x v="2"/>
    <x v="23"/>
    <x v="722"/>
    <n v="74133"/>
    <x v="129"/>
    <d v="2015-03-10T00:00:00"/>
    <x v="1544"/>
    <n v="13"/>
    <n v="637.37"/>
    <n v="89801"/>
  </r>
  <r>
    <n v="19192"/>
    <x v="0"/>
    <n v="0.1"/>
    <n v="80.97"/>
    <n v="33.6"/>
    <n v="2837"/>
    <x v="930"/>
    <x v="1"/>
    <x v="1"/>
    <x v="2"/>
    <x v="6"/>
    <x v="1"/>
    <x v="690"/>
    <n v="0.37"/>
    <x v="0"/>
    <x v="2"/>
    <x v="23"/>
    <x v="722"/>
    <n v="74133"/>
    <x v="129"/>
    <d v="2015-03-11T00:00:00"/>
    <x v="1545"/>
    <n v="3"/>
    <n v="232.16"/>
    <n v="89801"/>
  </r>
  <r>
    <n v="18416"/>
    <x v="0"/>
    <n v="0"/>
    <n v="21.98"/>
    <n v="2.87"/>
    <n v="2840"/>
    <x v="931"/>
    <x v="2"/>
    <x v="0"/>
    <x v="0"/>
    <x v="0"/>
    <x v="2"/>
    <x v="825"/>
    <n v="0.55000000000000004"/>
    <x v="0"/>
    <x v="3"/>
    <x v="26"/>
    <x v="723"/>
    <n v="33161"/>
    <x v="91"/>
    <d v="2015-03-20T00:00:00"/>
    <x v="1546"/>
    <n v="16"/>
    <n v="360.03"/>
    <n v="87884"/>
  </r>
  <r>
    <n v="18419"/>
    <x v="3"/>
    <n v="0.05"/>
    <n v="15.68"/>
    <n v="3.73"/>
    <n v="2840"/>
    <x v="931"/>
    <x v="2"/>
    <x v="0"/>
    <x v="1"/>
    <x v="2"/>
    <x v="2"/>
    <x v="770"/>
    <n v="0.46"/>
    <x v="0"/>
    <x v="3"/>
    <x v="26"/>
    <x v="723"/>
    <n v="33161"/>
    <x v="164"/>
    <d v="2015-06-13T00:00:00"/>
    <x v="1547"/>
    <n v="17"/>
    <n v="260.01"/>
    <n v="87885"/>
  </r>
  <r>
    <n v="18420"/>
    <x v="3"/>
    <n v="0"/>
    <n v="14.98"/>
    <n v="8.99"/>
    <n v="2840"/>
    <x v="931"/>
    <x v="2"/>
    <x v="0"/>
    <x v="1"/>
    <x v="2"/>
    <x v="2"/>
    <x v="826"/>
    <n v="0.39"/>
    <x v="0"/>
    <x v="3"/>
    <x v="26"/>
    <x v="723"/>
    <n v="33161"/>
    <x v="164"/>
    <d v="2015-06-12T00:00:00"/>
    <x v="1548"/>
    <n v="18"/>
    <n v="273.79000000000002"/>
    <n v="87885"/>
  </r>
  <r>
    <n v="18421"/>
    <x v="3"/>
    <n v="0.02"/>
    <n v="38.76"/>
    <n v="13.26"/>
    <n v="2840"/>
    <x v="931"/>
    <x v="2"/>
    <x v="0"/>
    <x v="0"/>
    <x v="7"/>
    <x v="3"/>
    <x v="827"/>
    <n v="0.36"/>
    <x v="0"/>
    <x v="3"/>
    <x v="26"/>
    <x v="723"/>
    <n v="33161"/>
    <x v="164"/>
    <d v="2015-06-12T00:00:00"/>
    <x v="1549"/>
    <n v="1"/>
    <n v="44.62"/>
    <n v="87885"/>
  </r>
  <r>
    <n v="21855"/>
    <x v="1"/>
    <n v="0.04"/>
    <n v="90.48"/>
    <n v="19.989999999999998"/>
    <n v="2847"/>
    <x v="932"/>
    <x v="2"/>
    <x v="0"/>
    <x v="0"/>
    <x v="4"/>
    <x v="3"/>
    <x v="634"/>
    <n v="0.4"/>
    <x v="0"/>
    <x v="3"/>
    <x v="20"/>
    <x v="724"/>
    <n v="38017"/>
    <x v="37"/>
    <d v="2015-04-11T00:00:00"/>
    <x v="1550"/>
    <n v="3"/>
    <n v="268.64"/>
    <n v="85928"/>
  </r>
  <r>
    <n v="21856"/>
    <x v="1"/>
    <n v="0.02"/>
    <n v="9.77"/>
    <n v="6.02"/>
    <n v="2847"/>
    <x v="932"/>
    <x v="2"/>
    <x v="0"/>
    <x v="1"/>
    <x v="2"/>
    <x v="4"/>
    <x v="563"/>
    <n v="0.48"/>
    <x v="0"/>
    <x v="3"/>
    <x v="20"/>
    <x v="724"/>
    <n v="38017"/>
    <x v="37"/>
    <d v="2015-04-10T00:00:00"/>
    <x v="1551"/>
    <n v="9"/>
    <n v="87.68"/>
    <n v="85928"/>
  </r>
  <r>
    <n v="21857"/>
    <x v="1"/>
    <n v="0.09"/>
    <n v="34.99"/>
    <n v="7.73"/>
    <n v="2847"/>
    <x v="932"/>
    <x v="2"/>
    <x v="0"/>
    <x v="0"/>
    <x v="0"/>
    <x v="3"/>
    <x v="17"/>
    <n v="0.59"/>
    <x v="0"/>
    <x v="3"/>
    <x v="20"/>
    <x v="724"/>
    <n v="38017"/>
    <x v="37"/>
    <d v="2015-04-11T00:00:00"/>
    <x v="1552"/>
    <n v="1"/>
    <n v="37.619999999999997"/>
    <n v="85928"/>
  </r>
  <r>
    <n v="24455"/>
    <x v="3"/>
    <n v="0"/>
    <n v="49.99"/>
    <n v="19.989999999999998"/>
    <n v="2848"/>
    <x v="933"/>
    <x v="2"/>
    <x v="0"/>
    <x v="2"/>
    <x v="13"/>
    <x v="3"/>
    <x v="84"/>
    <n v="0.41"/>
    <x v="0"/>
    <x v="3"/>
    <x v="20"/>
    <x v="725"/>
    <n v="38401"/>
    <x v="132"/>
    <d v="2015-06-08T00:00:00"/>
    <x v="1553"/>
    <n v="16"/>
    <n v="832.97"/>
    <n v="85929"/>
  </r>
  <r>
    <n v="23622"/>
    <x v="4"/>
    <n v="0.05"/>
    <n v="115.99"/>
    <n v="8.99"/>
    <n v="2851"/>
    <x v="934"/>
    <x v="2"/>
    <x v="3"/>
    <x v="2"/>
    <x v="5"/>
    <x v="3"/>
    <x v="50"/>
    <n v="0.57999999999999996"/>
    <x v="0"/>
    <x v="2"/>
    <x v="7"/>
    <x v="726"/>
    <n v="79762"/>
    <x v="37"/>
    <d v="2015-04-13T00:00:00"/>
    <x v="1554"/>
    <n v="11"/>
    <n v="1042.54"/>
    <n v="86454"/>
  </r>
  <r>
    <n v="23042"/>
    <x v="3"/>
    <n v="0.08"/>
    <n v="7.84"/>
    <n v="4.71"/>
    <n v="2855"/>
    <x v="935"/>
    <x v="2"/>
    <x v="0"/>
    <x v="0"/>
    <x v="8"/>
    <x v="3"/>
    <x v="749"/>
    <n v="0.35"/>
    <x v="0"/>
    <x v="0"/>
    <x v="0"/>
    <x v="727"/>
    <n v="98198"/>
    <x v="72"/>
    <d v="2015-01-22T00:00:00"/>
    <x v="1555"/>
    <n v="10"/>
    <n v="76.16"/>
    <n v="87316"/>
  </r>
  <r>
    <n v="23043"/>
    <x v="3"/>
    <n v="0.03"/>
    <n v="105.34"/>
    <n v="24.49"/>
    <n v="2855"/>
    <x v="935"/>
    <x v="2"/>
    <x v="0"/>
    <x v="1"/>
    <x v="2"/>
    <x v="6"/>
    <x v="828"/>
    <n v="0.61"/>
    <x v="0"/>
    <x v="0"/>
    <x v="0"/>
    <x v="727"/>
    <n v="98198"/>
    <x v="72"/>
    <d v="2015-01-22T00:00:00"/>
    <x v="1556"/>
    <n v="10"/>
    <n v="1038.1400000000001"/>
    <n v="87316"/>
  </r>
  <r>
    <n v="23213"/>
    <x v="4"/>
    <n v="0.09"/>
    <n v="6783.02"/>
    <n v="24.49"/>
    <n v="2855"/>
    <x v="935"/>
    <x v="2"/>
    <x v="3"/>
    <x v="2"/>
    <x v="6"/>
    <x v="6"/>
    <x v="458"/>
    <n v="0.39"/>
    <x v="0"/>
    <x v="0"/>
    <x v="0"/>
    <x v="727"/>
    <n v="98198"/>
    <x v="17"/>
    <d v="2015-03-14T00:00:00"/>
    <x v="1557"/>
    <n v="1"/>
    <n v="6296"/>
    <n v="87317"/>
  </r>
  <r>
    <n v="18516"/>
    <x v="3"/>
    <n v="0.06"/>
    <n v="2.94"/>
    <n v="0.96"/>
    <n v="2858"/>
    <x v="936"/>
    <x v="2"/>
    <x v="0"/>
    <x v="0"/>
    <x v="0"/>
    <x v="0"/>
    <x v="202"/>
    <n v="0.57999999999999996"/>
    <x v="0"/>
    <x v="3"/>
    <x v="26"/>
    <x v="611"/>
    <n v="32259"/>
    <x v="28"/>
    <d v="2015-05-18T00:00:00"/>
    <x v="1558"/>
    <n v="3"/>
    <n v="8.7899999999999991"/>
    <n v="88279"/>
  </r>
  <r>
    <n v="18506"/>
    <x v="4"/>
    <n v="0.04"/>
    <n v="67.28"/>
    <n v="19.989999999999998"/>
    <n v="2858"/>
    <x v="936"/>
    <x v="2"/>
    <x v="0"/>
    <x v="0"/>
    <x v="8"/>
    <x v="3"/>
    <x v="236"/>
    <n v="0.4"/>
    <x v="0"/>
    <x v="3"/>
    <x v="26"/>
    <x v="611"/>
    <n v="32259"/>
    <x v="94"/>
    <d v="2015-05-28T00:00:00"/>
    <x v="1559"/>
    <n v="30"/>
    <n v="2051.6799999999998"/>
    <n v="88282"/>
  </r>
  <r>
    <n v="18507"/>
    <x v="4"/>
    <n v="0.1"/>
    <n v="130.97999999999999"/>
    <n v="54.74"/>
    <n v="2858"/>
    <x v="936"/>
    <x v="1"/>
    <x v="0"/>
    <x v="1"/>
    <x v="14"/>
    <x v="5"/>
    <x v="136"/>
    <n v="0.69"/>
    <x v="0"/>
    <x v="3"/>
    <x v="26"/>
    <x v="611"/>
    <n v="32259"/>
    <x v="94"/>
    <d v="2015-05-23T00:00:00"/>
    <x v="1560"/>
    <n v="42"/>
    <n v="5295.03"/>
    <n v="88282"/>
  </r>
  <r>
    <n v="18508"/>
    <x v="4"/>
    <n v="0.04"/>
    <n v="2.78"/>
    <n v="1.25"/>
    <n v="2858"/>
    <x v="936"/>
    <x v="2"/>
    <x v="0"/>
    <x v="0"/>
    <x v="0"/>
    <x v="0"/>
    <x v="732"/>
    <n v="0.59"/>
    <x v="0"/>
    <x v="3"/>
    <x v="26"/>
    <x v="611"/>
    <n v="32259"/>
    <x v="94"/>
    <d v="2015-05-23T00:00:00"/>
    <x v="1561"/>
    <n v="28"/>
    <n v="80.27"/>
    <n v="88282"/>
  </r>
  <r>
    <n v="20270"/>
    <x v="1"/>
    <n v="0.03"/>
    <n v="142.86000000000001"/>
    <n v="19.989999999999998"/>
    <n v="2859"/>
    <x v="937"/>
    <x v="2"/>
    <x v="0"/>
    <x v="0"/>
    <x v="10"/>
    <x v="3"/>
    <x v="589"/>
    <n v="0.56000000000000005"/>
    <x v="0"/>
    <x v="3"/>
    <x v="26"/>
    <x v="51"/>
    <n v="32601"/>
    <x v="113"/>
    <d v="2015-04-03T00:00:00"/>
    <x v="1562"/>
    <n v="23"/>
    <n v="3292.02"/>
    <n v="88281"/>
  </r>
  <r>
    <n v="23238"/>
    <x v="3"/>
    <n v="0.05"/>
    <n v="20.99"/>
    <n v="4.8099999999999996"/>
    <n v="2861"/>
    <x v="938"/>
    <x v="2"/>
    <x v="0"/>
    <x v="2"/>
    <x v="5"/>
    <x v="4"/>
    <x v="160"/>
    <n v="0.57999999999999996"/>
    <x v="0"/>
    <x v="2"/>
    <x v="13"/>
    <x v="728"/>
    <n v="67601"/>
    <x v="136"/>
    <d v="2015-02-28T00:00:00"/>
    <x v="1563"/>
    <n v="11"/>
    <n v="199.43"/>
    <n v="88280"/>
  </r>
  <r>
    <n v="25932"/>
    <x v="0"/>
    <n v="0"/>
    <n v="12.22"/>
    <n v="2.85"/>
    <n v="2862"/>
    <x v="939"/>
    <x v="2"/>
    <x v="0"/>
    <x v="1"/>
    <x v="2"/>
    <x v="2"/>
    <x v="775"/>
    <n v="0.55000000000000004"/>
    <x v="0"/>
    <x v="2"/>
    <x v="32"/>
    <x v="729"/>
    <n v="68128"/>
    <x v="86"/>
    <d v="2015-04-12T00:00:00"/>
    <x v="1564"/>
    <n v="9"/>
    <n v="110.71"/>
    <n v="88278"/>
  </r>
  <r>
    <n v="23136"/>
    <x v="2"/>
    <n v="0.01"/>
    <n v="13.79"/>
    <n v="8.7799999999999994"/>
    <n v="2865"/>
    <x v="940"/>
    <x v="2"/>
    <x v="0"/>
    <x v="1"/>
    <x v="2"/>
    <x v="3"/>
    <x v="245"/>
    <n v="0.43"/>
    <x v="0"/>
    <x v="2"/>
    <x v="7"/>
    <x v="730"/>
    <n v="75460"/>
    <x v="67"/>
    <d v="2015-02-25T00:00:00"/>
    <x v="1565"/>
    <n v="4"/>
    <n v="56.68"/>
    <n v="90871"/>
  </r>
  <r>
    <n v="23137"/>
    <x v="2"/>
    <n v="0.04"/>
    <n v="33.29"/>
    <n v="8.74"/>
    <n v="2865"/>
    <x v="940"/>
    <x v="2"/>
    <x v="0"/>
    <x v="0"/>
    <x v="10"/>
    <x v="3"/>
    <x v="829"/>
    <n v="0.61"/>
    <x v="0"/>
    <x v="2"/>
    <x v="7"/>
    <x v="730"/>
    <n v="75460"/>
    <x v="67"/>
    <d v="2015-02-24T00:00:00"/>
    <x v="1566"/>
    <n v="8"/>
    <n v="273.33999999999997"/>
    <n v="90871"/>
  </r>
  <r>
    <n v="1529"/>
    <x v="0"/>
    <n v="0.01"/>
    <n v="125.99"/>
    <n v="8.99"/>
    <n v="2867"/>
    <x v="941"/>
    <x v="2"/>
    <x v="0"/>
    <x v="2"/>
    <x v="5"/>
    <x v="3"/>
    <x v="157"/>
    <n v="0.59"/>
    <x v="0"/>
    <x v="1"/>
    <x v="41"/>
    <x v="246"/>
    <n v="20016"/>
    <x v="89"/>
    <d v="2015-04-18T00:00:00"/>
    <x v="1567"/>
    <n v="2"/>
    <n v="226.88"/>
    <n v="11013"/>
  </r>
  <r>
    <n v="18998"/>
    <x v="0"/>
    <n v="0.03"/>
    <n v="896.99"/>
    <n v="19.989999999999998"/>
    <n v="2868"/>
    <x v="942"/>
    <x v="2"/>
    <x v="0"/>
    <x v="0"/>
    <x v="8"/>
    <x v="3"/>
    <x v="39"/>
    <n v="0.38"/>
    <x v="0"/>
    <x v="0"/>
    <x v="0"/>
    <x v="731"/>
    <n v="98026"/>
    <x v="176"/>
    <d v="2015-01-10T00:00:00"/>
    <x v="1568"/>
    <n v="6"/>
    <n v="5220.4799999999996"/>
    <n v="85826"/>
  </r>
  <r>
    <n v="19529"/>
    <x v="0"/>
    <n v="0.01"/>
    <n v="125.99"/>
    <n v="8.99"/>
    <n v="2868"/>
    <x v="942"/>
    <x v="2"/>
    <x v="0"/>
    <x v="2"/>
    <x v="5"/>
    <x v="3"/>
    <x v="157"/>
    <n v="0.59"/>
    <x v="0"/>
    <x v="0"/>
    <x v="0"/>
    <x v="731"/>
    <n v="98026"/>
    <x v="89"/>
    <d v="2015-04-18T00:00:00"/>
    <x v="1567"/>
    <n v="1"/>
    <n v="113.44"/>
    <n v="85827"/>
  </r>
  <r>
    <n v="19293"/>
    <x v="1"/>
    <n v="0.08"/>
    <n v="15.99"/>
    <n v="13.18"/>
    <n v="2868"/>
    <x v="942"/>
    <x v="0"/>
    <x v="0"/>
    <x v="0"/>
    <x v="8"/>
    <x v="3"/>
    <x v="222"/>
    <n v="0.37"/>
    <x v="0"/>
    <x v="0"/>
    <x v="0"/>
    <x v="731"/>
    <n v="98026"/>
    <x v="40"/>
    <d v="2015-05-27T00:00:00"/>
    <x v="1569"/>
    <n v="4"/>
    <n v="66.02"/>
    <n v="85828"/>
  </r>
  <r>
    <n v="25724"/>
    <x v="3"/>
    <n v="7.0000000000000007E-2"/>
    <n v="2.89"/>
    <n v="0.5"/>
    <n v="2873"/>
    <x v="943"/>
    <x v="2"/>
    <x v="2"/>
    <x v="0"/>
    <x v="9"/>
    <x v="3"/>
    <x v="277"/>
    <n v="0.38"/>
    <x v="0"/>
    <x v="3"/>
    <x v="26"/>
    <x v="732"/>
    <n v="33012"/>
    <x v="46"/>
    <d v="2015-01-24T00:00:00"/>
    <x v="1570"/>
    <n v="12"/>
    <n v="33.020000000000003"/>
    <n v="89872"/>
  </r>
  <r>
    <n v="25725"/>
    <x v="3"/>
    <n v="0"/>
    <n v="217.85"/>
    <n v="29.1"/>
    <n v="2873"/>
    <x v="943"/>
    <x v="1"/>
    <x v="2"/>
    <x v="1"/>
    <x v="11"/>
    <x v="5"/>
    <x v="830"/>
    <n v="0.68"/>
    <x v="0"/>
    <x v="3"/>
    <x v="26"/>
    <x v="732"/>
    <n v="33012"/>
    <x v="46"/>
    <d v="2015-01-23T00:00:00"/>
    <x v="1571"/>
    <n v="10"/>
    <n v="2273.1"/>
    <n v="89872"/>
  </r>
  <r>
    <n v="21768"/>
    <x v="4"/>
    <n v="0.05"/>
    <n v="4.84"/>
    <n v="0.71"/>
    <n v="2874"/>
    <x v="944"/>
    <x v="2"/>
    <x v="1"/>
    <x v="0"/>
    <x v="0"/>
    <x v="0"/>
    <x v="525"/>
    <n v="0.52"/>
    <x v="0"/>
    <x v="2"/>
    <x v="32"/>
    <x v="729"/>
    <n v="68128"/>
    <x v="34"/>
    <d v="2015-04-15T00:00:00"/>
    <x v="1572"/>
    <n v="4"/>
    <n v="19.489999999999998"/>
    <n v="89873"/>
  </r>
  <r>
    <n v="19246"/>
    <x v="2"/>
    <n v="0.03"/>
    <n v="304.99"/>
    <n v="19.989999999999998"/>
    <n v="2874"/>
    <x v="944"/>
    <x v="2"/>
    <x v="1"/>
    <x v="0"/>
    <x v="8"/>
    <x v="3"/>
    <x v="831"/>
    <n v="0.4"/>
    <x v="0"/>
    <x v="2"/>
    <x v="32"/>
    <x v="729"/>
    <n v="68128"/>
    <x v="33"/>
    <d v="2015-06-24T00:00:00"/>
    <x v="1573"/>
    <n v="19"/>
    <n v="5845.81"/>
    <n v="89874"/>
  </r>
  <r>
    <n v="19247"/>
    <x v="2"/>
    <n v="0.09"/>
    <n v="65.989999999999995"/>
    <n v="8.99"/>
    <n v="2874"/>
    <x v="944"/>
    <x v="2"/>
    <x v="1"/>
    <x v="2"/>
    <x v="5"/>
    <x v="3"/>
    <x v="832"/>
    <n v="0.57999999999999996"/>
    <x v="0"/>
    <x v="2"/>
    <x v="32"/>
    <x v="729"/>
    <n v="68128"/>
    <x v="33"/>
    <d v="2015-06-24T00:00:00"/>
    <x v="1574"/>
    <n v="12"/>
    <n v="633.85"/>
    <n v="89874"/>
  </r>
  <r>
    <n v="25599"/>
    <x v="1"/>
    <n v="0"/>
    <n v="8.33"/>
    <n v="1.99"/>
    <n v="2877"/>
    <x v="945"/>
    <x v="0"/>
    <x v="3"/>
    <x v="2"/>
    <x v="13"/>
    <x v="2"/>
    <x v="140"/>
    <n v="0.52"/>
    <x v="0"/>
    <x v="1"/>
    <x v="10"/>
    <x v="733"/>
    <n v="44070"/>
    <x v="21"/>
    <d v="2015-03-04T00:00:00"/>
    <x v="1575"/>
    <n v="12"/>
    <n v="107.51"/>
    <n v="91492"/>
  </r>
  <r>
    <n v="7599"/>
    <x v="1"/>
    <n v="0"/>
    <n v="8.33"/>
    <n v="1.99"/>
    <n v="2878"/>
    <x v="946"/>
    <x v="0"/>
    <x v="3"/>
    <x v="2"/>
    <x v="13"/>
    <x v="2"/>
    <x v="140"/>
    <n v="0.52"/>
    <x v="0"/>
    <x v="0"/>
    <x v="0"/>
    <x v="33"/>
    <n v="98107"/>
    <x v="21"/>
    <d v="2015-03-04T00:00:00"/>
    <x v="1576"/>
    <n v="47"/>
    <n v="421.08"/>
    <n v="54369"/>
  </r>
  <r>
    <n v="18642"/>
    <x v="3"/>
    <n v="0.05"/>
    <n v="6.68"/>
    <n v="6.93"/>
    <n v="2880"/>
    <x v="947"/>
    <x v="2"/>
    <x v="2"/>
    <x v="0"/>
    <x v="7"/>
    <x v="3"/>
    <x v="716"/>
    <n v="0.37"/>
    <x v="0"/>
    <x v="3"/>
    <x v="26"/>
    <x v="734"/>
    <n v="33160"/>
    <x v="145"/>
    <d v="2015-03-29T00:00:00"/>
    <x v="1577"/>
    <n v="11"/>
    <n v="77.2"/>
    <n v="88626"/>
  </r>
  <r>
    <n v="20315"/>
    <x v="4"/>
    <n v="0.09"/>
    <n v="243.98"/>
    <n v="43.32"/>
    <n v="2880"/>
    <x v="947"/>
    <x v="1"/>
    <x v="2"/>
    <x v="1"/>
    <x v="1"/>
    <x v="1"/>
    <x v="696"/>
    <n v="0.55000000000000004"/>
    <x v="0"/>
    <x v="3"/>
    <x v="26"/>
    <x v="734"/>
    <n v="33160"/>
    <x v="100"/>
    <d v="2015-05-13T00:00:00"/>
    <x v="1578"/>
    <n v="25"/>
    <n v="5587.89"/>
    <n v="88627"/>
  </r>
  <r>
    <n v="7718"/>
    <x v="0"/>
    <n v="0.03"/>
    <n v="4.0599999999999996"/>
    <n v="6.89"/>
    <n v="2882"/>
    <x v="948"/>
    <x v="2"/>
    <x v="3"/>
    <x v="0"/>
    <x v="15"/>
    <x v="3"/>
    <x v="326"/>
    <n v="0.6"/>
    <x v="0"/>
    <x v="3"/>
    <x v="24"/>
    <x v="78"/>
    <n v="28206"/>
    <x v="63"/>
    <d v="2015-02-22T00:00:00"/>
    <x v="1579"/>
    <n v="37"/>
    <n v="159.88999999999999"/>
    <n v="55300"/>
  </r>
  <r>
    <n v="7719"/>
    <x v="0"/>
    <n v="0.01"/>
    <n v="3.75"/>
    <n v="0.5"/>
    <n v="2882"/>
    <x v="948"/>
    <x v="2"/>
    <x v="3"/>
    <x v="0"/>
    <x v="9"/>
    <x v="3"/>
    <x v="833"/>
    <n v="0.37"/>
    <x v="0"/>
    <x v="3"/>
    <x v="24"/>
    <x v="78"/>
    <n v="28206"/>
    <x v="63"/>
    <d v="2015-02-21T00:00:00"/>
    <x v="1580"/>
    <n v="48"/>
    <n v="180.48"/>
    <n v="55300"/>
  </r>
  <r>
    <n v="7720"/>
    <x v="0"/>
    <n v="0.02"/>
    <n v="10.68"/>
    <n v="13.04"/>
    <n v="2882"/>
    <x v="948"/>
    <x v="2"/>
    <x v="3"/>
    <x v="1"/>
    <x v="2"/>
    <x v="6"/>
    <x v="834"/>
    <n v="0.6"/>
    <x v="0"/>
    <x v="3"/>
    <x v="24"/>
    <x v="78"/>
    <n v="28206"/>
    <x v="63"/>
    <d v="2015-02-22T00:00:00"/>
    <x v="1581"/>
    <n v="31"/>
    <n v="350.48"/>
    <n v="55300"/>
  </r>
  <r>
    <n v="2314"/>
    <x v="0"/>
    <n v="7.0000000000000007E-2"/>
    <n v="28.99"/>
    <n v="8.59"/>
    <n v="2882"/>
    <x v="948"/>
    <x v="2"/>
    <x v="3"/>
    <x v="2"/>
    <x v="5"/>
    <x v="4"/>
    <x v="693"/>
    <n v="0.56000000000000005"/>
    <x v="0"/>
    <x v="3"/>
    <x v="24"/>
    <x v="78"/>
    <n v="28206"/>
    <x v="91"/>
    <d v="2015-03-19T00:00:00"/>
    <x v="1582"/>
    <n v="39"/>
    <n v="936.8"/>
    <n v="16676"/>
  </r>
  <r>
    <n v="694"/>
    <x v="2"/>
    <n v="0.05"/>
    <n v="6.48"/>
    <n v="8.73"/>
    <n v="2882"/>
    <x v="948"/>
    <x v="2"/>
    <x v="3"/>
    <x v="0"/>
    <x v="7"/>
    <x v="3"/>
    <x v="758"/>
    <n v="0.37"/>
    <x v="0"/>
    <x v="3"/>
    <x v="24"/>
    <x v="78"/>
    <n v="28206"/>
    <x v="19"/>
    <d v="2015-05-09T00:00:00"/>
    <x v="1583"/>
    <n v="35"/>
    <n v="232.5"/>
    <n v="4839"/>
  </r>
  <r>
    <n v="3065"/>
    <x v="0"/>
    <n v="0.09"/>
    <n v="363.25"/>
    <n v="19.989999999999998"/>
    <n v="2882"/>
    <x v="948"/>
    <x v="2"/>
    <x v="3"/>
    <x v="0"/>
    <x v="15"/>
    <x v="3"/>
    <x v="451"/>
    <n v="0.56999999999999995"/>
    <x v="0"/>
    <x v="3"/>
    <x v="24"/>
    <x v="78"/>
    <n v="28206"/>
    <x v="75"/>
    <d v="2015-06-06T00:00:00"/>
    <x v="1584"/>
    <n v="21"/>
    <n v="7497.05"/>
    <n v="21958"/>
  </r>
  <r>
    <n v="5689"/>
    <x v="4"/>
    <n v="0.05"/>
    <n v="63.94"/>
    <n v="14.48"/>
    <n v="2882"/>
    <x v="948"/>
    <x v="0"/>
    <x v="3"/>
    <x v="1"/>
    <x v="2"/>
    <x v="3"/>
    <x v="176"/>
    <n v="0.46"/>
    <x v="0"/>
    <x v="3"/>
    <x v="24"/>
    <x v="78"/>
    <n v="28206"/>
    <x v="133"/>
    <d v="2015-07-07T00:00:00"/>
    <x v="1585"/>
    <n v="21"/>
    <n v="1336.35"/>
    <n v="40224"/>
  </r>
  <r>
    <n v="7137"/>
    <x v="4"/>
    <n v="0.02"/>
    <n v="43.98"/>
    <n v="1.99"/>
    <n v="2882"/>
    <x v="948"/>
    <x v="2"/>
    <x v="3"/>
    <x v="2"/>
    <x v="13"/>
    <x v="2"/>
    <x v="835"/>
    <n v="0.44"/>
    <x v="0"/>
    <x v="3"/>
    <x v="24"/>
    <x v="78"/>
    <n v="28206"/>
    <x v="72"/>
    <d v="2015-01-25T00:00:00"/>
    <x v="1586"/>
    <n v="40"/>
    <n v="1724.01"/>
    <n v="50917"/>
  </r>
  <r>
    <n v="18694"/>
    <x v="2"/>
    <n v="0.05"/>
    <n v="6.48"/>
    <n v="8.73"/>
    <n v="2883"/>
    <x v="949"/>
    <x v="2"/>
    <x v="3"/>
    <x v="0"/>
    <x v="7"/>
    <x v="3"/>
    <x v="758"/>
    <n v="0.37"/>
    <x v="0"/>
    <x v="1"/>
    <x v="10"/>
    <x v="733"/>
    <n v="44070"/>
    <x v="19"/>
    <d v="2015-05-09T00:00:00"/>
    <x v="1587"/>
    <n v="9"/>
    <n v="59.79"/>
    <n v="87632"/>
  </r>
  <r>
    <n v="20314"/>
    <x v="0"/>
    <n v="7.0000000000000007E-2"/>
    <n v="28.99"/>
    <n v="8.59"/>
    <n v="2884"/>
    <x v="950"/>
    <x v="2"/>
    <x v="3"/>
    <x v="2"/>
    <x v="5"/>
    <x v="4"/>
    <x v="693"/>
    <n v="0.56000000000000005"/>
    <x v="0"/>
    <x v="1"/>
    <x v="10"/>
    <x v="735"/>
    <n v="44039"/>
    <x v="91"/>
    <d v="2015-03-19T00:00:00"/>
    <x v="1588"/>
    <n v="10"/>
    <n v="240.21"/>
    <n v="87631"/>
  </r>
  <r>
    <n v="21065"/>
    <x v="0"/>
    <n v="0.09"/>
    <n v="363.25"/>
    <n v="19.989999999999998"/>
    <n v="2884"/>
    <x v="950"/>
    <x v="2"/>
    <x v="3"/>
    <x v="0"/>
    <x v="15"/>
    <x v="3"/>
    <x v="451"/>
    <n v="0.56999999999999995"/>
    <x v="0"/>
    <x v="1"/>
    <x v="10"/>
    <x v="735"/>
    <n v="44039"/>
    <x v="75"/>
    <d v="2015-06-06T00:00:00"/>
    <x v="1589"/>
    <n v="5"/>
    <n v="1785.01"/>
    <n v="87633"/>
  </r>
  <r>
    <n v="23689"/>
    <x v="4"/>
    <n v="0.05"/>
    <n v="63.94"/>
    <n v="14.48"/>
    <n v="2885"/>
    <x v="951"/>
    <x v="0"/>
    <x v="3"/>
    <x v="1"/>
    <x v="2"/>
    <x v="3"/>
    <x v="176"/>
    <n v="0.46"/>
    <x v="0"/>
    <x v="1"/>
    <x v="10"/>
    <x v="736"/>
    <n v="44133"/>
    <x v="133"/>
    <d v="2015-07-07T00:00:00"/>
    <x v="1590"/>
    <n v="5"/>
    <n v="318.18"/>
    <n v="87634"/>
  </r>
  <r>
    <n v="25718"/>
    <x v="0"/>
    <n v="0.03"/>
    <n v="4.0599999999999996"/>
    <n v="6.89"/>
    <n v="2886"/>
    <x v="952"/>
    <x v="2"/>
    <x v="3"/>
    <x v="0"/>
    <x v="15"/>
    <x v="3"/>
    <x v="326"/>
    <n v="0.6"/>
    <x v="0"/>
    <x v="1"/>
    <x v="10"/>
    <x v="737"/>
    <n v="44134"/>
    <x v="63"/>
    <d v="2015-02-22T00:00:00"/>
    <x v="1591"/>
    <n v="9"/>
    <n v="38.89"/>
    <n v="87630"/>
  </r>
  <r>
    <n v="25719"/>
    <x v="0"/>
    <n v="0.01"/>
    <n v="3.75"/>
    <n v="0.5"/>
    <n v="2886"/>
    <x v="952"/>
    <x v="2"/>
    <x v="3"/>
    <x v="0"/>
    <x v="9"/>
    <x v="3"/>
    <x v="833"/>
    <n v="0.37"/>
    <x v="0"/>
    <x v="1"/>
    <x v="10"/>
    <x v="737"/>
    <n v="44134"/>
    <x v="63"/>
    <d v="2015-02-21T00:00:00"/>
    <x v="1592"/>
    <n v="12"/>
    <n v="45.12"/>
    <n v="87630"/>
  </r>
  <r>
    <n v="25720"/>
    <x v="0"/>
    <n v="0.02"/>
    <n v="10.68"/>
    <n v="13.04"/>
    <n v="2886"/>
    <x v="952"/>
    <x v="2"/>
    <x v="3"/>
    <x v="1"/>
    <x v="2"/>
    <x v="6"/>
    <x v="834"/>
    <n v="0.6"/>
    <x v="0"/>
    <x v="1"/>
    <x v="10"/>
    <x v="737"/>
    <n v="44134"/>
    <x v="63"/>
    <d v="2015-02-22T00:00:00"/>
    <x v="1593"/>
    <n v="8"/>
    <n v="90.45"/>
    <n v="87630"/>
  </r>
  <r>
    <n v="21514"/>
    <x v="0"/>
    <n v="0.1"/>
    <n v="209.37"/>
    <n v="69"/>
    <n v="2892"/>
    <x v="953"/>
    <x v="2"/>
    <x v="3"/>
    <x v="1"/>
    <x v="11"/>
    <x v="6"/>
    <x v="575"/>
    <n v="0.79"/>
    <x v="0"/>
    <x v="2"/>
    <x v="22"/>
    <x v="738"/>
    <n v="48154"/>
    <x v="67"/>
    <d v="2015-02-25T00:00:00"/>
    <x v="1594"/>
    <n v="11"/>
    <n v="2125.12"/>
    <n v="90011"/>
  </r>
  <r>
    <n v="21515"/>
    <x v="0"/>
    <n v="7.0000000000000007E-2"/>
    <n v="4.9800000000000004"/>
    <n v="4.7"/>
    <n v="2893"/>
    <x v="954"/>
    <x v="2"/>
    <x v="3"/>
    <x v="0"/>
    <x v="7"/>
    <x v="3"/>
    <x v="594"/>
    <n v="0.38"/>
    <x v="0"/>
    <x v="2"/>
    <x v="22"/>
    <x v="711"/>
    <n v="48071"/>
    <x v="67"/>
    <d v="2015-02-24T00:00:00"/>
    <x v="1595"/>
    <n v="9"/>
    <n v="45.05"/>
    <n v="90011"/>
  </r>
  <r>
    <n v="19909"/>
    <x v="4"/>
    <n v="0.02"/>
    <n v="880.98"/>
    <n v="44.55"/>
    <n v="2896"/>
    <x v="955"/>
    <x v="1"/>
    <x v="1"/>
    <x v="1"/>
    <x v="14"/>
    <x v="5"/>
    <x v="270"/>
    <n v="0.62"/>
    <x v="0"/>
    <x v="2"/>
    <x v="3"/>
    <x v="739"/>
    <n v="56001"/>
    <x v="46"/>
    <d v="2015-01-26T00:00:00"/>
    <x v="1596"/>
    <n v="8"/>
    <n v="7045.02"/>
    <n v="86925"/>
  </r>
  <r>
    <n v="18198"/>
    <x v="2"/>
    <n v="0"/>
    <n v="22.84"/>
    <n v="16.920000000000002"/>
    <n v="2896"/>
    <x v="955"/>
    <x v="2"/>
    <x v="1"/>
    <x v="0"/>
    <x v="7"/>
    <x v="3"/>
    <x v="836"/>
    <n v="0.39"/>
    <x v="0"/>
    <x v="2"/>
    <x v="3"/>
    <x v="739"/>
    <n v="56001"/>
    <x v="14"/>
    <d v="2015-03-14T00:00:00"/>
    <x v="1597"/>
    <n v="15"/>
    <n v="370.62"/>
    <n v="86927"/>
  </r>
  <r>
    <n v="20304"/>
    <x v="0"/>
    <n v="0.05"/>
    <n v="80.97"/>
    <n v="30.06"/>
    <n v="2897"/>
    <x v="956"/>
    <x v="1"/>
    <x v="1"/>
    <x v="2"/>
    <x v="6"/>
    <x v="5"/>
    <x v="131"/>
    <n v="0.4"/>
    <x v="0"/>
    <x v="2"/>
    <x v="3"/>
    <x v="740"/>
    <n v="55369"/>
    <x v="169"/>
    <d v="2015-02-14T00:00:00"/>
    <x v="1598"/>
    <n v="11"/>
    <n v="904.25"/>
    <n v="86926"/>
  </r>
  <r>
    <n v="20305"/>
    <x v="0"/>
    <n v="0"/>
    <n v="6.48"/>
    <n v="10.050000000000001"/>
    <n v="2897"/>
    <x v="956"/>
    <x v="2"/>
    <x v="1"/>
    <x v="0"/>
    <x v="7"/>
    <x v="3"/>
    <x v="837"/>
    <n v="0.37"/>
    <x v="0"/>
    <x v="2"/>
    <x v="3"/>
    <x v="740"/>
    <n v="55369"/>
    <x v="169"/>
    <d v="2015-02-15T00:00:00"/>
    <x v="1599"/>
    <n v="2"/>
    <n v="16.309999999999999"/>
    <n v="86926"/>
  </r>
  <r>
    <n v="23151"/>
    <x v="1"/>
    <n v="0.06"/>
    <n v="70.89"/>
    <n v="89.3"/>
    <n v="2903"/>
    <x v="957"/>
    <x v="1"/>
    <x v="2"/>
    <x v="1"/>
    <x v="11"/>
    <x v="5"/>
    <x v="838"/>
    <n v="0.72"/>
    <x v="0"/>
    <x v="1"/>
    <x v="10"/>
    <x v="741"/>
    <n v="43068"/>
    <x v="97"/>
    <d v="2015-06-25T00:00:00"/>
    <x v="1600"/>
    <n v="6"/>
    <n v="364.26"/>
    <n v="87374"/>
  </r>
  <r>
    <n v="18611"/>
    <x v="0"/>
    <n v="7.0000000000000007E-2"/>
    <n v="4.13"/>
    <n v="0.99"/>
    <n v="2908"/>
    <x v="958"/>
    <x v="2"/>
    <x v="1"/>
    <x v="0"/>
    <x v="9"/>
    <x v="3"/>
    <x v="508"/>
    <n v="0.39"/>
    <x v="0"/>
    <x v="1"/>
    <x v="10"/>
    <x v="742"/>
    <n v="44125"/>
    <x v="176"/>
    <d v="2015-01-08T00:00:00"/>
    <x v="1601"/>
    <n v="4"/>
    <n v="16.07"/>
    <n v="88156"/>
  </r>
  <r>
    <n v="18612"/>
    <x v="0"/>
    <n v="0.03"/>
    <n v="22.72"/>
    <n v="8.99"/>
    <n v="2908"/>
    <x v="958"/>
    <x v="2"/>
    <x v="1"/>
    <x v="1"/>
    <x v="2"/>
    <x v="2"/>
    <x v="275"/>
    <n v="0.44"/>
    <x v="0"/>
    <x v="1"/>
    <x v="10"/>
    <x v="742"/>
    <n v="44125"/>
    <x v="176"/>
    <d v="2015-01-08T00:00:00"/>
    <x v="1488"/>
    <n v="1"/>
    <n v="25.26"/>
    <n v="88156"/>
  </r>
  <r>
    <n v="20827"/>
    <x v="1"/>
    <n v="0.05"/>
    <n v="34.979999999999997"/>
    <n v="7.53"/>
    <n v="2908"/>
    <x v="958"/>
    <x v="0"/>
    <x v="1"/>
    <x v="2"/>
    <x v="13"/>
    <x v="3"/>
    <x v="171"/>
    <n v="0.76"/>
    <x v="0"/>
    <x v="1"/>
    <x v="10"/>
    <x v="742"/>
    <n v="44125"/>
    <x v="136"/>
    <d v="2015-03-03T00:00:00"/>
    <x v="1602"/>
    <n v="16"/>
    <n v="581.08000000000004"/>
    <n v="88157"/>
  </r>
  <r>
    <n v="20828"/>
    <x v="1"/>
    <n v="0"/>
    <n v="3.14"/>
    <n v="1.92"/>
    <n v="2908"/>
    <x v="958"/>
    <x v="2"/>
    <x v="1"/>
    <x v="0"/>
    <x v="12"/>
    <x v="0"/>
    <x v="839"/>
    <n v="0.84"/>
    <x v="0"/>
    <x v="1"/>
    <x v="10"/>
    <x v="742"/>
    <n v="44125"/>
    <x v="136"/>
    <d v="2015-03-02T00:00:00"/>
    <x v="1603"/>
    <n v="8"/>
    <n v="27.53"/>
    <n v="88157"/>
  </r>
  <r>
    <n v="21290"/>
    <x v="0"/>
    <n v="0.04"/>
    <n v="4.13"/>
    <n v="0.99"/>
    <n v="2912"/>
    <x v="959"/>
    <x v="0"/>
    <x v="1"/>
    <x v="0"/>
    <x v="9"/>
    <x v="3"/>
    <x v="508"/>
    <n v="0.39"/>
    <x v="0"/>
    <x v="2"/>
    <x v="48"/>
    <x v="743"/>
    <n v="58201"/>
    <x v="65"/>
    <d v="2015-04-30T00:00:00"/>
    <x v="1604"/>
    <n v="7"/>
    <n v="32.33"/>
    <n v="87396"/>
  </r>
  <r>
    <n v="21291"/>
    <x v="0"/>
    <n v="0.06"/>
    <n v="55.48"/>
    <n v="14.3"/>
    <n v="2912"/>
    <x v="959"/>
    <x v="2"/>
    <x v="1"/>
    <x v="0"/>
    <x v="7"/>
    <x v="3"/>
    <x v="14"/>
    <n v="0.37"/>
    <x v="0"/>
    <x v="2"/>
    <x v="48"/>
    <x v="743"/>
    <n v="58201"/>
    <x v="65"/>
    <d v="2015-04-30T00:00:00"/>
    <x v="1605"/>
    <n v="12"/>
    <n v="642.05999999999995"/>
    <n v="87396"/>
  </r>
  <r>
    <n v="8310"/>
    <x v="3"/>
    <n v="0.05"/>
    <n v="535.64"/>
    <n v="14.7"/>
    <n v="2920"/>
    <x v="960"/>
    <x v="1"/>
    <x v="1"/>
    <x v="2"/>
    <x v="6"/>
    <x v="1"/>
    <x v="636"/>
    <n v="0.59"/>
    <x v="0"/>
    <x v="2"/>
    <x v="12"/>
    <x v="25"/>
    <n v="60603"/>
    <x v="31"/>
    <d v="2015-06-09T00:00:00"/>
    <x v="1606"/>
    <n v="2"/>
    <n v="1068.5999999999999"/>
    <n v="59365"/>
  </r>
  <r>
    <n v="18166"/>
    <x v="3"/>
    <n v="0"/>
    <n v="6.37"/>
    <n v="5.19"/>
    <n v="2923"/>
    <x v="961"/>
    <x v="2"/>
    <x v="3"/>
    <x v="0"/>
    <x v="8"/>
    <x v="3"/>
    <x v="214"/>
    <n v="0.38"/>
    <x v="0"/>
    <x v="1"/>
    <x v="30"/>
    <x v="744"/>
    <n v="21740"/>
    <x v="136"/>
    <d v="2015-03-02T00:00:00"/>
    <x v="1607"/>
    <n v="15"/>
    <n v="99.75"/>
    <n v="86592"/>
  </r>
  <r>
    <n v="18345"/>
    <x v="2"/>
    <n v="0.02"/>
    <n v="110.98"/>
    <n v="13.99"/>
    <n v="2924"/>
    <x v="962"/>
    <x v="2"/>
    <x v="3"/>
    <x v="1"/>
    <x v="2"/>
    <x v="4"/>
    <x v="649"/>
    <n v="0.69"/>
    <x v="0"/>
    <x v="1"/>
    <x v="30"/>
    <x v="745"/>
    <n v="20707"/>
    <x v="59"/>
    <d v="2015-01-18T00:00:00"/>
    <x v="1608"/>
    <n v="2"/>
    <n v="226.53"/>
    <n v="86591"/>
  </r>
  <r>
    <n v="18346"/>
    <x v="2"/>
    <n v="0.01"/>
    <n v="8.01"/>
    <n v="2.87"/>
    <n v="2924"/>
    <x v="962"/>
    <x v="2"/>
    <x v="3"/>
    <x v="0"/>
    <x v="7"/>
    <x v="0"/>
    <x v="840"/>
    <n v="0.4"/>
    <x v="0"/>
    <x v="1"/>
    <x v="30"/>
    <x v="745"/>
    <n v="20707"/>
    <x v="59"/>
    <d v="2015-01-18T00:00:00"/>
    <x v="1609"/>
    <n v="8"/>
    <n v="68.650000000000006"/>
    <n v="86591"/>
  </r>
  <r>
    <n v="25817"/>
    <x v="2"/>
    <n v="0.02"/>
    <n v="5.58"/>
    <n v="2.99"/>
    <n v="2928"/>
    <x v="963"/>
    <x v="2"/>
    <x v="3"/>
    <x v="0"/>
    <x v="8"/>
    <x v="3"/>
    <x v="841"/>
    <n v="0.37"/>
    <x v="0"/>
    <x v="3"/>
    <x v="39"/>
    <x v="746"/>
    <n v="29418"/>
    <x v="66"/>
    <d v="2015-05-28T00:00:00"/>
    <x v="1610"/>
    <n v="42"/>
    <n v="236.83"/>
    <n v="90218"/>
  </r>
  <r>
    <n v="25819"/>
    <x v="2"/>
    <n v="0.02"/>
    <n v="54.1"/>
    <n v="19.989999999999998"/>
    <n v="2928"/>
    <x v="963"/>
    <x v="2"/>
    <x v="3"/>
    <x v="0"/>
    <x v="10"/>
    <x v="3"/>
    <x v="725"/>
    <n v="0.59"/>
    <x v="0"/>
    <x v="3"/>
    <x v="39"/>
    <x v="746"/>
    <n v="29418"/>
    <x v="66"/>
    <d v="2015-05-27T00:00:00"/>
    <x v="1611"/>
    <n v="36"/>
    <n v="1944.87"/>
    <n v="90218"/>
  </r>
  <r>
    <n v="21313"/>
    <x v="1"/>
    <n v="0.1"/>
    <n v="11.55"/>
    <n v="2.36"/>
    <n v="2931"/>
    <x v="964"/>
    <x v="2"/>
    <x v="2"/>
    <x v="0"/>
    <x v="0"/>
    <x v="0"/>
    <x v="99"/>
    <n v="0.55000000000000004"/>
    <x v="0"/>
    <x v="0"/>
    <x v="1"/>
    <x v="747"/>
    <n v="95630"/>
    <x v="136"/>
    <d v="2015-02-28T00:00:00"/>
    <x v="1612"/>
    <n v="12"/>
    <n v="135.77000000000001"/>
    <n v="87619"/>
  </r>
  <r>
    <n v="24866"/>
    <x v="0"/>
    <n v="0.01"/>
    <n v="35.44"/>
    <n v="19.989999999999998"/>
    <n v="2932"/>
    <x v="965"/>
    <x v="2"/>
    <x v="2"/>
    <x v="0"/>
    <x v="7"/>
    <x v="3"/>
    <x v="611"/>
    <n v="0.38"/>
    <x v="0"/>
    <x v="1"/>
    <x v="18"/>
    <x v="205"/>
    <n v="6614"/>
    <x v="126"/>
    <d v="2015-04-23T00:00:00"/>
    <x v="1613"/>
    <n v="1"/>
    <n v="55.43"/>
    <n v="87620"/>
  </r>
  <r>
    <n v="24995"/>
    <x v="4"/>
    <n v="0.02"/>
    <n v="3.8"/>
    <n v="1.49"/>
    <n v="2935"/>
    <x v="966"/>
    <x v="2"/>
    <x v="2"/>
    <x v="0"/>
    <x v="8"/>
    <x v="3"/>
    <x v="27"/>
    <n v="0.38"/>
    <x v="0"/>
    <x v="1"/>
    <x v="15"/>
    <x v="28"/>
    <n v="2215"/>
    <x v="171"/>
    <d v="2015-05-15T00:00:00"/>
    <x v="1614"/>
    <n v="5"/>
    <n v="20.46"/>
    <n v="87617"/>
  </r>
  <r>
    <n v="24865"/>
    <x v="0"/>
    <n v="0.03"/>
    <n v="47.9"/>
    <n v="5.86"/>
    <n v="2938"/>
    <x v="967"/>
    <x v="2"/>
    <x v="2"/>
    <x v="0"/>
    <x v="7"/>
    <x v="3"/>
    <x v="661"/>
    <n v="0.37"/>
    <x v="0"/>
    <x v="1"/>
    <x v="15"/>
    <x v="748"/>
    <n v="2180"/>
    <x v="126"/>
    <d v="2015-04-25T00:00:00"/>
    <x v="1615"/>
    <n v="20"/>
    <n v="931.87"/>
    <n v="87620"/>
  </r>
  <r>
    <n v="23567"/>
    <x v="2"/>
    <n v="0.05"/>
    <n v="2.62"/>
    <n v="0.8"/>
    <n v="2941"/>
    <x v="968"/>
    <x v="2"/>
    <x v="2"/>
    <x v="0"/>
    <x v="3"/>
    <x v="0"/>
    <x v="505"/>
    <n v="0.39"/>
    <x v="0"/>
    <x v="1"/>
    <x v="2"/>
    <x v="106"/>
    <n v="7960"/>
    <x v="66"/>
    <d v="2015-05-27T00:00:00"/>
    <x v="1616"/>
    <n v="8"/>
    <n v="21.41"/>
    <n v="87618"/>
  </r>
  <r>
    <n v="19575"/>
    <x v="4"/>
    <n v="0.04"/>
    <n v="4.55"/>
    <n v="1.49"/>
    <n v="2944"/>
    <x v="969"/>
    <x v="2"/>
    <x v="0"/>
    <x v="0"/>
    <x v="8"/>
    <x v="3"/>
    <x v="516"/>
    <n v="0.35"/>
    <x v="0"/>
    <x v="2"/>
    <x v="22"/>
    <x v="514"/>
    <n v="48640"/>
    <x v="93"/>
    <d v="2015-03-07T00:00:00"/>
    <x v="1617"/>
    <n v="13"/>
    <n v="59.75"/>
    <n v="90309"/>
  </r>
  <r>
    <n v="26054"/>
    <x v="1"/>
    <n v="0.01"/>
    <n v="7.64"/>
    <n v="1.39"/>
    <n v="2947"/>
    <x v="970"/>
    <x v="2"/>
    <x v="3"/>
    <x v="0"/>
    <x v="4"/>
    <x v="3"/>
    <x v="784"/>
    <n v="0.36"/>
    <x v="0"/>
    <x v="1"/>
    <x v="4"/>
    <x v="749"/>
    <n v="14043"/>
    <x v="128"/>
    <d v="2015-02-07T00:00:00"/>
    <x v="1618"/>
    <n v="20"/>
    <n v="162.49"/>
    <n v="87511"/>
  </r>
  <r>
    <n v="25051"/>
    <x v="3"/>
    <n v="7.0000000000000007E-2"/>
    <n v="42.98"/>
    <n v="4.62"/>
    <n v="2951"/>
    <x v="971"/>
    <x v="0"/>
    <x v="0"/>
    <x v="0"/>
    <x v="15"/>
    <x v="3"/>
    <x v="647"/>
    <n v="0.56000000000000005"/>
    <x v="0"/>
    <x v="2"/>
    <x v="13"/>
    <x v="728"/>
    <n v="67601"/>
    <x v="2"/>
    <d v="2015-02-17T00:00:00"/>
    <x v="1619"/>
    <n v="19"/>
    <n v="819.4"/>
    <n v="91397"/>
  </r>
  <r>
    <n v="25052"/>
    <x v="3"/>
    <n v="0.03"/>
    <n v="89.99"/>
    <n v="42"/>
    <n v="2951"/>
    <x v="971"/>
    <x v="1"/>
    <x v="0"/>
    <x v="1"/>
    <x v="1"/>
    <x v="1"/>
    <x v="790"/>
    <n v="0.66"/>
    <x v="0"/>
    <x v="2"/>
    <x v="13"/>
    <x v="728"/>
    <n v="67601"/>
    <x v="2"/>
    <d v="2015-02-18T00:00:00"/>
    <x v="1620"/>
    <n v="19"/>
    <n v="1809.75"/>
    <n v="91397"/>
  </r>
  <r>
    <n v="25970"/>
    <x v="3"/>
    <n v="0.08"/>
    <n v="5.74"/>
    <n v="5.01"/>
    <n v="2952"/>
    <x v="972"/>
    <x v="0"/>
    <x v="0"/>
    <x v="0"/>
    <x v="8"/>
    <x v="3"/>
    <x v="697"/>
    <n v="0.39"/>
    <x v="0"/>
    <x v="1"/>
    <x v="10"/>
    <x v="750"/>
    <n v="43123"/>
    <x v="112"/>
    <d v="2015-04-17T00:00:00"/>
    <x v="1621"/>
    <n v="12"/>
    <n v="70.03"/>
    <n v="91398"/>
  </r>
  <r>
    <n v="21200"/>
    <x v="4"/>
    <n v="0.09"/>
    <n v="12.22"/>
    <n v="2.85"/>
    <n v="2954"/>
    <x v="973"/>
    <x v="2"/>
    <x v="3"/>
    <x v="1"/>
    <x v="2"/>
    <x v="2"/>
    <x v="775"/>
    <n v="0.55000000000000004"/>
    <x v="0"/>
    <x v="2"/>
    <x v="3"/>
    <x v="751"/>
    <n v="55119"/>
    <x v="49"/>
    <d v="2015-06-25T00:00:00"/>
    <x v="1622"/>
    <n v="9"/>
    <n v="102.43"/>
    <n v="86427"/>
  </r>
  <r>
    <n v="24817"/>
    <x v="3"/>
    <n v="0.1"/>
    <n v="37.94"/>
    <n v="5.08"/>
    <n v="2957"/>
    <x v="974"/>
    <x v="0"/>
    <x v="0"/>
    <x v="0"/>
    <x v="7"/>
    <x v="0"/>
    <x v="320"/>
    <n v="0.38"/>
    <x v="0"/>
    <x v="2"/>
    <x v="45"/>
    <x v="752"/>
    <n v="53209"/>
    <x v="57"/>
    <d v="2015-04-04T00:00:00"/>
    <x v="1623"/>
    <n v="4"/>
    <n v="137.76"/>
    <n v="90264"/>
  </r>
  <r>
    <n v="25709"/>
    <x v="4"/>
    <n v="0.06"/>
    <n v="20.99"/>
    <n v="0.99"/>
    <n v="2958"/>
    <x v="975"/>
    <x v="2"/>
    <x v="0"/>
    <x v="2"/>
    <x v="5"/>
    <x v="0"/>
    <x v="842"/>
    <n v="0.37"/>
    <x v="0"/>
    <x v="2"/>
    <x v="45"/>
    <x v="753"/>
    <n v="54956"/>
    <x v="165"/>
    <d v="2015-03-28T00:00:00"/>
    <x v="1624"/>
    <n v="18"/>
    <n v="326.02999999999997"/>
    <n v="90265"/>
  </r>
  <r>
    <n v="19923"/>
    <x v="1"/>
    <n v="0.1"/>
    <n v="36.549999999999997"/>
    <n v="13.89"/>
    <n v="2960"/>
    <x v="976"/>
    <x v="2"/>
    <x v="0"/>
    <x v="0"/>
    <x v="0"/>
    <x v="0"/>
    <x v="463"/>
    <n v="0.41"/>
    <x v="0"/>
    <x v="3"/>
    <x v="40"/>
    <x v="754"/>
    <n v="72956"/>
    <x v="121"/>
    <d v="2015-04-07T00:00:00"/>
    <x v="1625"/>
    <n v="11"/>
    <n v="379.72"/>
    <n v="90646"/>
  </r>
  <r>
    <n v="20390"/>
    <x v="0"/>
    <n v="7.0000000000000007E-2"/>
    <n v="4.76"/>
    <n v="0.88"/>
    <n v="2962"/>
    <x v="977"/>
    <x v="0"/>
    <x v="3"/>
    <x v="0"/>
    <x v="7"/>
    <x v="0"/>
    <x v="817"/>
    <n v="0.39"/>
    <x v="0"/>
    <x v="0"/>
    <x v="21"/>
    <x v="64"/>
    <n v="80027"/>
    <x v="163"/>
    <d v="2015-05-09T00:00:00"/>
    <x v="1626"/>
    <n v="10"/>
    <n v="48.33"/>
    <n v="88611"/>
  </r>
  <r>
    <n v="22175"/>
    <x v="2"/>
    <n v="0.01"/>
    <n v="7.98"/>
    <n v="6.5"/>
    <n v="2963"/>
    <x v="978"/>
    <x v="2"/>
    <x v="3"/>
    <x v="0"/>
    <x v="10"/>
    <x v="4"/>
    <x v="843"/>
    <n v="0.59"/>
    <x v="0"/>
    <x v="1"/>
    <x v="30"/>
    <x v="755"/>
    <n v="21220"/>
    <x v="33"/>
    <d v="2015-06-23T00:00:00"/>
    <x v="1627"/>
    <n v="4"/>
    <n v="34.909999999999997"/>
    <n v="88612"/>
  </r>
  <r>
    <n v="25953"/>
    <x v="0"/>
    <n v="0.06"/>
    <n v="42.98"/>
    <n v="4.62"/>
    <n v="2964"/>
    <x v="979"/>
    <x v="2"/>
    <x v="3"/>
    <x v="0"/>
    <x v="15"/>
    <x v="3"/>
    <x v="647"/>
    <n v="0.56000000000000005"/>
    <x v="0"/>
    <x v="1"/>
    <x v="10"/>
    <x v="521"/>
    <n v="43050"/>
    <x v="109"/>
    <d v="2015-04-23T00:00:00"/>
    <x v="1628"/>
    <n v="1"/>
    <n v="47.04"/>
    <n v="88610"/>
  </r>
  <r>
    <n v="21390"/>
    <x v="1"/>
    <n v="0.08"/>
    <n v="9.68"/>
    <n v="2.0299999999999998"/>
    <n v="2968"/>
    <x v="980"/>
    <x v="2"/>
    <x v="2"/>
    <x v="0"/>
    <x v="7"/>
    <x v="0"/>
    <x v="844"/>
    <n v="0.37"/>
    <x v="0"/>
    <x v="3"/>
    <x v="26"/>
    <x v="756"/>
    <n v="33021"/>
    <x v="11"/>
    <d v="2015-02-24T00:00:00"/>
    <x v="1629"/>
    <n v="1"/>
    <n v="10.94"/>
    <n v="86085"/>
  </r>
  <r>
    <n v="21391"/>
    <x v="1"/>
    <n v="0.04"/>
    <n v="150.97999999999999"/>
    <n v="16.010000000000002"/>
    <n v="2968"/>
    <x v="980"/>
    <x v="1"/>
    <x v="2"/>
    <x v="1"/>
    <x v="11"/>
    <x v="5"/>
    <x v="845"/>
    <n v="0.7"/>
    <x v="0"/>
    <x v="3"/>
    <x v="26"/>
    <x v="756"/>
    <n v="33021"/>
    <x v="11"/>
    <d v="2015-02-23T00:00:00"/>
    <x v="1630"/>
    <n v="5"/>
    <n v="731.38"/>
    <n v="86085"/>
  </r>
  <r>
    <n v="18041"/>
    <x v="0"/>
    <n v="0.06"/>
    <n v="363.25"/>
    <n v="19.989999999999998"/>
    <n v="2968"/>
    <x v="980"/>
    <x v="2"/>
    <x v="2"/>
    <x v="0"/>
    <x v="15"/>
    <x v="3"/>
    <x v="451"/>
    <n v="0.56999999999999995"/>
    <x v="0"/>
    <x v="3"/>
    <x v="26"/>
    <x v="756"/>
    <n v="33021"/>
    <x v="145"/>
    <d v="2015-03-30T00:00:00"/>
    <x v="1631"/>
    <n v="1"/>
    <n v="344.87"/>
    <n v="86086"/>
  </r>
  <r>
    <n v="21096"/>
    <x v="0"/>
    <n v="0.01"/>
    <n v="30.97"/>
    <n v="4"/>
    <n v="2973"/>
    <x v="981"/>
    <x v="2"/>
    <x v="1"/>
    <x v="2"/>
    <x v="13"/>
    <x v="3"/>
    <x v="846"/>
    <n v="0.74"/>
    <x v="0"/>
    <x v="2"/>
    <x v="45"/>
    <x v="757"/>
    <n v="53151"/>
    <x v="53"/>
    <d v="2015-04-15T00:00:00"/>
    <x v="1632"/>
    <n v="17"/>
    <n v="523.05999999999995"/>
    <n v="87186"/>
  </r>
  <r>
    <n v="21097"/>
    <x v="0"/>
    <n v="0.08"/>
    <n v="125.99"/>
    <n v="7.69"/>
    <n v="2973"/>
    <x v="981"/>
    <x v="2"/>
    <x v="1"/>
    <x v="2"/>
    <x v="5"/>
    <x v="3"/>
    <x v="442"/>
    <n v="0.57999999999999996"/>
    <x v="0"/>
    <x v="2"/>
    <x v="45"/>
    <x v="757"/>
    <n v="53151"/>
    <x v="53"/>
    <d v="2015-04-15T00:00:00"/>
    <x v="1633"/>
    <n v="23"/>
    <n v="2424.6799999999998"/>
    <n v="87186"/>
  </r>
  <r>
    <n v="24770"/>
    <x v="2"/>
    <n v="0.1"/>
    <n v="442.14"/>
    <n v="14.7"/>
    <n v="2973"/>
    <x v="981"/>
    <x v="1"/>
    <x v="1"/>
    <x v="2"/>
    <x v="6"/>
    <x v="1"/>
    <x v="110"/>
    <n v="0.56000000000000005"/>
    <x v="0"/>
    <x v="2"/>
    <x v="45"/>
    <x v="757"/>
    <n v="53151"/>
    <x v="135"/>
    <d v="2015-05-21T00:00:00"/>
    <x v="1634"/>
    <n v="6"/>
    <n v="2411.4299999999998"/>
    <n v="87187"/>
  </r>
  <r>
    <n v="19599"/>
    <x v="3"/>
    <n v="0.01"/>
    <n v="35.99"/>
    <n v="0.99"/>
    <n v="2976"/>
    <x v="982"/>
    <x v="2"/>
    <x v="2"/>
    <x v="2"/>
    <x v="5"/>
    <x v="2"/>
    <x v="771"/>
    <n v="0.35"/>
    <x v="0"/>
    <x v="2"/>
    <x v="45"/>
    <x v="758"/>
    <n v="53154"/>
    <x v="55"/>
    <d v="2015-05-23T00:00:00"/>
    <x v="1635"/>
    <n v="41"/>
    <n v="1278.96"/>
    <n v="89047"/>
  </r>
  <r>
    <n v="20182"/>
    <x v="2"/>
    <n v="0.09"/>
    <n v="2.94"/>
    <n v="0.7"/>
    <n v="2979"/>
    <x v="983"/>
    <x v="2"/>
    <x v="0"/>
    <x v="0"/>
    <x v="0"/>
    <x v="0"/>
    <x v="22"/>
    <n v="0.57999999999999996"/>
    <x v="0"/>
    <x v="2"/>
    <x v="48"/>
    <x v="759"/>
    <n v="58601"/>
    <x v="39"/>
    <d v="2015-01-28T00:00:00"/>
    <x v="1636"/>
    <n v="9"/>
    <n v="25.22"/>
    <n v="86544"/>
  </r>
  <r>
    <n v="18169"/>
    <x v="2"/>
    <n v="0.02"/>
    <n v="5.34"/>
    <n v="2.99"/>
    <n v="2979"/>
    <x v="983"/>
    <x v="2"/>
    <x v="0"/>
    <x v="0"/>
    <x v="8"/>
    <x v="3"/>
    <x v="289"/>
    <n v="0.38"/>
    <x v="0"/>
    <x v="2"/>
    <x v="48"/>
    <x v="759"/>
    <n v="58601"/>
    <x v="115"/>
    <d v="2015-02-28T00:00:00"/>
    <x v="1637"/>
    <n v="6"/>
    <n v="34.729999999999997"/>
    <n v="86545"/>
  </r>
  <r>
    <n v="18170"/>
    <x v="2"/>
    <n v="0.03"/>
    <n v="40.98"/>
    <n v="7.47"/>
    <n v="2979"/>
    <x v="983"/>
    <x v="2"/>
    <x v="0"/>
    <x v="0"/>
    <x v="8"/>
    <x v="3"/>
    <x v="493"/>
    <n v="0.37"/>
    <x v="0"/>
    <x v="2"/>
    <x v="48"/>
    <x v="759"/>
    <n v="58601"/>
    <x v="115"/>
    <d v="2015-02-27T00:00:00"/>
    <x v="1638"/>
    <n v="6"/>
    <n v="247.53"/>
    <n v="86545"/>
  </r>
  <r>
    <n v="18133"/>
    <x v="1"/>
    <n v="0.01"/>
    <n v="5.84"/>
    <n v="0.83"/>
    <n v="2979"/>
    <x v="983"/>
    <x v="2"/>
    <x v="0"/>
    <x v="0"/>
    <x v="0"/>
    <x v="0"/>
    <x v="341"/>
    <n v="0.49"/>
    <x v="0"/>
    <x v="2"/>
    <x v="48"/>
    <x v="759"/>
    <n v="58601"/>
    <x v="110"/>
    <d v="2015-06-16T00:00:00"/>
    <x v="1639"/>
    <n v="4"/>
    <n v="23.89"/>
    <n v="86546"/>
  </r>
  <r>
    <n v="20183"/>
    <x v="2"/>
    <n v="0.03"/>
    <n v="43.98"/>
    <n v="8.99"/>
    <n v="2980"/>
    <x v="984"/>
    <x v="2"/>
    <x v="0"/>
    <x v="0"/>
    <x v="0"/>
    <x v="2"/>
    <x v="404"/>
    <n v="0.57999999999999996"/>
    <x v="0"/>
    <x v="1"/>
    <x v="10"/>
    <x v="760"/>
    <n v="44870"/>
    <x v="39"/>
    <d v="2015-01-29T00:00:00"/>
    <x v="1640"/>
    <n v="10"/>
    <n v="454.4"/>
    <n v="86544"/>
  </r>
  <r>
    <n v="20184"/>
    <x v="2"/>
    <n v="0.06"/>
    <n v="1.1399999999999999"/>
    <n v="0.7"/>
    <n v="2980"/>
    <x v="984"/>
    <x v="2"/>
    <x v="0"/>
    <x v="0"/>
    <x v="3"/>
    <x v="0"/>
    <x v="366"/>
    <n v="0.38"/>
    <x v="0"/>
    <x v="1"/>
    <x v="10"/>
    <x v="760"/>
    <n v="44870"/>
    <x v="39"/>
    <d v="2015-01-30T00:00:00"/>
    <x v="1641"/>
    <n v="13"/>
    <n v="14.53"/>
    <n v="86544"/>
  </r>
  <r>
    <n v="20435"/>
    <x v="3"/>
    <n v="7.0000000000000007E-2"/>
    <n v="2.61"/>
    <n v="0.5"/>
    <n v="2980"/>
    <x v="984"/>
    <x v="2"/>
    <x v="0"/>
    <x v="0"/>
    <x v="9"/>
    <x v="3"/>
    <x v="413"/>
    <n v="0.39"/>
    <x v="0"/>
    <x v="1"/>
    <x v="10"/>
    <x v="760"/>
    <n v="44870"/>
    <x v="147"/>
    <d v="2015-02-27T00:00:00"/>
    <x v="1642"/>
    <n v="6"/>
    <n v="15.65"/>
    <n v="86547"/>
  </r>
  <r>
    <n v="23110"/>
    <x v="4"/>
    <n v="0.04"/>
    <n v="2.88"/>
    <n v="1.01"/>
    <n v="2980"/>
    <x v="984"/>
    <x v="2"/>
    <x v="0"/>
    <x v="0"/>
    <x v="0"/>
    <x v="0"/>
    <x v="279"/>
    <n v="0.55000000000000004"/>
    <x v="0"/>
    <x v="1"/>
    <x v="10"/>
    <x v="760"/>
    <n v="44870"/>
    <x v="155"/>
    <d v="2015-06-04T00:00:00"/>
    <x v="1643"/>
    <n v="39"/>
    <n v="111.92"/>
    <n v="86548"/>
  </r>
  <r>
    <n v="20816"/>
    <x v="2"/>
    <n v="0.09"/>
    <n v="100.98"/>
    <n v="35.840000000000003"/>
    <n v="2987"/>
    <x v="985"/>
    <x v="1"/>
    <x v="1"/>
    <x v="1"/>
    <x v="14"/>
    <x v="5"/>
    <x v="77"/>
    <n v="0.62"/>
    <x v="0"/>
    <x v="2"/>
    <x v="25"/>
    <x v="761"/>
    <n v="50265"/>
    <x v="162"/>
    <d v="2015-06-28T00:00:00"/>
    <x v="1644"/>
    <n v="17"/>
    <n v="1700.38"/>
    <n v="91180"/>
  </r>
  <r>
    <n v="20817"/>
    <x v="2"/>
    <n v="0.1"/>
    <n v="5.78"/>
    <n v="7.96"/>
    <n v="2987"/>
    <x v="985"/>
    <x v="2"/>
    <x v="1"/>
    <x v="0"/>
    <x v="7"/>
    <x v="3"/>
    <x v="847"/>
    <n v="0.36"/>
    <x v="0"/>
    <x v="2"/>
    <x v="25"/>
    <x v="761"/>
    <n v="50265"/>
    <x v="162"/>
    <d v="2015-06-28T00:00:00"/>
    <x v="1645"/>
    <n v="6"/>
    <n v="35.96"/>
    <n v="91180"/>
  </r>
  <r>
    <n v="22473"/>
    <x v="4"/>
    <n v="0.05"/>
    <n v="70.97"/>
    <n v="3.5"/>
    <n v="2991"/>
    <x v="986"/>
    <x v="2"/>
    <x v="1"/>
    <x v="0"/>
    <x v="15"/>
    <x v="3"/>
    <x v="235"/>
    <n v="0.59"/>
    <x v="0"/>
    <x v="2"/>
    <x v="45"/>
    <x v="762"/>
    <n v="53402"/>
    <x v="100"/>
    <d v="2015-05-13T00:00:00"/>
    <x v="1646"/>
    <n v="2"/>
    <n v="141.59"/>
    <n v="91466"/>
  </r>
  <r>
    <n v="22476"/>
    <x v="4"/>
    <n v="0"/>
    <n v="5.28"/>
    <n v="6.26"/>
    <n v="2992"/>
    <x v="987"/>
    <x v="2"/>
    <x v="1"/>
    <x v="0"/>
    <x v="7"/>
    <x v="3"/>
    <x v="489"/>
    <n v="0.4"/>
    <x v="0"/>
    <x v="2"/>
    <x v="45"/>
    <x v="763"/>
    <n v="53081"/>
    <x v="100"/>
    <d v="2015-05-15T00:00:00"/>
    <x v="1647"/>
    <n v="36"/>
    <n v="203.05"/>
    <n v="91466"/>
  </r>
  <r>
    <n v="20891"/>
    <x v="1"/>
    <n v="0.03"/>
    <n v="10.98"/>
    <n v="3.37"/>
    <n v="2999"/>
    <x v="988"/>
    <x v="2"/>
    <x v="3"/>
    <x v="0"/>
    <x v="12"/>
    <x v="2"/>
    <x v="63"/>
    <n v="0.56999999999999995"/>
    <x v="0"/>
    <x v="2"/>
    <x v="22"/>
    <x v="764"/>
    <n v="48237"/>
    <x v="98"/>
    <d v="2015-04-11T00:00:00"/>
    <x v="1648"/>
    <n v="5"/>
    <n v="56.19"/>
    <n v="87041"/>
  </r>
  <r>
    <n v="21499"/>
    <x v="4"/>
    <n v="0.01"/>
    <n v="10.14"/>
    <n v="2.27"/>
    <n v="3000"/>
    <x v="989"/>
    <x v="2"/>
    <x v="3"/>
    <x v="0"/>
    <x v="7"/>
    <x v="0"/>
    <x v="82"/>
    <n v="0.36"/>
    <x v="0"/>
    <x v="2"/>
    <x v="22"/>
    <x v="765"/>
    <n v="48342"/>
    <x v="161"/>
    <d v="2015-01-28T00:00:00"/>
    <x v="1649"/>
    <n v="4"/>
    <n v="40.799999999999997"/>
    <n v="87042"/>
  </r>
  <r>
    <n v="23836"/>
    <x v="1"/>
    <n v="0.03"/>
    <n v="5.4"/>
    <n v="7.78"/>
    <n v="3001"/>
    <x v="990"/>
    <x v="2"/>
    <x v="3"/>
    <x v="0"/>
    <x v="8"/>
    <x v="3"/>
    <x v="97"/>
    <n v="0.37"/>
    <x v="0"/>
    <x v="2"/>
    <x v="22"/>
    <x v="766"/>
    <n v="48060"/>
    <x v="83"/>
    <d v="2015-03-19T00:00:00"/>
    <x v="1650"/>
    <n v="21"/>
    <n v="117.87"/>
    <n v="87043"/>
  </r>
  <r>
    <n v="25282"/>
    <x v="3"/>
    <n v="0.03"/>
    <n v="85.99"/>
    <n v="0.99"/>
    <n v="3003"/>
    <x v="991"/>
    <x v="2"/>
    <x v="1"/>
    <x v="2"/>
    <x v="5"/>
    <x v="0"/>
    <x v="141"/>
    <n v="0.55000000000000004"/>
    <x v="0"/>
    <x v="0"/>
    <x v="44"/>
    <x v="767"/>
    <n v="83814"/>
    <x v="93"/>
    <d v="2015-03-06T00:00:00"/>
    <x v="1651"/>
    <n v="20"/>
    <n v="1503.05"/>
    <n v="91586"/>
  </r>
  <r>
    <n v="7664"/>
    <x v="4"/>
    <n v="0.08"/>
    <n v="6.48"/>
    <n v="6.81"/>
    <n v="3004"/>
    <x v="992"/>
    <x v="2"/>
    <x v="0"/>
    <x v="0"/>
    <x v="7"/>
    <x v="3"/>
    <x v="848"/>
    <n v="0.36"/>
    <x v="0"/>
    <x v="0"/>
    <x v="1"/>
    <x v="154"/>
    <n v="90049"/>
    <x v="104"/>
    <d v="2015-02-15T00:00:00"/>
    <x v="1652"/>
    <n v="58"/>
    <n v="382.33"/>
    <n v="54949"/>
  </r>
  <r>
    <n v="7665"/>
    <x v="4"/>
    <n v="0.09"/>
    <n v="20.98"/>
    <n v="53.03"/>
    <n v="3004"/>
    <x v="992"/>
    <x v="1"/>
    <x v="0"/>
    <x v="0"/>
    <x v="10"/>
    <x v="1"/>
    <x v="211"/>
    <n v="0.78"/>
    <x v="0"/>
    <x v="0"/>
    <x v="1"/>
    <x v="154"/>
    <n v="90049"/>
    <x v="104"/>
    <d v="2015-02-17T00:00:00"/>
    <x v="1653"/>
    <n v="13"/>
    <n v="356.61"/>
    <n v="54949"/>
  </r>
  <r>
    <n v="23295"/>
    <x v="2"/>
    <n v="0.05"/>
    <n v="122.99"/>
    <n v="19.989999999999998"/>
    <n v="3005"/>
    <x v="993"/>
    <x v="0"/>
    <x v="0"/>
    <x v="0"/>
    <x v="8"/>
    <x v="3"/>
    <x v="741"/>
    <n v="0.37"/>
    <x v="0"/>
    <x v="0"/>
    <x v="44"/>
    <x v="767"/>
    <n v="83814"/>
    <x v="178"/>
    <d v="2015-06-11T00:00:00"/>
    <x v="1654"/>
    <n v="12"/>
    <n v="1506.89"/>
    <n v="91389"/>
  </r>
  <r>
    <n v="25664"/>
    <x v="4"/>
    <n v="0.08"/>
    <n v="6.48"/>
    <n v="6.81"/>
    <n v="3006"/>
    <x v="994"/>
    <x v="2"/>
    <x v="0"/>
    <x v="0"/>
    <x v="7"/>
    <x v="3"/>
    <x v="848"/>
    <n v="0.36"/>
    <x v="0"/>
    <x v="0"/>
    <x v="44"/>
    <x v="768"/>
    <n v="83402"/>
    <x v="104"/>
    <d v="2015-02-15T00:00:00"/>
    <x v="1655"/>
    <n v="14"/>
    <n v="92.29"/>
    <n v="91388"/>
  </r>
  <r>
    <n v="25665"/>
    <x v="4"/>
    <n v="0.09"/>
    <n v="20.98"/>
    <n v="53.03"/>
    <n v="3006"/>
    <x v="994"/>
    <x v="1"/>
    <x v="0"/>
    <x v="0"/>
    <x v="10"/>
    <x v="1"/>
    <x v="211"/>
    <n v="0.78"/>
    <x v="0"/>
    <x v="0"/>
    <x v="44"/>
    <x v="768"/>
    <n v="83402"/>
    <x v="104"/>
    <d v="2015-02-17T00:00:00"/>
    <x v="1656"/>
    <n v="3"/>
    <n v="82.29"/>
    <n v="91388"/>
  </r>
  <r>
    <n v="23627"/>
    <x v="2"/>
    <n v="0.05"/>
    <n v="9.99"/>
    <n v="4.78"/>
    <n v="3008"/>
    <x v="995"/>
    <x v="2"/>
    <x v="1"/>
    <x v="0"/>
    <x v="7"/>
    <x v="3"/>
    <x v="627"/>
    <n v="0.4"/>
    <x v="0"/>
    <x v="2"/>
    <x v="3"/>
    <x v="769"/>
    <n v="55343"/>
    <x v="127"/>
    <d v="2015-03-07T00:00:00"/>
    <x v="1657"/>
    <n v="20"/>
    <n v="203.37"/>
    <n v="89414"/>
  </r>
  <r>
    <n v="24908"/>
    <x v="0"/>
    <n v="0.01"/>
    <n v="12.28"/>
    <n v="6.47"/>
    <n v="3008"/>
    <x v="995"/>
    <x v="2"/>
    <x v="1"/>
    <x v="0"/>
    <x v="7"/>
    <x v="3"/>
    <x v="849"/>
    <n v="0.38"/>
    <x v="0"/>
    <x v="2"/>
    <x v="3"/>
    <x v="769"/>
    <n v="55343"/>
    <x v="164"/>
    <d v="2015-06-12T00:00:00"/>
    <x v="1658"/>
    <n v="12"/>
    <n v="160.66"/>
    <n v="89415"/>
  </r>
  <r>
    <n v="7898"/>
    <x v="2"/>
    <n v="0.03"/>
    <n v="5.98"/>
    <n v="5.35"/>
    <n v="3011"/>
    <x v="996"/>
    <x v="2"/>
    <x v="0"/>
    <x v="0"/>
    <x v="7"/>
    <x v="3"/>
    <x v="515"/>
    <n v="0.4"/>
    <x v="0"/>
    <x v="1"/>
    <x v="15"/>
    <x v="28"/>
    <n v="2113"/>
    <x v="5"/>
    <d v="2015-05-29T00:00:00"/>
    <x v="1659"/>
    <n v="16"/>
    <n v="107.08"/>
    <n v="56486"/>
  </r>
  <r>
    <n v="1041"/>
    <x v="2"/>
    <n v="0.03"/>
    <n v="300.64999999999998"/>
    <n v="24.49"/>
    <n v="3011"/>
    <x v="996"/>
    <x v="2"/>
    <x v="0"/>
    <x v="0"/>
    <x v="15"/>
    <x v="6"/>
    <x v="850"/>
    <n v="0.52"/>
    <x v="0"/>
    <x v="1"/>
    <x v="15"/>
    <x v="28"/>
    <n v="2113"/>
    <x v="65"/>
    <d v="2015-04-30T00:00:00"/>
    <x v="1660"/>
    <n v="32"/>
    <n v="9705.4599999999991"/>
    <n v="7623"/>
  </r>
  <r>
    <n v="1042"/>
    <x v="2"/>
    <n v="0.06"/>
    <n v="49.99"/>
    <n v="19.989999999999998"/>
    <n v="3011"/>
    <x v="996"/>
    <x v="2"/>
    <x v="0"/>
    <x v="2"/>
    <x v="13"/>
    <x v="3"/>
    <x v="606"/>
    <n v="0.45"/>
    <x v="0"/>
    <x v="1"/>
    <x v="15"/>
    <x v="28"/>
    <n v="2113"/>
    <x v="65"/>
    <d v="2015-04-30T00:00:00"/>
    <x v="1661"/>
    <n v="67"/>
    <n v="3247.54"/>
    <n v="7623"/>
  </r>
  <r>
    <n v="1043"/>
    <x v="2"/>
    <n v="0.1"/>
    <n v="104.85"/>
    <n v="4.6500000000000004"/>
    <n v="3011"/>
    <x v="996"/>
    <x v="2"/>
    <x v="0"/>
    <x v="0"/>
    <x v="7"/>
    <x v="3"/>
    <x v="851"/>
    <n v="0.37"/>
    <x v="0"/>
    <x v="1"/>
    <x v="15"/>
    <x v="28"/>
    <n v="2113"/>
    <x v="65"/>
    <d v="2015-04-29T00:00:00"/>
    <x v="1662"/>
    <n v="58"/>
    <n v="5582.63"/>
    <n v="7623"/>
  </r>
  <r>
    <n v="19041"/>
    <x v="2"/>
    <n v="0.03"/>
    <n v="300.64999999999998"/>
    <n v="24.49"/>
    <n v="3012"/>
    <x v="997"/>
    <x v="2"/>
    <x v="0"/>
    <x v="0"/>
    <x v="15"/>
    <x v="6"/>
    <x v="850"/>
    <n v="0.52"/>
    <x v="0"/>
    <x v="1"/>
    <x v="4"/>
    <x v="770"/>
    <n v="14609"/>
    <x v="65"/>
    <d v="2015-04-30T00:00:00"/>
    <x v="1663"/>
    <n v="8"/>
    <n v="2426.36"/>
    <n v="86346"/>
  </r>
  <r>
    <n v="19042"/>
    <x v="2"/>
    <n v="0.06"/>
    <n v="49.99"/>
    <n v="19.989999999999998"/>
    <n v="3012"/>
    <x v="997"/>
    <x v="2"/>
    <x v="0"/>
    <x v="2"/>
    <x v="13"/>
    <x v="3"/>
    <x v="606"/>
    <n v="0.45"/>
    <x v="0"/>
    <x v="1"/>
    <x v="4"/>
    <x v="770"/>
    <n v="14609"/>
    <x v="65"/>
    <d v="2015-04-30T00:00:00"/>
    <x v="1664"/>
    <n v="17"/>
    <n v="824"/>
    <n v="86346"/>
  </r>
  <r>
    <n v="19043"/>
    <x v="2"/>
    <n v="0.1"/>
    <n v="104.85"/>
    <n v="4.6500000000000004"/>
    <n v="3012"/>
    <x v="997"/>
    <x v="2"/>
    <x v="0"/>
    <x v="0"/>
    <x v="7"/>
    <x v="3"/>
    <x v="851"/>
    <n v="0.37"/>
    <x v="0"/>
    <x v="1"/>
    <x v="4"/>
    <x v="770"/>
    <n v="14609"/>
    <x v="65"/>
    <d v="2015-04-29T00:00:00"/>
    <x v="1665"/>
    <n v="14"/>
    <n v="1347.53"/>
    <n v="86346"/>
  </r>
  <r>
    <n v="22064"/>
    <x v="2"/>
    <n v="0.01"/>
    <n v="5.58"/>
    <n v="5.3"/>
    <n v="3017"/>
    <x v="998"/>
    <x v="2"/>
    <x v="0"/>
    <x v="0"/>
    <x v="4"/>
    <x v="3"/>
    <x v="127"/>
    <n v="0.35"/>
    <x v="0"/>
    <x v="0"/>
    <x v="1"/>
    <x v="771"/>
    <n v="92024"/>
    <x v="85"/>
    <d v="2015-01-10T00:00:00"/>
    <x v="1666"/>
    <n v="1"/>
    <n v="11.16"/>
    <n v="89071"/>
  </r>
  <r>
    <n v="22065"/>
    <x v="2"/>
    <n v="0.03"/>
    <n v="3.98"/>
    <n v="0.7"/>
    <n v="3017"/>
    <x v="998"/>
    <x v="2"/>
    <x v="0"/>
    <x v="0"/>
    <x v="0"/>
    <x v="0"/>
    <x v="852"/>
    <n v="0.52"/>
    <x v="0"/>
    <x v="0"/>
    <x v="1"/>
    <x v="771"/>
    <n v="92024"/>
    <x v="85"/>
    <d v="2015-01-10T00:00:00"/>
    <x v="1667"/>
    <n v="11"/>
    <n v="45.22"/>
    <n v="89071"/>
  </r>
  <r>
    <n v="18950"/>
    <x v="4"/>
    <n v="0.01"/>
    <n v="4.9800000000000004"/>
    <n v="4.75"/>
    <n v="3035"/>
    <x v="999"/>
    <x v="2"/>
    <x v="1"/>
    <x v="0"/>
    <x v="7"/>
    <x v="3"/>
    <x v="853"/>
    <n v="0.36"/>
    <x v="0"/>
    <x v="2"/>
    <x v="12"/>
    <x v="772"/>
    <n v="60148"/>
    <x v="43"/>
    <d v="2015-01-20T00:00:00"/>
    <x v="1668"/>
    <n v="10"/>
    <n v="52.93"/>
    <n v="89128"/>
  </r>
  <r>
    <n v="18951"/>
    <x v="4"/>
    <n v="0.04"/>
    <n v="6.35"/>
    <n v="1.02"/>
    <n v="3035"/>
    <x v="999"/>
    <x v="2"/>
    <x v="1"/>
    <x v="0"/>
    <x v="7"/>
    <x v="0"/>
    <x v="318"/>
    <n v="0.39"/>
    <x v="0"/>
    <x v="2"/>
    <x v="12"/>
    <x v="772"/>
    <n v="60148"/>
    <x v="43"/>
    <d v="2015-01-20T00:00:00"/>
    <x v="1669"/>
    <n v="12"/>
    <n v="75.61"/>
    <n v="89128"/>
  </r>
  <r>
    <n v="19849"/>
    <x v="1"/>
    <n v="0.02"/>
    <n v="12.99"/>
    <n v="14.37"/>
    <n v="3036"/>
    <x v="1000"/>
    <x v="2"/>
    <x v="1"/>
    <x v="1"/>
    <x v="2"/>
    <x v="6"/>
    <x v="193"/>
    <n v="0.73"/>
    <x v="0"/>
    <x v="2"/>
    <x v="48"/>
    <x v="773"/>
    <n v="58554"/>
    <x v="59"/>
    <d v="2015-01-18T00:00:00"/>
    <x v="1670"/>
    <n v="5"/>
    <n v="67.64"/>
    <n v="89129"/>
  </r>
  <r>
    <n v="19850"/>
    <x v="1"/>
    <n v="0.05"/>
    <n v="35.44"/>
    <n v="7.5"/>
    <n v="3036"/>
    <x v="1000"/>
    <x v="2"/>
    <x v="1"/>
    <x v="0"/>
    <x v="7"/>
    <x v="3"/>
    <x v="854"/>
    <n v="0.38"/>
    <x v="0"/>
    <x v="2"/>
    <x v="48"/>
    <x v="773"/>
    <n v="58554"/>
    <x v="59"/>
    <d v="2015-01-18T00:00:00"/>
    <x v="1671"/>
    <n v="7"/>
    <n v="240.42"/>
    <n v="89129"/>
  </r>
  <r>
    <n v="19851"/>
    <x v="1"/>
    <n v="0.02"/>
    <n v="12.98"/>
    <n v="3.14"/>
    <n v="3036"/>
    <x v="1000"/>
    <x v="2"/>
    <x v="1"/>
    <x v="0"/>
    <x v="12"/>
    <x v="2"/>
    <x v="47"/>
    <n v="0.6"/>
    <x v="0"/>
    <x v="2"/>
    <x v="48"/>
    <x v="773"/>
    <n v="58554"/>
    <x v="59"/>
    <d v="2015-01-19T00:00:00"/>
    <x v="1672"/>
    <n v="14"/>
    <n v="184.4"/>
    <n v="89129"/>
  </r>
  <r>
    <n v="22201"/>
    <x v="2"/>
    <n v="0.08"/>
    <n v="178.47"/>
    <n v="19.989999999999998"/>
    <n v="3036"/>
    <x v="1000"/>
    <x v="2"/>
    <x v="1"/>
    <x v="0"/>
    <x v="10"/>
    <x v="3"/>
    <x v="179"/>
    <n v="0.55000000000000004"/>
    <x v="0"/>
    <x v="2"/>
    <x v="48"/>
    <x v="773"/>
    <n v="58554"/>
    <x v="114"/>
    <d v="2015-03-16T00:00:00"/>
    <x v="1673"/>
    <n v="22"/>
    <n v="3802.01"/>
    <n v="89130"/>
  </r>
  <r>
    <n v="19381"/>
    <x v="1"/>
    <n v="0.08"/>
    <n v="73.98"/>
    <n v="4"/>
    <n v="3041"/>
    <x v="1001"/>
    <x v="2"/>
    <x v="0"/>
    <x v="2"/>
    <x v="13"/>
    <x v="3"/>
    <x v="124"/>
    <n v="0.77"/>
    <x v="0"/>
    <x v="2"/>
    <x v="13"/>
    <x v="536"/>
    <n v="67846"/>
    <x v="7"/>
    <d v="2015-05-18T00:00:00"/>
    <x v="1674"/>
    <n v="17"/>
    <n v="1181.67"/>
    <n v="86102"/>
  </r>
  <r>
    <n v="19382"/>
    <x v="1"/>
    <n v="0.02"/>
    <n v="3.68"/>
    <n v="1.32"/>
    <n v="3041"/>
    <x v="1001"/>
    <x v="2"/>
    <x v="0"/>
    <x v="0"/>
    <x v="12"/>
    <x v="0"/>
    <x v="300"/>
    <n v="0.83"/>
    <x v="0"/>
    <x v="2"/>
    <x v="13"/>
    <x v="536"/>
    <n v="67846"/>
    <x v="7"/>
    <d v="2015-05-17T00:00:00"/>
    <x v="1675"/>
    <n v="8"/>
    <n v="29.93"/>
    <n v="86102"/>
  </r>
  <r>
    <n v="20049"/>
    <x v="3"/>
    <n v="7.0000000000000007E-2"/>
    <n v="14.48"/>
    <n v="6.46"/>
    <n v="3042"/>
    <x v="1002"/>
    <x v="2"/>
    <x v="2"/>
    <x v="0"/>
    <x v="8"/>
    <x v="3"/>
    <x v="855"/>
    <n v="0.38"/>
    <x v="0"/>
    <x v="2"/>
    <x v="13"/>
    <x v="774"/>
    <n v="67501"/>
    <x v="128"/>
    <d v="2015-02-05T00:00:00"/>
    <x v="1676"/>
    <n v="12"/>
    <n v="171.33"/>
    <n v="86101"/>
  </r>
  <r>
    <n v="21475"/>
    <x v="0"/>
    <n v="0"/>
    <n v="6.48"/>
    <n v="5.19"/>
    <n v="3045"/>
    <x v="1003"/>
    <x v="2"/>
    <x v="2"/>
    <x v="0"/>
    <x v="7"/>
    <x v="3"/>
    <x v="856"/>
    <n v="0.37"/>
    <x v="0"/>
    <x v="2"/>
    <x v="13"/>
    <x v="775"/>
    <n v="66048"/>
    <x v="132"/>
    <d v="2015-06-07T00:00:00"/>
    <x v="1677"/>
    <n v="12"/>
    <n v="84.04"/>
    <n v="86104"/>
  </r>
  <r>
    <n v="24415"/>
    <x v="0"/>
    <n v="0.05"/>
    <n v="120.98"/>
    <n v="30"/>
    <n v="3046"/>
    <x v="1004"/>
    <x v="1"/>
    <x v="2"/>
    <x v="1"/>
    <x v="1"/>
    <x v="1"/>
    <x v="478"/>
    <n v="0.64"/>
    <x v="0"/>
    <x v="2"/>
    <x v="13"/>
    <x v="776"/>
    <n v="66209"/>
    <x v="6"/>
    <d v="2015-02-14T00:00:00"/>
    <x v="1678"/>
    <n v="2"/>
    <n v="251.06"/>
    <n v="86103"/>
  </r>
  <r>
    <n v="23188"/>
    <x v="0"/>
    <n v="0.06"/>
    <n v="276.2"/>
    <n v="24.49"/>
    <n v="3048"/>
    <x v="1005"/>
    <x v="0"/>
    <x v="0"/>
    <x v="1"/>
    <x v="1"/>
    <x v="6"/>
    <x v="147"/>
    <m/>
    <x v="0"/>
    <x v="0"/>
    <x v="1"/>
    <x v="777"/>
    <n v="94704"/>
    <x v="93"/>
    <d v="2015-03-07T00:00:00"/>
    <x v="1679"/>
    <n v="10"/>
    <n v="2610.56"/>
    <n v="89789"/>
  </r>
  <r>
    <n v="25904"/>
    <x v="3"/>
    <n v="0.06"/>
    <n v="125.99"/>
    <n v="2.5"/>
    <n v="3053"/>
    <x v="1006"/>
    <x v="2"/>
    <x v="0"/>
    <x v="2"/>
    <x v="5"/>
    <x v="3"/>
    <x v="418"/>
    <n v="0.6"/>
    <x v="0"/>
    <x v="3"/>
    <x v="35"/>
    <x v="60"/>
    <n v="42071"/>
    <x v="118"/>
    <d v="2015-02-05T00:00:00"/>
    <x v="1680"/>
    <n v="11"/>
    <n v="1173.76"/>
    <n v="86662"/>
  </r>
  <r>
    <n v="20516"/>
    <x v="3"/>
    <n v="7.0000000000000007E-2"/>
    <n v="8.33"/>
    <n v="1.99"/>
    <n v="3063"/>
    <x v="1007"/>
    <x v="2"/>
    <x v="3"/>
    <x v="2"/>
    <x v="13"/>
    <x v="2"/>
    <x v="140"/>
    <n v="0.52"/>
    <x v="0"/>
    <x v="0"/>
    <x v="0"/>
    <x v="778"/>
    <n v="98034"/>
    <x v="115"/>
    <d v="2015-02-28T00:00:00"/>
    <x v="1681"/>
    <n v="6"/>
    <n v="50.28"/>
    <n v="88447"/>
  </r>
  <r>
    <n v="20517"/>
    <x v="3"/>
    <n v="0.03"/>
    <n v="499.99"/>
    <n v="24.49"/>
    <n v="3063"/>
    <x v="1007"/>
    <x v="2"/>
    <x v="3"/>
    <x v="2"/>
    <x v="16"/>
    <x v="6"/>
    <x v="857"/>
    <n v="0.36"/>
    <x v="0"/>
    <x v="0"/>
    <x v="0"/>
    <x v="778"/>
    <n v="98034"/>
    <x v="115"/>
    <d v="2015-02-27T00:00:00"/>
    <x v="1682"/>
    <n v="5"/>
    <n v="2570.4499999999998"/>
    <n v="88447"/>
  </r>
  <r>
    <n v="19652"/>
    <x v="1"/>
    <n v="0.03"/>
    <n v="20.99"/>
    <n v="0.99"/>
    <n v="3063"/>
    <x v="1007"/>
    <x v="2"/>
    <x v="3"/>
    <x v="2"/>
    <x v="5"/>
    <x v="0"/>
    <x v="201"/>
    <n v="0.56999999999999995"/>
    <x v="0"/>
    <x v="0"/>
    <x v="0"/>
    <x v="778"/>
    <n v="98034"/>
    <x v="84"/>
    <d v="2015-05-26T00:00:00"/>
    <x v="1683"/>
    <n v="9"/>
    <n v="158.87"/>
    <n v="88449"/>
  </r>
  <r>
    <n v="23811"/>
    <x v="4"/>
    <n v="0.03"/>
    <n v="6.45"/>
    <n v="1.34"/>
    <n v="3064"/>
    <x v="1008"/>
    <x v="2"/>
    <x v="3"/>
    <x v="0"/>
    <x v="7"/>
    <x v="0"/>
    <x v="858"/>
    <n v="0.36"/>
    <x v="0"/>
    <x v="0"/>
    <x v="0"/>
    <x v="779"/>
    <n v="98503"/>
    <x v="101"/>
    <d v="2015-01-19T00:00:00"/>
    <x v="1684"/>
    <n v="9"/>
    <n v="56.71"/>
    <n v="88448"/>
  </r>
  <r>
    <n v="25239"/>
    <x v="1"/>
    <n v="0.06"/>
    <n v="355.98"/>
    <n v="58.92"/>
    <n v="3067"/>
    <x v="1009"/>
    <x v="1"/>
    <x v="3"/>
    <x v="1"/>
    <x v="1"/>
    <x v="1"/>
    <x v="464"/>
    <n v="0.64"/>
    <x v="0"/>
    <x v="1"/>
    <x v="10"/>
    <x v="780"/>
    <n v="44515"/>
    <x v="21"/>
    <d v="2015-03-03T00:00:00"/>
    <x v="1685"/>
    <n v="14"/>
    <n v="5086.08"/>
    <n v="91376"/>
  </r>
  <r>
    <n v="21027"/>
    <x v="0"/>
    <n v="0.03"/>
    <n v="120.98"/>
    <n v="30"/>
    <n v="3069"/>
    <x v="1010"/>
    <x v="1"/>
    <x v="3"/>
    <x v="1"/>
    <x v="1"/>
    <x v="1"/>
    <x v="478"/>
    <n v="0.64"/>
    <x v="0"/>
    <x v="2"/>
    <x v="3"/>
    <x v="781"/>
    <n v="55128"/>
    <x v="144"/>
    <d v="2015-06-03T00:00:00"/>
    <x v="1686"/>
    <n v="15"/>
    <n v="1894.45"/>
    <n v="88191"/>
  </r>
  <r>
    <n v="21028"/>
    <x v="0"/>
    <n v="0.01"/>
    <n v="15.68"/>
    <n v="3.73"/>
    <n v="3069"/>
    <x v="1010"/>
    <x v="2"/>
    <x v="3"/>
    <x v="1"/>
    <x v="2"/>
    <x v="2"/>
    <x v="770"/>
    <n v="0.46"/>
    <x v="0"/>
    <x v="2"/>
    <x v="3"/>
    <x v="781"/>
    <n v="55128"/>
    <x v="144"/>
    <d v="2015-06-03T00:00:00"/>
    <x v="1687"/>
    <n v="12"/>
    <n v="200.72"/>
    <n v="88191"/>
  </r>
  <r>
    <n v="22213"/>
    <x v="2"/>
    <n v="0.09"/>
    <n v="1.82"/>
    <n v="0.83"/>
    <n v="3069"/>
    <x v="1010"/>
    <x v="2"/>
    <x v="3"/>
    <x v="0"/>
    <x v="0"/>
    <x v="0"/>
    <x v="859"/>
    <n v="0.56999999999999995"/>
    <x v="0"/>
    <x v="2"/>
    <x v="3"/>
    <x v="781"/>
    <n v="55128"/>
    <x v="79"/>
    <d v="2015-02-15T00:00:00"/>
    <x v="1688"/>
    <n v="22"/>
    <n v="36.82"/>
    <n v="88192"/>
  </r>
  <r>
    <n v="2063"/>
    <x v="4"/>
    <n v="0.06"/>
    <n v="19.23"/>
    <n v="6.15"/>
    <n v="3075"/>
    <x v="1011"/>
    <x v="2"/>
    <x v="0"/>
    <x v="1"/>
    <x v="2"/>
    <x v="2"/>
    <x v="159"/>
    <n v="0.44"/>
    <x v="0"/>
    <x v="0"/>
    <x v="1"/>
    <x v="154"/>
    <n v="90061"/>
    <x v="136"/>
    <d v="2015-02-28T00:00:00"/>
    <x v="1689"/>
    <n v="4"/>
    <n v="84.6"/>
    <n v="14756"/>
  </r>
  <r>
    <n v="19739"/>
    <x v="3"/>
    <n v="0"/>
    <n v="137.47999999999999"/>
    <n v="32.18"/>
    <n v="3076"/>
    <x v="1012"/>
    <x v="1"/>
    <x v="2"/>
    <x v="1"/>
    <x v="14"/>
    <x v="5"/>
    <x v="860"/>
    <n v="0.78"/>
    <x v="0"/>
    <x v="1"/>
    <x v="10"/>
    <x v="782"/>
    <n v="44224"/>
    <x v="0"/>
    <d v="2015-01-08T00:00:00"/>
    <x v="1690"/>
    <n v="2"/>
    <n v="296.75"/>
    <n v="88241"/>
  </r>
  <r>
    <n v="23816"/>
    <x v="3"/>
    <n v="7.0000000000000007E-2"/>
    <n v="300.97000000000003"/>
    <n v="7.18"/>
    <n v="3077"/>
    <x v="1013"/>
    <x v="2"/>
    <x v="2"/>
    <x v="2"/>
    <x v="13"/>
    <x v="3"/>
    <x v="394"/>
    <n v="0.48"/>
    <x v="0"/>
    <x v="1"/>
    <x v="10"/>
    <x v="783"/>
    <n v="44136"/>
    <x v="163"/>
    <d v="2015-05-09T00:00:00"/>
    <x v="1691"/>
    <n v="2"/>
    <n v="582.20000000000005"/>
    <n v="88239"/>
  </r>
  <r>
    <n v="25489"/>
    <x v="1"/>
    <n v="0.04"/>
    <n v="35.44"/>
    <n v="5.09"/>
    <n v="3078"/>
    <x v="1014"/>
    <x v="2"/>
    <x v="2"/>
    <x v="0"/>
    <x v="7"/>
    <x v="3"/>
    <x v="861"/>
    <n v="0.38"/>
    <x v="0"/>
    <x v="1"/>
    <x v="10"/>
    <x v="784"/>
    <n v="43615"/>
    <x v="164"/>
    <d v="2015-06-11T00:00:00"/>
    <x v="1692"/>
    <n v="5"/>
    <n v="171.93"/>
    <n v="88240"/>
  </r>
  <r>
    <n v="25490"/>
    <x v="1"/>
    <n v="0.08"/>
    <n v="3.98"/>
    <n v="0.7"/>
    <n v="3078"/>
    <x v="1014"/>
    <x v="2"/>
    <x v="2"/>
    <x v="0"/>
    <x v="0"/>
    <x v="0"/>
    <x v="852"/>
    <n v="0.52"/>
    <x v="0"/>
    <x v="1"/>
    <x v="10"/>
    <x v="784"/>
    <n v="43615"/>
    <x v="164"/>
    <d v="2015-06-14T00:00:00"/>
    <x v="1693"/>
    <n v="9"/>
    <n v="35.19"/>
    <n v="88240"/>
  </r>
  <r>
    <n v="5816"/>
    <x v="3"/>
    <n v="7.0000000000000007E-2"/>
    <n v="300.97000000000003"/>
    <n v="7.18"/>
    <n v="3079"/>
    <x v="1015"/>
    <x v="2"/>
    <x v="2"/>
    <x v="2"/>
    <x v="13"/>
    <x v="3"/>
    <x v="394"/>
    <n v="0.48"/>
    <x v="0"/>
    <x v="1"/>
    <x v="19"/>
    <x v="332"/>
    <n v="19112"/>
    <x v="163"/>
    <d v="2015-05-09T00:00:00"/>
    <x v="1691"/>
    <n v="7"/>
    <n v="2037.69"/>
    <n v="41253"/>
  </r>
  <r>
    <n v="7489"/>
    <x v="1"/>
    <n v="0.04"/>
    <n v="35.44"/>
    <n v="5.09"/>
    <n v="3079"/>
    <x v="1015"/>
    <x v="2"/>
    <x v="2"/>
    <x v="0"/>
    <x v="7"/>
    <x v="3"/>
    <x v="861"/>
    <n v="0.38"/>
    <x v="0"/>
    <x v="1"/>
    <x v="19"/>
    <x v="332"/>
    <n v="19112"/>
    <x v="164"/>
    <d v="2015-06-11T00:00:00"/>
    <x v="1694"/>
    <n v="21"/>
    <n v="722.1"/>
    <n v="53476"/>
  </r>
  <r>
    <n v="7490"/>
    <x v="1"/>
    <n v="0.08"/>
    <n v="3.98"/>
    <n v="0.7"/>
    <n v="3079"/>
    <x v="1015"/>
    <x v="2"/>
    <x v="2"/>
    <x v="0"/>
    <x v="0"/>
    <x v="0"/>
    <x v="852"/>
    <n v="0.52"/>
    <x v="0"/>
    <x v="1"/>
    <x v="19"/>
    <x v="332"/>
    <n v="19112"/>
    <x v="164"/>
    <d v="2015-06-14T00:00:00"/>
    <x v="1695"/>
    <n v="36"/>
    <n v="140.78"/>
    <n v="53476"/>
  </r>
  <r>
    <n v="7491"/>
    <x v="1"/>
    <n v="0.01"/>
    <n v="1.76"/>
    <n v="0.7"/>
    <n v="3079"/>
    <x v="1015"/>
    <x v="2"/>
    <x v="2"/>
    <x v="0"/>
    <x v="0"/>
    <x v="0"/>
    <x v="28"/>
    <n v="0.56000000000000005"/>
    <x v="0"/>
    <x v="1"/>
    <x v="19"/>
    <x v="332"/>
    <n v="19112"/>
    <x v="164"/>
    <d v="2015-06-12T00:00:00"/>
    <x v="1696"/>
    <n v="71"/>
    <n v="129.72"/>
    <n v="53476"/>
  </r>
  <r>
    <n v="7492"/>
    <x v="1"/>
    <n v="0.01"/>
    <n v="193.17"/>
    <n v="19.989999999999998"/>
    <n v="3079"/>
    <x v="1015"/>
    <x v="0"/>
    <x v="2"/>
    <x v="0"/>
    <x v="10"/>
    <x v="3"/>
    <x v="538"/>
    <n v="0.71"/>
    <x v="0"/>
    <x v="1"/>
    <x v="19"/>
    <x v="332"/>
    <n v="19112"/>
    <x v="164"/>
    <d v="2015-06-11T00:00:00"/>
    <x v="1697"/>
    <n v="63"/>
    <n v="12190.98"/>
    <n v="53476"/>
  </r>
  <r>
    <n v="1739"/>
    <x v="3"/>
    <n v="0"/>
    <n v="137.47999999999999"/>
    <n v="32.18"/>
    <n v="3079"/>
    <x v="1015"/>
    <x v="1"/>
    <x v="2"/>
    <x v="1"/>
    <x v="14"/>
    <x v="5"/>
    <x v="860"/>
    <n v="0.78"/>
    <x v="0"/>
    <x v="1"/>
    <x v="19"/>
    <x v="332"/>
    <n v="19112"/>
    <x v="0"/>
    <d v="2015-01-08T00:00:00"/>
    <x v="1690"/>
    <n v="10"/>
    <n v="1483.76"/>
    <n v="12480"/>
  </r>
  <r>
    <n v="6807"/>
    <x v="2"/>
    <n v="0"/>
    <n v="2.21"/>
    <n v="1"/>
    <n v="3079"/>
    <x v="1015"/>
    <x v="0"/>
    <x v="2"/>
    <x v="0"/>
    <x v="0"/>
    <x v="0"/>
    <x v="862"/>
    <n v="0.38"/>
    <x v="0"/>
    <x v="1"/>
    <x v="19"/>
    <x v="332"/>
    <n v="19112"/>
    <x v="69"/>
    <d v="2015-06-11T00:00:00"/>
    <x v="1698"/>
    <n v="33"/>
    <n v="87.18"/>
    <n v="48483"/>
  </r>
  <r>
    <n v="19756"/>
    <x v="0"/>
    <n v="0"/>
    <n v="65.989999999999995"/>
    <n v="5.99"/>
    <n v="3084"/>
    <x v="1016"/>
    <x v="0"/>
    <x v="2"/>
    <x v="2"/>
    <x v="5"/>
    <x v="3"/>
    <x v="788"/>
    <n v="0.57999999999999996"/>
    <x v="0"/>
    <x v="0"/>
    <x v="0"/>
    <x v="779"/>
    <n v="98503"/>
    <x v="18"/>
    <d v="2015-04-22T00:00:00"/>
    <x v="1699"/>
    <n v="14"/>
    <n v="798.89"/>
    <n v="89879"/>
  </r>
  <r>
    <n v="20589"/>
    <x v="1"/>
    <n v="0.01"/>
    <n v="7.1"/>
    <n v="6.05"/>
    <n v="3084"/>
    <x v="1016"/>
    <x v="2"/>
    <x v="2"/>
    <x v="0"/>
    <x v="8"/>
    <x v="3"/>
    <x v="227"/>
    <n v="0.39"/>
    <x v="0"/>
    <x v="0"/>
    <x v="0"/>
    <x v="779"/>
    <n v="98503"/>
    <x v="137"/>
    <d v="2015-06-25T00:00:00"/>
    <x v="1700"/>
    <n v="18"/>
    <n v="133.19"/>
    <n v="89880"/>
  </r>
  <r>
    <n v="20590"/>
    <x v="1"/>
    <n v="0.05"/>
    <n v="18.97"/>
    <n v="9.0299999999999994"/>
    <n v="3084"/>
    <x v="1016"/>
    <x v="2"/>
    <x v="2"/>
    <x v="0"/>
    <x v="7"/>
    <x v="3"/>
    <x v="273"/>
    <n v="0.37"/>
    <x v="0"/>
    <x v="0"/>
    <x v="0"/>
    <x v="779"/>
    <n v="98503"/>
    <x v="137"/>
    <d v="2015-06-25T00:00:00"/>
    <x v="1701"/>
    <n v="5"/>
    <n v="97.33"/>
    <n v="89880"/>
  </r>
  <r>
    <n v="20008"/>
    <x v="0"/>
    <n v="0.05"/>
    <n v="39.99"/>
    <n v="10.25"/>
    <n v="3086"/>
    <x v="1017"/>
    <x v="0"/>
    <x v="3"/>
    <x v="2"/>
    <x v="13"/>
    <x v="3"/>
    <x v="863"/>
    <n v="0.55000000000000004"/>
    <x v="0"/>
    <x v="3"/>
    <x v="26"/>
    <x v="785"/>
    <n v="34287"/>
    <x v="73"/>
    <d v="2015-05-19T00:00:00"/>
    <x v="1702"/>
    <n v="3"/>
    <n v="130.91"/>
    <n v="88380"/>
  </r>
  <r>
    <n v="21085"/>
    <x v="4"/>
    <n v="7.0000000000000007E-2"/>
    <n v="49.43"/>
    <n v="19.989999999999998"/>
    <n v="3089"/>
    <x v="1018"/>
    <x v="2"/>
    <x v="0"/>
    <x v="0"/>
    <x v="15"/>
    <x v="3"/>
    <x v="864"/>
    <n v="0.56999999999999995"/>
    <x v="0"/>
    <x v="2"/>
    <x v="13"/>
    <x v="776"/>
    <n v="66209"/>
    <x v="76"/>
    <d v="2015-01-29T00:00:00"/>
    <x v="1703"/>
    <n v="6"/>
    <n v="281.82"/>
    <n v="91219"/>
  </r>
  <r>
    <n v="20357"/>
    <x v="2"/>
    <n v="0.09"/>
    <n v="207.48"/>
    <n v="0.99"/>
    <n v="3095"/>
    <x v="1019"/>
    <x v="2"/>
    <x v="3"/>
    <x v="0"/>
    <x v="15"/>
    <x v="3"/>
    <x v="718"/>
    <n v="0.55000000000000004"/>
    <x v="0"/>
    <x v="1"/>
    <x v="10"/>
    <x v="786"/>
    <n v="45011"/>
    <x v="71"/>
    <d v="2015-01-21T00:00:00"/>
    <x v="1704"/>
    <n v="5"/>
    <n v="991.24"/>
    <n v="86220"/>
  </r>
  <r>
    <n v="21235"/>
    <x v="0"/>
    <n v="0.08"/>
    <n v="40.98"/>
    <n v="7.2"/>
    <n v="3096"/>
    <x v="1020"/>
    <x v="0"/>
    <x v="3"/>
    <x v="0"/>
    <x v="15"/>
    <x v="3"/>
    <x v="865"/>
    <n v="0.6"/>
    <x v="0"/>
    <x v="1"/>
    <x v="10"/>
    <x v="455"/>
    <n v="43026"/>
    <x v="84"/>
    <d v="2015-05-25T00:00:00"/>
    <x v="1705"/>
    <n v="3"/>
    <n v="119.86"/>
    <n v="86221"/>
  </r>
  <r>
    <n v="21236"/>
    <x v="0"/>
    <n v="0.08"/>
    <n v="8.1199999999999992"/>
    <n v="2.83"/>
    <n v="3096"/>
    <x v="1020"/>
    <x v="0"/>
    <x v="3"/>
    <x v="2"/>
    <x v="13"/>
    <x v="2"/>
    <x v="293"/>
    <n v="0.77"/>
    <x v="0"/>
    <x v="1"/>
    <x v="10"/>
    <x v="455"/>
    <n v="43026"/>
    <x v="84"/>
    <d v="2015-05-25T00:00:00"/>
    <x v="1706"/>
    <n v="12"/>
    <n v="98.77"/>
    <n v="86221"/>
  </r>
  <r>
    <n v="21237"/>
    <x v="0"/>
    <n v="0.02"/>
    <n v="262.11"/>
    <n v="62.74"/>
    <n v="3096"/>
    <x v="1020"/>
    <x v="1"/>
    <x v="3"/>
    <x v="1"/>
    <x v="11"/>
    <x v="5"/>
    <x v="866"/>
    <n v="0.75"/>
    <x v="0"/>
    <x v="1"/>
    <x v="10"/>
    <x v="455"/>
    <n v="43026"/>
    <x v="84"/>
    <d v="2015-05-25T00:00:00"/>
    <x v="1707"/>
    <n v="9"/>
    <n v="2495.35"/>
    <n v="86221"/>
  </r>
  <r>
    <n v="25999"/>
    <x v="2"/>
    <n v="0.04"/>
    <n v="33.89"/>
    <n v="5.0999999999999996"/>
    <n v="3096"/>
    <x v="1020"/>
    <x v="0"/>
    <x v="3"/>
    <x v="0"/>
    <x v="10"/>
    <x v="3"/>
    <x v="867"/>
    <n v="0.6"/>
    <x v="0"/>
    <x v="1"/>
    <x v="10"/>
    <x v="455"/>
    <n v="43026"/>
    <x v="77"/>
    <d v="2015-06-18T00:00:00"/>
    <x v="1708"/>
    <n v="6"/>
    <n v="200.83"/>
    <n v="86222"/>
  </r>
  <r>
    <n v="19816"/>
    <x v="2"/>
    <n v="0.05"/>
    <n v="35.44"/>
    <n v="5.09"/>
    <n v="3098"/>
    <x v="1021"/>
    <x v="2"/>
    <x v="3"/>
    <x v="0"/>
    <x v="7"/>
    <x v="3"/>
    <x v="861"/>
    <n v="0.38"/>
    <x v="0"/>
    <x v="1"/>
    <x v="4"/>
    <x v="787"/>
    <n v="11967"/>
    <x v="4"/>
    <d v="2015-04-09T00:00:00"/>
    <x v="1709"/>
    <n v="10"/>
    <n v="348.08"/>
    <n v="89314"/>
  </r>
  <r>
    <n v="22503"/>
    <x v="4"/>
    <n v="0"/>
    <n v="11.7"/>
    <n v="6.96"/>
    <n v="3098"/>
    <x v="1021"/>
    <x v="0"/>
    <x v="3"/>
    <x v="0"/>
    <x v="15"/>
    <x v="4"/>
    <x v="459"/>
    <n v="0.5"/>
    <x v="0"/>
    <x v="1"/>
    <x v="4"/>
    <x v="787"/>
    <n v="11967"/>
    <x v="77"/>
    <d v="2015-06-19T00:00:00"/>
    <x v="1710"/>
    <n v="10"/>
    <n v="131.69"/>
    <n v="89315"/>
  </r>
  <r>
    <n v="18930"/>
    <x v="4"/>
    <n v="0.06"/>
    <n v="2.89"/>
    <n v="0.5"/>
    <n v="3098"/>
    <x v="1021"/>
    <x v="2"/>
    <x v="3"/>
    <x v="0"/>
    <x v="9"/>
    <x v="3"/>
    <x v="277"/>
    <n v="0.38"/>
    <x v="0"/>
    <x v="1"/>
    <x v="4"/>
    <x v="787"/>
    <n v="11967"/>
    <x v="136"/>
    <d v="2015-02-28T00:00:00"/>
    <x v="1711"/>
    <n v="5"/>
    <n v="13.93"/>
    <n v="89316"/>
  </r>
  <r>
    <n v="19805"/>
    <x v="2"/>
    <n v="7.0000000000000007E-2"/>
    <n v="35.99"/>
    <n v="5"/>
    <n v="3100"/>
    <x v="1022"/>
    <x v="2"/>
    <x v="3"/>
    <x v="2"/>
    <x v="5"/>
    <x v="0"/>
    <x v="615"/>
    <n v="0.82"/>
    <x v="0"/>
    <x v="3"/>
    <x v="26"/>
    <x v="788"/>
    <n v="33334"/>
    <x v="78"/>
    <d v="2015-03-27T00:00:00"/>
    <x v="1712"/>
    <n v="1"/>
    <n v="31.71"/>
    <n v="89988"/>
  </r>
  <r>
    <n v="18087"/>
    <x v="2"/>
    <n v="0.04"/>
    <n v="3.08"/>
    <n v="0.99"/>
    <n v="3105"/>
    <x v="1023"/>
    <x v="2"/>
    <x v="1"/>
    <x v="0"/>
    <x v="9"/>
    <x v="3"/>
    <x v="675"/>
    <n v="0.37"/>
    <x v="0"/>
    <x v="3"/>
    <x v="35"/>
    <x v="60"/>
    <n v="42071"/>
    <x v="80"/>
    <d v="2015-03-21T00:00:00"/>
    <x v="1713"/>
    <n v="19"/>
    <n v="60.01"/>
    <n v="86327"/>
  </r>
  <r>
    <n v="18088"/>
    <x v="2"/>
    <n v="0.02"/>
    <n v="6.48"/>
    <n v="5.9"/>
    <n v="3105"/>
    <x v="1023"/>
    <x v="2"/>
    <x v="1"/>
    <x v="0"/>
    <x v="7"/>
    <x v="3"/>
    <x v="250"/>
    <n v="0.37"/>
    <x v="0"/>
    <x v="3"/>
    <x v="35"/>
    <x v="60"/>
    <n v="42071"/>
    <x v="80"/>
    <d v="2015-03-21T00:00:00"/>
    <x v="1714"/>
    <n v="13"/>
    <n v="90.98"/>
    <n v="86327"/>
  </r>
  <r>
    <n v="18089"/>
    <x v="2"/>
    <n v="0.04"/>
    <n v="125.99"/>
    <n v="4.2"/>
    <n v="3105"/>
    <x v="1023"/>
    <x v="2"/>
    <x v="1"/>
    <x v="2"/>
    <x v="5"/>
    <x v="3"/>
    <x v="868"/>
    <n v="0.59"/>
    <x v="0"/>
    <x v="3"/>
    <x v="35"/>
    <x v="60"/>
    <n v="42071"/>
    <x v="80"/>
    <d v="2015-03-22T00:00:00"/>
    <x v="1715"/>
    <n v="12"/>
    <n v="1270.7"/>
    <n v="86327"/>
  </r>
  <r>
    <n v="87"/>
    <x v="2"/>
    <n v="0.04"/>
    <n v="3.08"/>
    <n v="0.99"/>
    <n v="3106"/>
    <x v="1024"/>
    <x v="2"/>
    <x v="1"/>
    <x v="0"/>
    <x v="9"/>
    <x v="3"/>
    <x v="675"/>
    <n v="0.37"/>
    <x v="0"/>
    <x v="2"/>
    <x v="7"/>
    <x v="588"/>
    <n v="77041"/>
    <x v="80"/>
    <d v="2015-03-21T00:00:00"/>
    <x v="1716"/>
    <n v="75"/>
    <n v="236.87"/>
    <n v="548"/>
  </r>
  <r>
    <n v="88"/>
    <x v="2"/>
    <n v="0.02"/>
    <n v="6.48"/>
    <n v="5.9"/>
    <n v="3106"/>
    <x v="1024"/>
    <x v="2"/>
    <x v="1"/>
    <x v="0"/>
    <x v="7"/>
    <x v="3"/>
    <x v="250"/>
    <n v="0.37"/>
    <x v="0"/>
    <x v="2"/>
    <x v="7"/>
    <x v="588"/>
    <n v="77041"/>
    <x v="80"/>
    <d v="2015-03-21T00:00:00"/>
    <x v="1717"/>
    <n v="53"/>
    <n v="370.91"/>
    <n v="548"/>
  </r>
  <r>
    <n v="89"/>
    <x v="2"/>
    <n v="0.04"/>
    <n v="125.99"/>
    <n v="4.2"/>
    <n v="3106"/>
    <x v="1024"/>
    <x v="2"/>
    <x v="1"/>
    <x v="2"/>
    <x v="5"/>
    <x v="3"/>
    <x v="868"/>
    <n v="0.59"/>
    <x v="0"/>
    <x v="2"/>
    <x v="7"/>
    <x v="588"/>
    <n v="77041"/>
    <x v="80"/>
    <d v="2015-03-22T00:00:00"/>
    <x v="1718"/>
    <n v="47"/>
    <n v="4976.92"/>
    <n v="548"/>
  </r>
  <r>
    <n v="21120"/>
    <x v="1"/>
    <n v="7.0000000000000007E-2"/>
    <n v="34.54"/>
    <n v="14.72"/>
    <n v="3113"/>
    <x v="1025"/>
    <x v="2"/>
    <x v="0"/>
    <x v="0"/>
    <x v="8"/>
    <x v="3"/>
    <x v="869"/>
    <n v="0.37"/>
    <x v="0"/>
    <x v="3"/>
    <x v="11"/>
    <x v="789"/>
    <n v="70560"/>
    <x v="28"/>
    <d v="2015-05-18T00:00:00"/>
    <x v="1719"/>
    <n v="17"/>
    <n v="574.97"/>
    <n v="86860"/>
  </r>
  <r>
    <n v="21121"/>
    <x v="1"/>
    <n v="0.02"/>
    <n v="12.28"/>
    <n v="6.47"/>
    <n v="3113"/>
    <x v="1025"/>
    <x v="2"/>
    <x v="0"/>
    <x v="0"/>
    <x v="7"/>
    <x v="3"/>
    <x v="849"/>
    <n v="0.38"/>
    <x v="0"/>
    <x v="3"/>
    <x v="11"/>
    <x v="789"/>
    <n v="70560"/>
    <x v="28"/>
    <d v="2015-05-17T00:00:00"/>
    <x v="1720"/>
    <n v="9"/>
    <n v="115.22"/>
    <n v="86860"/>
  </r>
  <r>
    <n v="21122"/>
    <x v="1"/>
    <n v="0.06"/>
    <n v="34.58"/>
    <n v="8.99"/>
    <n v="3113"/>
    <x v="1025"/>
    <x v="0"/>
    <x v="0"/>
    <x v="0"/>
    <x v="0"/>
    <x v="2"/>
    <x v="870"/>
    <n v="0.56000000000000005"/>
    <x v="0"/>
    <x v="3"/>
    <x v="11"/>
    <x v="789"/>
    <n v="70560"/>
    <x v="28"/>
    <d v="2015-05-19T00:00:00"/>
    <x v="1721"/>
    <n v="13"/>
    <n v="456.58"/>
    <n v="86860"/>
  </r>
  <r>
    <n v="20795"/>
    <x v="2"/>
    <n v="0.08"/>
    <n v="349.45"/>
    <n v="60"/>
    <n v="3119"/>
    <x v="1026"/>
    <x v="1"/>
    <x v="0"/>
    <x v="1"/>
    <x v="11"/>
    <x v="1"/>
    <x v="356"/>
    <m/>
    <x v="0"/>
    <x v="3"/>
    <x v="26"/>
    <x v="790"/>
    <n v="32839"/>
    <x v="133"/>
    <d v="2015-07-02T00:00:00"/>
    <x v="1722"/>
    <n v="11"/>
    <n v="3772.19"/>
    <n v="86432"/>
  </r>
  <r>
    <n v="25473"/>
    <x v="1"/>
    <n v="0.08"/>
    <n v="315.98"/>
    <n v="19.989999999999998"/>
    <n v="3120"/>
    <x v="1027"/>
    <x v="2"/>
    <x v="1"/>
    <x v="0"/>
    <x v="8"/>
    <x v="3"/>
    <x v="871"/>
    <n v="0.38"/>
    <x v="0"/>
    <x v="3"/>
    <x v="11"/>
    <x v="791"/>
    <n v="70117"/>
    <x v="110"/>
    <d v="2015-06-14T00:00:00"/>
    <x v="1723"/>
    <n v="9"/>
    <n v="2642.48"/>
    <n v="90160"/>
  </r>
  <r>
    <n v="23764"/>
    <x v="4"/>
    <n v="0.02"/>
    <n v="7.1"/>
    <n v="6.05"/>
    <n v="3123"/>
    <x v="1028"/>
    <x v="2"/>
    <x v="1"/>
    <x v="0"/>
    <x v="8"/>
    <x v="3"/>
    <x v="227"/>
    <n v="0.39"/>
    <x v="0"/>
    <x v="2"/>
    <x v="12"/>
    <x v="792"/>
    <n v="60160"/>
    <x v="0"/>
    <d v="2015-01-09T00:00:00"/>
    <x v="1724"/>
    <n v="8"/>
    <n v="61.5"/>
    <n v="87287"/>
  </r>
  <r>
    <n v="25060"/>
    <x v="1"/>
    <n v="0.05"/>
    <n v="120.98"/>
    <n v="9.07"/>
    <n v="3124"/>
    <x v="1029"/>
    <x v="2"/>
    <x v="1"/>
    <x v="0"/>
    <x v="8"/>
    <x v="3"/>
    <x v="470"/>
    <n v="0.35"/>
    <x v="0"/>
    <x v="2"/>
    <x v="12"/>
    <x v="793"/>
    <n v="61265"/>
    <x v="155"/>
    <d v="2015-05-31T00:00:00"/>
    <x v="1725"/>
    <n v="11"/>
    <n v="1276.8800000000001"/>
    <n v="87286"/>
  </r>
  <r>
    <n v="25352"/>
    <x v="0"/>
    <n v="0.08"/>
    <n v="120.97"/>
    <n v="26.3"/>
    <n v="3125"/>
    <x v="1030"/>
    <x v="1"/>
    <x v="1"/>
    <x v="2"/>
    <x v="6"/>
    <x v="1"/>
    <x v="872"/>
    <n v="0.38"/>
    <x v="0"/>
    <x v="2"/>
    <x v="12"/>
    <x v="794"/>
    <n v="60056"/>
    <x v="99"/>
    <d v="2015-01-07T00:00:00"/>
    <x v="1726"/>
    <n v="2"/>
    <n v="233.58"/>
    <n v="87285"/>
  </r>
  <r>
    <n v="24457"/>
    <x v="4"/>
    <n v="0.08"/>
    <n v="3.69"/>
    <n v="2.5"/>
    <n v="3128"/>
    <x v="1031"/>
    <x v="2"/>
    <x v="2"/>
    <x v="0"/>
    <x v="4"/>
    <x v="3"/>
    <x v="488"/>
    <n v="0.39"/>
    <x v="0"/>
    <x v="3"/>
    <x v="11"/>
    <x v="795"/>
    <n v="71109"/>
    <x v="97"/>
    <d v="2015-06-30T00:00:00"/>
    <x v="1727"/>
    <n v="9"/>
    <n v="31.98"/>
    <n v="89810"/>
  </r>
  <r>
    <n v="20483"/>
    <x v="0"/>
    <n v="0.1"/>
    <n v="180.98"/>
    <n v="26.2"/>
    <n v="3132"/>
    <x v="1032"/>
    <x v="1"/>
    <x v="0"/>
    <x v="1"/>
    <x v="1"/>
    <x v="1"/>
    <x v="68"/>
    <n v="0.59"/>
    <x v="0"/>
    <x v="2"/>
    <x v="12"/>
    <x v="796"/>
    <n v="60060"/>
    <x v="33"/>
    <d v="2015-06-23T00:00:00"/>
    <x v="1728"/>
    <n v="3"/>
    <n v="519.41999999999996"/>
    <n v="86790"/>
  </r>
  <r>
    <n v="19258"/>
    <x v="3"/>
    <n v="0.04"/>
    <n v="62.05"/>
    <n v="3.99"/>
    <n v="3132"/>
    <x v="1032"/>
    <x v="2"/>
    <x v="0"/>
    <x v="0"/>
    <x v="15"/>
    <x v="3"/>
    <x v="873"/>
    <n v="0.55000000000000004"/>
    <x v="0"/>
    <x v="2"/>
    <x v="12"/>
    <x v="796"/>
    <n v="60060"/>
    <x v="28"/>
    <d v="2015-05-18T00:00:00"/>
    <x v="1729"/>
    <n v="40"/>
    <n v="2382.7199999999998"/>
    <n v="86794"/>
  </r>
  <r>
    <n v="22459"/>
    <x v="3"/>
    <n v="0.1"/>
    <n v="5.81"/>
    <n v="8.49"/>
    <n v="3133"/>
    <x v="1033"/>
    <x v="2"/>
    <x v="0"/>
    <x v="0"/>
    <x v="8"/>
    <x v="3"/>
    <x v="104"/>
    <n v="0.39"/>
    <x v="0"/>
    <x v="2"/>
    <x v="12"/>
    <x v="797"/>
    <n v="60540"/>
    <x v="59"/>
    <d v="2015-01-17T00:00:00"/>
    <x v="1730"/>
    <n v="12"/>
    <n v="64.959999999999994"/>
    <n v="86789"/>
  </r>
  <r>
    <n v="22460"/>
    <x v="3"/>
    <n v="0.03"/>
    <n v="1.81"/>
    <n v="0.75"/>
    <n v="3133"/>
    <x v="1033"/>
    <x v="2"/>
    <x v="0"/>
    <x v="0"/>
    <x v="3"/>
    <x v="0"/>
    <x v="874"/>
    <n v="0.52"/>
    <x v="0"/>
    <x v="2"/>
    <x v="12"/>
    <x v="797"/>
    <n v="60540"/>
    <x v="59"/>
    <d v="2015-01-17T00:00:00"/>
    <x v="1731"/>
    <n v="10"/>
    <n v="19.14"/>
    <n v="86789"/>
  </r>
  <r>
    <n v="21719"/>
    <x v="2"/>
    <n v="0.08"/>
    <n v="5.4"/>
    <n v="7.78"/>
    <n v="3133"/>
    <x v="1033"/>
    <x v="2"/>
    <x v="0"/>
    <x v="0"/>
    <x v="8"/>
    <x v="3"/>
    <x v="97"/>
    <n v="0.37"/>
    <x v="0"/>
    <x v="2"/>
    <x v="12"/>
    <x v="797"/>
    <n v="60540"/>
    <x v="30"/>
    <d v="2015-03-04T00:00:00"/>
    <x v="1732"/>
    <n v="4"/>
    <n v="25.35"/>
    <n v="86792"/>
  </r>
  <r>
    <n v="21720"/>
    <x v="2"/>
    <n v="0.09"/>
    <n v="8.4600000000000009"/>
    <n v="8.99"/>
    <n v="3133"/>
    <x v="1033"/>
    <x v="0"/>
    <x v="0"/>
    <x v="2"/>
    <x v="13"/>
    <x v="2"/>
    <x v="875"/>
    <n v="0.79"/>
    <x v="0"/>
    <x v="2"/>
    <x v="12"/>
    <x v="797"/>
    <n v="60540"/>
    <x v="30"/>
    <d v="2015-03-07T00:00:00"/>
    <x v="1733"/>
    <n v="5"/>
    <n v="45.03"/>
    <n v="86792"/>
  </r>
  <r>
    <n v="21721"/>
    <x v="2"/>
    <n v="0.21"/>
    <n v="14.98"/>
    <n v="8.99"/>
    <n v="3133"/>
    <x v="1033"/>
    <x v="2"/>
    <x v="0"/>
    <x v="1"/>
    <x v="2"/>
    <x v="2"/>
    <x v="826"/>
    <n v="0.39"/>
    <x v="0"/>
    <x v="2"/>
    <x v="12"/>
    <x v="797"/>
    <n v="60540"/>
    <x v="30"/>
    <d v="2015-03-05T00:00:00"/>
    <x v="1734"/>
    <n v="10"/>
    <n v="153.87"/>
    <n v="86792"/>
  </r>
  <r>
    <n v="21722"/>
    <x v="2"/>
    <n v="0.04"/>
    <n v="155.99"/>
    <n v="8.08"/>
    <n v="3133"/>
    <x v="1033"/>
    <x v="2"/>
    <x v="0"/>
    <x v="2"/>
    <x v="5"/>
    <x v="3"/>
    <x v="876"/>
    <n v="0.6"/>
    <x v="0"/>
    <x v="2"/>
    <x v="12"/>
    <x v="797"/>
    <n v="60540"/>
    <x v="30"/>
    <d v="2015-03-05T00:00:00"/>
    <x v="1735"/>
    <n v="22"/>
    <n v="2800.33"/>
    <n v="86792"/>
  </r>
  <r>
    <n v="23898"/>
    <x v="2"/>
    <n v="0.03"/>
    <n v="150.88999999999999"/>
    <n v="60.2"/>
    <n v="3136"/>
    <x v="1034"/>
    <x v="1"/>
    <x v="3"/>
    <x v="1"/>
    <x v="1"/>
    <x v="1"/>
    <x v="433"/>
    <n v="0.77"/>
    <x v="0"/>
    <x v="1"/>
    <x v="14"/>
    <x v="91"/>
    <n v="4073"/>
    <x v="11"/>
    <d v="2015-02-22T00:00:00"/>
    <x v="1736"/>
    <n v="23"/>
    <n v="3596.03"/>
    <n v="86791"/>
  </r>
  <r>
    <n v="24691"/>
    <x v="1"/>
    <n v="0.09"/>
    <n v="304.99"/>
    <n v="19.989999999999998"/>
    <n v="3137"/>
    <x v="1035"/>
    <x v="2"/>
    <x v="0"/>
    <x v="0"/>
    <x v="8"/>
    <x v="3"/>
    <x v="831"/>
    <n v="0.4"/>
    <x v="0"/>
    <x v="1"/>
    <x v="16"/>
    <x v="798"/>
    <n v="3246"/>
    <x v="178"/>
    <d v="2015-06-09T00:00:00"/>
    <x v="1737"/>
    <n v="8"/>
    <n v="2353.5500000000002"/>
    <n v="86795"/>
  </r>
  <r>
    <n v="23706"/>
    <x v="1"/>
    <n v="0.05"/>
    <n v="4.0599999999999996"/>
    <n v="6.89"/>
    <n v="3138"/>
    <x v="1036"/>
    <x v="0"/>
    <x v="0"/>
    <x v="0"/>
    <x v="15"/>
    <x v="3"/>
    <x v="326"/>
    <n v="0.6"/>
    <x v="0"/>
    <x v="1"/>
    <x v="16"/>
    <x v="799"/>
    <n v="3053"/>
    <x v="117"/>
    <d v="2015-06-21T00:00:00"/>
    <x v="1738"/>
    <n v="22"/>
    <n v="92.57"/>
    <n v="86796"/>
  </r>
  <r>
    <n v="23427"/>
    <x v="2"/>
    <n v="0.09"/>
    <n v="280.98"/>
    <n v="57"/>
    <n v="3139"/>
    <x v="1037"/>
    <x v="1"/>
    <x v="1"/>
    <x v="1"/>
    <x v="1"/>
    <x v="1"/>
    <x v="234"/>
    <n v="0.78"/>
    <x v="0"/>
    <x v="1"/>
    <x v="2"/>
    <x v="207"/>
    <n v="7016"/>
    <x v="10"/>
    <d v="2015-05-05T00:00:00"/>
    <x v="1739"/>
    <n v="31"/>
    <n v="7974.21"/>
    <n v="86793"/>
  </r>
  <r>
    <n v="18917"/>
    <x v="4"/>
    <n v="0.09"/>
    <n v="6.84"/>
    <n v="8.3699999999999992"/>
    <n v="3141"/>
    <x v="1038"/>
    <x v="2"/>
    <x v="3"/>
    <x v="0"/>
    <x v="12"/>
    <x v="2"/>
    <x v="597"/>
    <n v="0.57999999999999996"/>
    <x v="0"/>
    <x v="2"/>
    <x v="7"/>
    <x v="557"/>
    <n v="77506"/>
    <x v="144"/>
    <d v="2015-06-08T00:00:00"/>
    <x v="1740"/>
    <n v="13"/>
    <n v="87.1"/>
    <n v="86369"/>
  </r>
  <r>
    <n v="18918"/>
    <x v="4"/>
    <n v="7.0000000000000007E-2"/>
    <n v="48.91"/>
    <n v="35"/>
    <n v="3141"/>
    <x v="1038"/>
    <x v="0"/>
    <x v="3"/>
    <x v="0"/>
    <x v="10"/>
    <x v="6"/>
    <x v="595"/>
    <n v="0.83"/>
    <x v="0"/>
    <x v="2"/>
    <x v="7"/>
    <x v="557"/>
    <n v="77506"/>
    <x v="144"/>
    <d v="2015-06-03T00:00:00"/>
    <x v="1741"/>
    <n v="15"/>
    <n v="736.86"/>
    <n v="86369"/>
  </r>
  <r>
    <n v="26039"/>
    <x v="3"/>
    <n v="0.02"/>
    <n v="15.42"/>
    <n v="5.41"/>
    <n v="3143"/>
    <x v="1039"/>
    <x v="2"/>
    <x v="3"/>
    <x v="0"/>
    <x v="10"/>
    <x v="3"/>
    <x v="877"/>
    <n v="0.59"/>
    <x v="0"/>
    <x v="2"/>
    <x v="7"/>
    <x v="800"/>
    <n v="78660"/>
    <x v="120"/>
    <d v="2015-03-25T00:00:00"/>
    <x v="1742"/>
    <n v="2"/>
    <n v="33.840000000000003"/>
    <n v="86368"/>
  </r>
  <r>
    <n v="19193"/>
    <x v="2"/>
    <n v="0.03"/>
    <n v="3.36"/>
    <n v="6.27"/>
    <n v="3146"/>
    <x v="1040"/>
    <x v="2"/>
    <x v="0"/>
    <x v="0"/>
    <x v="8"/>
    <x v="3"/>
    <x v="198"/>
    <n v="0.4"/>
    <x v="0"/>
    <x v="2"/>
    <x v="7"/>
    <x v="801"/>
    <n v="78577"/>
    <x v="148"/>
    <d v="2015-01-05T00:00:00"/>
    <x v="1743"/>
    <n v="4"/>
    <n v="14.9"/>
    <n v="85850"/>
  </r>
  <r>
    <n v="19194"/>
    <x v="2"/>
    <n v="7.0000000000000007E-2"/>
    <n v="3.71"/>
    <n v="1.93"/>
    <n v="3146"/>
    <x v="1040"/>
    <x v="0"/>
    <x v="0"/>
    <x v="0"/>
    <x v="7"/>
    <x v="0"/>
    <x v="878"/>
    <n v="0.35"/>
    <x v="0"/>
    <x v="2"/>
    <x v="7"/>
    <x v="801"/>
    <n v="78577"/>
    <x v="148"/>
    <d v="2015-01-06T00:00:00"/>
    <x v="1744"/>
    <n v="11"/>
    <n v="39.64"/>
    <n v="85850"/>
  </r>
  <r>
    <n v="24200"/>
    <x v="3"/>
    <n v="0.06"/>
    <n v="19.989999999999998"/>
    <n v="11.17"/>
    <n v="3148"/>
    <x v="1041"/>
    <x v="2"/>
    <x v="0"/>
    <x v="1"/>
    <x v="2"/>
    <x v="6"/>
    <x v="172"/>
    <n v="0.6"/>
    <x v="0"/>
    <x v="0"/>
    <x v="44"/>
    <x v="802"/>
    <n v="83854"/>
    <x v="101"/>
    <d v="2015-01-14T00:00:00"/>
    <x v="1745"/>
    <n v="7"/>
    <n v="139.49"/>
    <n v="89716"/>
  </r>
  <r>
    <n v="24202"/>
    <x v="3"/>
    <n v="0.06"/>
    <n v="320.98"/>
    <n v="58.95"/>
    <n v="3149"/>
    <x v="1042"/>
    <x v="1"/>
    <x v="0"/>
    <x v="1"/>
    <x v="1"/>
    <x v="1"/>
    <x v="879"/>
    <n v="0.56999999999999995"/>
    <x v="0"/>
    <x v="0"/>
    <x v="44"/>
    <x v="803"/>
    <n v="83440"/>
    <x v="101"/>
    <d v="2015-01-16T00:00:00"/>
    <x v="1746"/>
    <n v="6"/>
    <n v="1952.43"/>
    <n v="89716"/>
  </r>
  <r>
    <n v="19625"/>
    <x v="1"/>
    <n v="0.01"/>
    <n v="145.97999999999999"/>
    <n v="46.2"/>
    <n v="3151"/>
    <x v="1043"/>
    <x v="1"/>
    <x v="0"/>
    <x v="1"/>
    <x v="11"/>
    <x v="5"/>
    <x v="880"/>
    <n v="0.69"/>
    <x v="0"/>
    <x v="0"/>
    <x v="1"/>
    <x v="804"/>
    <n v="92277"/>
    <x v="26"/>
    <d v="2015-06-03T00:00:00"/>
    <x v="1747"/>
    <n v="9"/>
    <n v="1370.79"/>
    <n v="88543"/>
  </r>
  <r>
    <n v="19618"/>
    <x v="2"/>
    <n v="0.01"/>
    <n v="3502.14"/>
    <n v="8.73"/>
    <n v="3151"/>
    <x v="1043"/>
    <x v="1"/>
    <x v="0"/>
    <x v="2"/>
    <x v="6"/>
    <x v="5"/>
    <x v="25"/>
    <n v="0.56999999999999995"/>
    <x v="0"/>
    <x v="0"/>
    <x v="1"/>
    <x v="804"/>
    <n v="92277"/>
    <x v="128"/>
    <d v="2015-02-05T00:00:00"/>
    <x v="1748"/>
    <n v="1"/>
    <n v="3501.79"/>
    <n v="88544"/>
  </r>
  <r>
    <n v="19619"/>
    <x v="2"/>
    <n v="0.06"/>
    <n v="15.73"/>
    <n v="7.42"/>
    <n v="3151"/>
    <x v="1043"/>
    <x v="2"/>
    <x v="0"/>
    <x v="0"/>
    <x v="12"/>
    <x v="2"/>
    <x v="722"/>
    <n v="0.56000000000000005"/>
    <x v="0"/>
    <x v="0"/>
    <x v="1"/>
    <x v="804"/>
    <n v="92277"/>
    <x v="128"/>
    <d v="2015-02-05T00:00:00"/>
    <x v="1749"/>
    <n v="4"/>
    <n v="63.04"/>
    <n v="88544"/>
  </r>
  <r>
    <n v="23322"/>
    <x v="1"/>
    <n v="0.05"/>
    <n v="25.99"/>
    <n v="5.37"/>
    <n v="3151"/>
    <x v="1043"/>
    <x v="0"/>
    <x v="0"/>
    <x v="0"/>
    <x v="0"/>
    <x v="3"/>
    <x v="577"/>
    <n v="0.56000000000000005"/>
    <x v="0"/>
    <x v="0"/>
    <x v="1"/>
    <x v="804"/>
    <n v="92277"/>
    <x v="160"/>
    <d v="2015-02-18T00:00:00"/>
    <x v="1750"/>
    <n v="18"/>
    <n v="451.35"/>
    <n v="88545"/>
  </r>
  <r>
    <n v="24723"/>
    <x v="3"/>
    <n v="0.04"/>
    <n v="17.239999999999998"/>
    <n v="3.26"/>
    <n v="3151"/>
    <x v="1043"/>
    <x v="2"/>
    <x v="1"/>
    <x v="0"/>
    <x v="12"/>
    <x v="2"/>
    <x v="881"/>
    <n v="0.56000000000000005"/>
    <x v="0"/>
    <x v="0"/>
    <x v="1"/>
    <x v="804"/>
    <n v="92277"/>
    <x v="136"/>
    <d v="2015-02-28T00:00:00"/>
    <x v="1751"/>
    <n v="7"/>
    <n v="119.6"/>
    <n v="88546"/>
  </r>
  <r>
    <n v="24329"/>
    <x v="3"/>
    <n v="0.02"/>
    <n v="5.98"/>
    <n v="1.49"/>
    <n v="3151"/>
    <x v="1043"/>
    <x v="2"/>
    <x v="0"/>
    <x v="0"/>
    <x v="8"/>
    <x v="3"/>
    <x v="370"/>
    <n v="0.39"/>
    <x v="0"/>
    <x v="0"/>
    <x v="1"/>
    <x v="804"/>
    <n v="92277"/>
    <x v="140"/>
    <d v="2015-03-12T00:00:00"/>
    <x v="1752"/>
    <n v="10"/>
    <n v="59.9"/>
    <n v="88547"/>
  </r>
  <r>
    <n v="21734"/>
    <x v="0"/>
    <n v="0.01"/>
    <n v="99.23"/>
    <n v="8.99"/>
    <n v="3151"/>
    <x v="1043"/>
    <x v="2"/>
    <x v="0"/>
    <x v="1"/>
    <x v="2"/>
    <x v="2"/>
    <x v="153"/>
    <n v="0.35"/>
    <x v="0"/>
    <x v="0"/>
    <x v="1"/>
    <x v="804"/>
    <n v="92277"/>
    <x v="48"/>
    <d v="2015-04-02T00:00:00"/>
    <x v="1753"/>
    <n v="1"/>
    <n v="99.22"/>
    <n v="88548"/>
  </r>
  <r>
    <n v="21436"/>
    <x v="0"/>
    <n v="0.08"/>
    <n v="150.97999999999999"/>
    <n v="13.99"/>
    <n v="3154"/>
    <x v="1044"/>
    <x v="0"/>
    <x v="0"/>
    <x v="2"/>
    <x v="6"/>
    <x v="4"/>
    <x v="216"/>
    <n v="0.38"/>
    <x v="0"/>
    <x v="3"/>
    <x v="26"/>
    <x v="805"/>
    <n v="33710"/>
    <x v="161"/>
    <d v="2015-01-27T00:00:00"/>
    <x v="1323"/>
    <n v="8"/>
    <n v="1183.82"/>
    <n v="86899"/>
  </r>
  <r>
    <n v="20253"/>
    <x v="2"/>
    <n v="0.03"/>
    <n v="17.7"/>
    <n v="9.4700000000000006"/>
    <n v="3154"/>
    <x v="1044"/>
    <x v="2"/>
    <x v="3"/>
    <x v="0"/>
    <x v="10"/>
    <x v="3"/>
    <x v="552"/>
    <n v="0.59"/>
    <x v="0"/>
    <x v="3"/>
    <x v="26"/>
    <x v="805"/>
    <n v="33710"/>
    <x v="5"/>
    <d v="2015-05-30T00:00:00"/>
    <x v="1754"/>
    <n v="11"/>
    <n v="201.77"/>
    <n v="86900"/>
  </r>
  <r>
    <n v="18635"/>
    <x v="2"/>
    <n v="0.04"/>
    <n v="21.38"/>
    <n v="8.99"/>
    <n v="3154"/>
    <x v="1044"/>
    <x v="2"/>
    <x v="0"/>
    <x v="0"/>
    <x v="0"/>
    <x v="2"/>
    <x v="731"/>
    <n v="0.59"/>
    <x v="0"/>
    <x v="3"/>
    <x v="26"/>
    <x v="805"/>
    <n v="33710"/>
    <x v="25"/>
    <d v="2015-03-30T00:00:00"/>
    <x v="1755"/>
    <n v="21"/>
    <n v="443.66"/>
    <n v="86901"/>
  </r>
  <r>
    <n v="23392"/>
    <x v="2"/>
    <n v="0.02"/>
    <n v="60.22"/>
    <n v="3.5"/>
    <n v="3155"/>
    <x v="1045"/>
    <x v="2"/>
    <x v="0"/>
    <x v="0"/>
    <x v="15"/>
    <x v="3"/>
    <x v="882"/>
    <n v="0.56999999999999995"/>
    <x v="0"/>
    <x v="3"/>
    <x v="26"/>
    <x v="91"/>
    <n v="32771"/>
    <x v="13"/>
    <d v="2015-01-21T00:00:00"/>
    <x v="1756"/>
    <n v="9"/>
    <n v="541.76"/>
    <n v="86898"/>
  </r>
  <r>
    <n v="21437"/>
    <x v="0"/>
    <n v="0.03"/>
    <n v="25.98"/>
    <n v="14.36"/>
    <n v="3155"/>
    <x v="1045"/>
    <x v="1"/>
    <x v="0"/>
    <x v="1"/>
    <x v="1"/>
    <x v="1"/>
    <x v="361"/>
    <n v="0.6"/>
    <x v="0"/>
    <x v="3"/>
    <x v="26"/>
    <x v="91"/>
    <n v="32771"/>
    <x v="161"/>
    <d v="2015-01-27T00:00:00"/>
    <x v="1757"/>
    <n v="4"/>
    <n v="107.66"/>
    <n v="86899"/>
  </r>
  <r>
    <n v="21438"/>
    <x v="0"/>
    <n v="0.1"/>
    <n v="32.479999999999997"/>
    <n v="35"/>
    <n v="3155"/>
    <x v="1045"/>
    <x v="2"/>
    <x v="0"/>
    <x v="0"/>
    <x v="10"/>
    <x v="6"/>
    <x v="233"/>
    <n v="0.81"/>
    <x v="0"/>
    <x v="3"/>
    <x v="26"/>
    <x v="91"/>
    <n v="32771"/>
    <x v="161"/>
    <d v="2015-01-27T00:00:00"/>
    <x v="1758"/>
    <n v="10"/>
    <n v="318.83"/>
    <n v="86899"/>
  </r>
  <r>
    <n v="22015"/>
    <x v="2"/>
    <n v="0.05"/>
    <n v="159.99"/>
    <n v="5.5"/>
    <n v="3155"/>
    <x v="1045"/>
    <x v="2"/>
    <x v="3"/>
    <x v="2"/>
    <x v="13"/>
    <x v="3"/>
    <x v="883"/>
    <n v="0.49"/>
    <x v="0"/>
    <x v="3"/>
    <x v="26"/>
    <x v="91"/>
    <n v="32771"/>
    <x v="47"/>
    <d v="2015-04-21T00:00:00"/>
    <x v="1759"/>
    <n v="23"/>
    <n v="3600.65"/>
    <n v="86902"/>
  </r>
  <r>
    <n v="19374"/>
    <x v="1"/>
    <n v="7.0000000000000007E-2"/>
    <n v="280.98"/>
    <n v="57"/>
    <n v="3167"/>
    <x v="1046"/>
    <x v="1"/>
    <x v="0"/>
    <x v="1"/>
    <x v="1"/>
    <x v="1"/>
    <x v="234"/>
    <n v="0.78"/>
    <x v="0"/>
    <x v="3"/>
    <x v="26"/>
    <x v="806"/>
    <n v="32004"/>
    <x v="117"/>
    <d v="2015-06-20T00:00:00"/>
    <x v="1760"/>
    <n v="14"/>
    <n v="3936.61"/>
    <n v="86491"/>
  </r>
  <r>
    <n v="19375"/>
    <x v="1"/>
    <n v="0"/>
    <n v="4.9800000000000004"/>
    <n v="7.44"/>
    <n v="3167"/>
    <x v="1046"/>
    <x v="2"/>
    <x v="0"/>
    <x v="0"/>
    <x v="7"/>
    <x v="3"/>
    <x v="130"/>
    <n v="0.36"/>
    <x v="0"/>
    <x v="3"/>
    <x v="26"/>
    <x v="806"/>
    <n v="32004"/>
    <x v="117"/>
    <d v="2015-06-21T00:00:00"/>
    <x v="1761"/>
    <n v="15"/>
    <n v="78.31"/>
    <n v="86491"/>
  </r>
  <r>
    <n v="19376"/>
    <x v="1"/>
    <n v="0.1"/>
    <n v="3.98"/>
    <n v="0.83"/>
    <n v="3167"/>
    <x v="1046"/>
    <x v="2"/>
    <x v="0"/>
    <x v="0"/>
    <x v="0"/>
    <x v="0"/>
    <x v="503"/>
    <n v="0.51"/>
    <x v="0"/>
    <x v="3"/>
    <x v="26"/>
    <x v="806"/>
    <n v="32004"/>
    <x v="117"/>
    <d v="2015-06-21T00:00:00"/>
    <x v="1762"/>
    <n v="11"/>
    <n v="42.46"/>
    <n v="86491"/>
  </r>
  <r>
    <n v="25683"/>
    <x v="2"/>
    <n v="0.08"/>
    <n v="7.28"/>
    <n v="11.15"/>
    <n v="3169"/>
    <x v="1047"/>
    <x v="0"/>
    <x v="2"/>
    <x v="0"/>
    <x v="7"/>
    <x v="3"/>
    <x v="306"/>
    <n v="0.37"/>
    <x v="0"/>
    <x v="3"/>
    <x v="26"/>
    <x v="807"/>
    <n v="32127"/>
    <x v="53"/>
    <d v="2015-04-14T00:00:00"/>
    <x v="1763"/>
    <n v="1"/>
    <n v="14.66"/>
    <n v="86490"/>
  </r>
  <r>
    <n v="26055"/>
    <x v="3"/>
    <n v="0.1"/>
    <n v="7.28"/>
    <n v="5.47"/>
    <n v="3170"/>
    <x v="1048"/>
    <x v="2"/>
    <x v="0"/>
    <x v="0"/>
    <x v="7"/>
    <x v="3"/>
    <x v="884"/>
    <n v="0.35"/>
    <x v="0"/>
    <x v="3"/>
    <x v="26"/>
    <x v="808"/>
    <n v="34952"/>
    <x v="169"/>
    <d v="2015-02-13T00:00:00"/>
    <x v="1764"/>
    <n v="12"/>
    <n v="83.14"/>
    <n v="86489"/>
  </r>
  <r>
    <n v="21961"/>
    <x v="0"/>
    <n v="0.06"/>
    <n v="10.97"/>
    <n v="6.5"/>
    <n v="3176"/>
    <x v="1049"/>
    <x v="2"/>
    <x v="3"/>
    <x v="2"/>
    <x v="13"/>
    <x v="3"/>
    <x v="885"/>
    <n v="0.64"/>
    <x v="0"/>
    <x v="3"/>
    <x v="26"/>
    <x v="809"/>
    <n v="32216"/>
    <x v="82"/>
    <d v="2015-05-06T00:00:00"/>
    <x v="1765"/>
    <n v="19"/>
    <n v="215.25"/>
    <n v="90820"/>
  </r>
  <r>
    <n v="20964"/>
    <x v="4"/>
    <n v="0.02"/>
    <n v="58.14"/>
    <n v="36.61"/>
    <n v="3176"/>
    <x v="1049"/>
    <x v="1"/>
    <x v="3"/>
    <x v="1"/>
    <x v="14"/>
    <x v="5"/>
    <x v="375"/>
    <n v="0.61"/>
    <x v="0"/>
    <x v="3"/>
    <x v="26"/>
    <x v="809"/>
    <n v="32216"/>
    <x v="97"/>
    <d v="2015-07-01T00:00:00"/>
    <x v="1766"/>
    <n v="22"/>
    <n v="1358.02"/>
    <n v="90821"/>
  </r>
  <r>
    <n v="20965"/>
    <x v="4"/>
    <n v="0.03"/>
    <n v="15.57"/>
    <n v="1.39"/>
    <n v="3176"/>
    <x v="1049"/>
    <x v="2"/>
    <x v="3"/>
    <x v="0"/>
    <x v="4"/>
    <x v="3"/>
    <x v="253"/>
    <n v="0.38"/>
    <x v="0"/>
    <x v="3"/>
    <x v="26"/>
    <x v="809"/>
    <n v="32216"/>
    <x v="97"/>
    <d v="2015-07-01T00:00:00"/>
    <x v="1767"/>
    <n v="22"/>
    <n v="358.84"/>
    <n v="90821"/>
  </r>
  <r>
    <n v="24493"/>
    <x v="1"/>
    <n v="0.1"/>
    <n v="62.18"/>
    <n v="10.84"/>
    <n v="3177"/>
    <x v="1050"/>
    <x v="2"/>
    <x v="3"/>
    <x v="1"/>
    <x v="2"/>
    <x v="4"/>
    <x v="499"/>
    <n v="0.63"/>
    <x v="0"/>
    <x v="3"/>
    <x v="26"/>
    <x v="810"/>
    <n v="33458"/>
    <x v="88"/>
    <d v="2015-03-16T00:00:00"/>
    <x v="1768"/>
    <n v="9"/>
    <n v="511.57"/>
    <n v="90818"/>
  </r>
  <r>
    <n v="22086"/>
    <x v="2"/>
    <n v="0.06"/>
    <n v="1.68"/>
    <n v="1"/>
    <n v="3177"/>
    <x v="1050"/>
    <x v="2"/>
    <x v="3"/>
    <x v="0"/>
    <x v="0"/>
    <x v="0"/>
    <x v="812"/>
    <n v="0.35"/>
    <x v="0"/>
    <x v="3"/>
    <x v="26"/>
    <x v="810"/>
    <n v="33458"/>
    <x v="157"/>
    <d v="2015-04-02T00:00:00"/>
    <x v="1769"/>
    <n v="5"/>
    <n v="8.65"/>
    <n v="90819"/>
  </r>
  <r>
    <n v="21554"/>
    <x v="4"/>
    <n v="7.0000000000000007E-2"/>
    <n v="35.44"/>
    <n v="7.5"/>
    <n v="3179"/>
    <x v="1051"/>
    <x v="2"/>
    <x v="0"/>
    <x v="0"/>
    <x v="7"/>
    <x v="3"/>
    <x v="854"/>
    <n v="0.38"/>
    <x v="0"/>
    <x v="2"/>
    <x v="3"/>
    <x v="811"/>
    <n v="55060"/>
    <x v="20"/>
    <d v="2015-06-19T00:00:00"/>
    <x v="1770"/>
    <n v="11"/>
    <n v="380"/>
    <n v="86989"/>
  </r>
  <r>
    <n v="24464"/>
    <x v="0"/>
    <n v="0.08"/>
    <n v="170.98"/>
    <n v="35.89"/>
    <n v="3187"/>
    <x v="1052"/>
    <x v="1"/>
    <x v="2"/>
    <x v="1"/>
    <x v="14"/>
    <x v="5"/>
    <x v="379"/>
    <n v="0.66"/>
    <x v="0"/>
    <x v="3"/>
    <x v="26"/>
    <x v="812"/>
    <n v="33569"/>
    <x v="21"/>
    <d v="2015-03-04T00:00:00"/>
    <x v="1771"/>
    <n v="1"/>
    <n v="199.48"/>
    <n v="89025"/>
  </r>
  <r>
    <n v="20127"/>
    <x v="2"/>
    <n v="0.01"/>
    <n v="20.99"/>
    <n v="4.8099999999999996"/>
    <n v="3191"/>
    <x v="1053"/>
    <x v="2"/>
    <x v="0"/>
    <x v="2"/>
    <x v="5"/>
    <x v="4"/>
    <x v="160"/>
    <n v="0.57999999999999996"/>
    <x v="0"/>
    <x v="2"/>
    <x v="45"/>
    <x v="813"/>
    <n v="54481"/>
    <x v="103"/>
    <d v="2015-03-18T00:00:00"/>
    <x v="1772"/>
    <n v="5"/>
    <n v="93.81"/>
    <n v="86447"/>
  </r>
  <r>
    <n v="20303"/>
    <x v="0"/>
    <n v="0.09"/>
    <n v="35.94"/>
    <n v="6.66"/>
    <n v="3191"/>
    <x v="1053"/>
    <x v="2"/>
    <x v="0"/>
    <x v="0"/>
    <x v="4"/>
    <x v="3"/>
    <x v="8"/>
    <n v="0.4"/>
    <x v="0"/>
    <x v="2"/>
    <x v="45"/>
    <x v="813"/>
    <n v="54481"/>
    <x v="98"/>
    <d v="2015-04-12T00:00:00"/>
    <x v="1773"/>
    <n v="9"/>
    <n v="312.22000000000003"/>
    <n v="86448"/>
  </r>
  <r>
    <n v="22846"/>
    <x v="3"/>
    <n v="0.1"/>
    <n v="4.9800000000000004"/>
    <n v="7.54"/>
    <n v="3194"/>
    <x v="1054"/>
    <x v="2"/>
    <x v="3"/>
    <x v="0"/>
    <x v="7"/>
    <x v="3"/>
    <x v="886"/>
    <n v="0.38"/>
    <x v="0"/>
    <x v="3"/>
    <x v="26"/>
    <x v="230"/>
    <n v="34609"/>
    <x v="17"/>
    <d v="2015-03-11T00:00:00"/>
    <x v="1774"/>
    <n v="9"/>
    <n v="43.84"/>
    <n v="89805"/>
  </r>
  <r>
    <n v="22847"/>
    <x v="3"/>
    <n v="0"/>
    <n v="22.84"/>
    <n v="8.18"/>
    <n v="3194"/>
    <x v="1054"/>
    <x v="2"/>
    <x v="3"/>
    <x v="0"/>
    <x v="7"/>
    <x v="3"/>
    <x v="635"/>
    <n v="0.39"/>
    <x v="0"/>
    <x v="3"/>
    <x v="26"/>
    <x v="230"/>
    <n v="34609"/>
    <x v="17"/>
    <d v="2015-03-12T00:00:00"/>
    <x v="1775"/>
    <n v="6"/>
    <n v="141.74"/>
    <n v="89805"/>
  </r>
  <r>
    <n v="3406"/>
    <x v="1"/>
    <n v="0.03"/>
    <n v="200.97"/>
    <n v="15.59"/>
    <n v="3196"/>
    <x v="1055"/>
    <x v="1"/>
    <x v="1"/>
    <x v="2"/>
    <x v="6"/>
    <x v="1"/>
    <x v="474"/>
    <n v="0.36"/>
    <x v="0"/>
    <x v="0"/>
    <x v="1"/>
    <x v="49"/>
    <n v="94109"/>
    <x v="23"/>
    <d v="2015-02-03T00:00:00"/>
    <x v="1776"/>
    <n v="43"/>
    <n v="8717.75"/>
    <n v="24294"/>
  </r>
  <r>
    <n v="21406"/>
    <x v="1"/>
    <n v="0.03"/>
    <n v="200.97"/>
    <n v="15.59"/>
    <n v="3197"/>
    <x v="1056"/>
    <x v="1"/>
    <x v="1"/>
    <x v="2"/>
    <x v="6"/>
    <x v="1"/>
    <x v="474"/>
    <n v="0.36"/>
    <x v="0"/>
    <x v="2"/>
    <x v="12"/>
    <x v="814"/>
    <n v="60062"/>
    <x v="23"/>
    <d v="2015-02-03T00:00:00"/>
    <x v="1777"/>
    <n v="11"/>
    <n v="2230.12"/>
    <n v="90850"/>
  </r>
  <r>
    <n v="18437"/>
    <x v="4"/>
    <n v="7.0000000000000007E-2"/>
    <n v="5.98"/>
    <n v="0.96"/>
    <n v="3205"/>
    <x v="1057"/>
    <x v="2"/>
    <x v="3"/>
    <x v="0"/>
    <x v="0"/>
    <x v="0"/>
    <x v="631"/>
    <n v="0.6"/>
    <x v="0"/>
    <x v="0"/>
    <x v="44"/>
    <x v="803"/>
    <n v="83440"/>
    <x v="25"/>
    <d v="2015-04-03T00:00:00"/>
    <x v="1778"/>
    <n v="10"/>
    <n v="56.4"/>
    <n v="87933"/>
  </r>
  <r>
    <n v="18438"/>
    <x v="4"/>
    <n v="0.01"/>
    <n v="39.979999999999997"/>
    <n v="4"/>
    <n v="3206"/>
    <x v="1058"/>
    <x v="2"/>
    <x v="3"/>
    <x v="2"/>
    <x v="13"/>
    <x v="3"/>
    <x v="74"/>
    <n v="0.7"/>
    <x v="0"/>
    <x v="0"/>
    <x v="44"/>
    <x v="815"/>
    <n v="83301"/>
    <x v="25"/>
    <d v="2015-04-04T00:00:00"/>
    <x v="1779"/>
    <n v="6"/>
    <n v="257.52"/>
    <n v="87933"/>
  </r>
  <r>
    <n v="21229"/>
    <x v="1"/>
    <n v="0.06"/>
    <n v="218.08"/>
    <n v="18.059999999999999"/>
    <n v="3206"/>
    <x v="1058"/>
    <x v="0"/>
    <x v="3"/>
    <x v="1"/>
    <x v="1"/>
    <x v="6"/>
    <x v="531"/>
    <n v="0.56999999999999995"/>
    <x v="0"/>
    <x v="0"/>
    <x v="44"/>
    <x v="815"/>
    <n v="83301"/>
    <x v="8"/>
    <d v="2015-05-23T00:00:00"/>
    <x v="1780"/>
    <n v="7"/>
    <n v="1488.51"/>
    <n v="87934"/>
  </r>
  <r>
    <n v="20156"/>
    <x v="1"/>
    <n v="0.05"/>
    <n v="35.44"/>
    <n v="5.09"/>
    <n v="3206"/>
    <x v="1058"/>
    <x v="2"/>
    <x v="3"/>
    <x v="0"/>
    <x v="7"/>
    <x v="3"/>
    <x v="861"/>
    <n v="0.38"/>
    <x v="0"/>
    <x v="0"/>
    <x v="44"/>
    <x v="815"/>
    <n v="83301"/>
    <x v="5"/>
    <d v="2015-05-29T00:00:00"/>
    <x v="1781"/>
    <n v="23"/>
    <n v="801.93"/>
    <n v="87935"/>
  </r>
  <r>
    <n v="24637"/>
    <x v="2"/>
    <n v="0.03"/>
    <n v="4.9800000000000004"/>
    <n v="4.62"/>
    <n v="3209"/>
    <x v="1059"/>
    <x v="0"/>
    <x v="0"/>
    <x v="2"/>
    <x v="13"/>
    <x v="2"/>
    <x v="139"/>
    <n v="0.64"/>
    <x v="0"/>
    <x v="0"/>
    <x v="1"/>
    <x v="816"/>
    <n v="90210"/>
    <x v="162"/>
    <d v="2015-06-29T00:00:00"/>
    <x v="1782"/>
    <n v="8"/>
    <n v="44.24"/>
    <n v="90739"/>
  </r>
  <r>
    <n v="22804"/>
    <x v="0"/>
    <n v="0.1"/>
    <n v="7.31"/>
    <n v="0.49"/>
    <n v="3211"/>
    <x v="1060"/>
    <x v="2"/>
    <x v="0"/>
    <x v="0"/>
    <x v="9"/>
    <x v="3"/>
    <x v="388"/>
    <n v="0.38"/>
    <x v="0"/>
    <x v="2"/>
    <x v="12"/>
    <x v="817"/>
    <n v="60101"/>
    <x v="2"/>
    <d v="2015-02-16T00:00:00"/>
    <x v="1783"/>
    <n v="12"/>
    <n v="79.739999999999995"/>
    <n v="91522"/>
  </r>
  <r>
    <n v="22805"/>
    <x v="0"/>
    <n v="0.1"/>
    <n v="20.99"/>
    <n v="2.5"/>
    <n v="3211"/>
    <x v="1060"/>
    <x v="2"/>
    <x v="0"/>
    <x v="2"/>
    <x v="5"/>
    <x v="0"/>
    <x v="427"/>
    <n v="0.81"/>
    <x v="0"/>
    <x v="2"/>
    <x v="12"/>
    <x v="817"/>
    <n v="60101"/>
    <x v="2"/>
    <d v="2015-02-16T00:00:00"/>
    <x v="1784"/>
    <n v="23"/>
    <n v="392.45"/>
    <n v="91522"/>
  </r>
  <r>
    <n v="23736"/>
    <x v="1"/>
    <n v="0.03"/>
    <n v="6.68"/>
    <n v="1.5"/>
    <n v="3221"/>
    <x v="1061"/>
    <x v="2"/>
    <x v="0"/>
    <x v="0"/>
    <x v="0"/>
    <x v="0"/>
    <x v="685"/>
    <n v="0.48"/>
    <x v="0"/>
    <x v="3"/>
    <x v="26"/>
    <x v="818"/>
    <n v="33322"/>
    <x v="142"/>
    <d v="2015-04-13T00:00:00"/>
    <x v="1785"/>
    <n v="7"/>
    <n v="48.32"/>
    <n v="90815"/>
  </r>
  <r>
    <n v="25605"/>
    <x v="0"/>
    <n v="0.04"/>
    <n v="39.479999999999997"/>
    <n v="1.99"/>
    <n v="3222"/>
    <x v="1062"/>
    <x v="0"/>
    <x v="0"/>
    <x v="2"/>
    <x v="13"/>
    <x v="2"/>
    <x v="246"/>
    <n v="0.54"/>
    <x v="0"/>
    <x v="3"/>
    <x v="26"/>
    <x v="819"/>
    <n v="32303"/>
    <x v="91"/>
    <d v="2015-03-19T00:00:00"/>
    <x v="1786"/>
    <n v="8"/>
    <n v="332.16"/>
    <n v="90814"/>
  </r>
  <r>
    <n v="25606"/>
    <x v="0"/>
    <n v="0"/>
    <n v="8.1199999999999992"/>
    <n v="2.83"/>
    <n v="3222"/>
    <x v="1062"/>
    <x v="2"/>
    <x v="0"/>
    <x v="2"/>
    <x v="13"/>
    <x v="2"/>
    <x v="293"/>
    <n v="0.77"/>
    <x v="0"/>
    <x v="3"/>
    <x v="26"/>
    <x v="819"/>
    <n v="32303"/>
    <x v="91"/>
    <d v="2015-03-20T00:00:00"/>
    <x v="1787"/>
    <n v="17"/>
    <n v="147.62"/>
    <n v="90814"/>
  </r>
  <r>
    <n v="19517"/>
    <x v="2"/>
    <n v="0.06"/>
    <n v="60.98"/>
    <n v="30"/>
    <n v="3224"/>
    <x v="1063"/>
    <x v="1"/>
    <x v="2"/>
    <x v="1"/>
    <x v="1"/>
    <x v="1"/>
    <x v="887"/>
    <n v="0.7"/>
    <x v="0"/>
    <x v="3"/>
    <x v="20"/>
    <x v="820"/>
    <n v="37066"/>
    <x v="113"/>
    <d v="2015-04-02T00:00:00"/>
    <x v="1788"/>
    <n v="2"/>
    <n v="125.9"/>
    <n v="86508"/>
  </r>
  <r>
    <n v="22291"/>
    <x v="1"/>
    <n v="0.1"/>
    <n v="208.16"/>
    <n v="68.02"/>
    <n v="3225"/>
    <x v="1064"/>
    <x v="1"/>
    <x v="2"/>
    <x v="0"/>
    <x v="15"/>
    <x v="1"/>
    <x v="888"/>
    <n v="0.57999999999999996"/>
    <x v="0"/>
    <x v="3"/>
    <x v="20"/>
    <x v="821"/>
    <n v="38138"/>
    <x v="101"/>
    <d v="2015-01-14T00:00:00"/>
    <x v="1789"/>
    <n v="4"/>
    <n v="768.81"/>
    <n v="86507"/>
  </r>
  <r>
    <n v="22292"/>
    <x v="1"/>
    <n v="7.0000000000000007E-2"/>
    <n v="90.48"/>
    <n v="19.989999999999998"/>
    <n v="3226"/>
    <x v="1065"/>
    <x v="2"/>
    <x v="2"/>
    <x v="0"/>
    <x v="4"/>
    <x v="3"/>
    <x v="634"/>
    <n v="0.4"/>
    <x v="0"/>
    <x v="3"/>
    <x v="20"/>
    <x v="822"/>
    <n v="37075"/>
    <x v="101"/>
    <d v="2015-01-15T00:00:00"/>
    <x v="1790"/>
    <n v="2"/>
    <n v="183.39"/>
    <n v="86507"/>
  </r>
  <r>
    <n v="22293"/>
    <x v="1"/>
    <n v="0.01"/>
    <n v="9.48"/>
    <n v="7.29"/>
    <n v="3226"/>
    <x v="1065"/>
    <x v="0"/>
    <x v="2"/>
    <x v="1"/>
    <x v="2"/>
    <x v="2"/>
    <x v="2"/>
    <n v="0.45"/>
    <x v="0"/>
    <x v="3"/>
    <x v="20"/>
    <x v="822"/>
    <n v="37075"/>
    <x v="101"/>
    <d v="2015-01-16T00:00:00"/>
    <x v="1791"/>
    <n v="1"/>
    <n v="12.9"/>
    <n v="86507"/>
  </r>
  <r>
    <n v="22294"/>
    <x v="1"/>
    <n v="0.02"/>
    <n v="4.28"/>
    <n v="0.94"/>
    <n v="3226"/>
    <x v="1065"/>
    <x v="2"/>
    <x v="2"/>
    <x v="0"/>
    <x v="0"/>
    <x v="0"/>
    <x v="579"/>
    <n v="0.56000000000000005"/>
    <x v="0"/>
    <x v="3"/>
    <x v="20"/>
    <x v="822"/>
    <n v="37075"/>
    <x v="101"/>
    <d v="2015-01-15T00:00:00"/>
    <x v="1792"/>
    <n v="4"/>
    <n v="17.89"/>
    <n v="86507"/>
  </r>
  <r>
    <n v="24343"/>
    <x v="3"/>
    <n v="0.06"/>
    <n v="22.24"/>
    <n v="1.99"/>
    <n v="3226"/>
    <x v="1065"/>
    <x v="2"/>
    <x v="2"/>
    <x v="2"/>
    <x v="13"/>
    <x v="2"/>
    <x v="889"/>
    <n v="0.43"/>
    <x v="0"/>
    <x v="3"/>
    <x v="20"/>
    <x v="822"/>
    <n v="37075"/>
    <x v="162"/>
    <d v="2015-06-30T00:00:00"/>
    <x v="1793"/>
    <n v="12"/>
    <n v="255.88"/>
    <n v="86509"/>
  </r>
  <r>
    <n v="18940"/>
    <x v="1"/>
    <n v="0.01"/>
    <n v="24.95"/>
    <n v="2.99"/>
    <n v="3229"/>
    <x v="1066"/>
    <x v="2"/>
    <x v="2"/>
    <x v="0"/>
    <x v="8"/>
    <x v="3"/>
    <x v="890"/>
    <n v="0.39"/>
    <x v="0"/>
    <x v="2"/>
    <x v="45"/>
    <x v="823"/>
    <n v="54880"/>
    <x v="72"/>
    <d v="2015-01-22T00:00:00"/>
    <x v="1794"/>
    <n v="15"/>
    <n v="378.82"/>
    <n v="87435"/>
  </r>
  <r>
    <n v="18941"/>
    <x v="1"/>
    <n v="0"/>
    <n v="15.98"/>
    <n v="8.99"/>
    <n v="3230"/>
    <x v="1067"/>
    <x v="2"/>
    <x v="2"/>
    <x v="2"/>
    <x v="13"/>
    <x v="2"/>
    <x v="891"/>
    <n v="0.64"/>
    <x v="0"/>
    <x v="2"/>
    <x v="45"/>
    <x v="824"/>
    <n v="53186"/>
    <x v="72"/>
    <d v="2015-01-23T00:00:00"/>
    <x v="1795"/>
    <n v="9"/>
    <n v="152.18"/>
    <n v="87435"/>
  </r>
  <r>
    <n v="19062"/>
    <x v="2"/>
    <n v="0.06"/>
    <n v="4.91"/>
    <n v="5.68"/>
    <n v="3230"/>
    <x v="1067"/>
    <x v="0"/>
    <x v="2"/>
    <x v="0"/>
    <x v="8"/>
    <x v="3"/>
    <x v="500"/>
    <n v="0.36"/>
    <x v="0"/>
    <x v="2"/>
    <x v="45"/>
    <x v="824"/>
    <n v="53186"/>
    <x v="1"/>
    <d v="2015-06-13T00:00:00"/>
    <x v="1796"/>
    <n v="10"/>
    <n v="53.89"/>
    <n v="87436"/>
  </r>
  <r>
    <n v="19063"/>
    <x v="2"/>
    <n v="7.0000000000000007E-2"/>
    <n v="48.94"/>
    <n v="5.86"/>
    <n v="3230"/>
    <x v="1067"/>
    <x v="0"/>
    <x v="2"/>
    <x v="0"/>
    <x v="7"/>
    <x v="3"/>
    <x v="892"/>
    <n v="0.35"/>
    <x v="0"/>
    <x v="2"/>
    <x v="45"/>
    <x v="824"/>
    <n v="53186"/>
    <x v="1"/>
    <d v="2015-06-14T00:00:00"/>
    <x v="1797"/>
    <n v="21"/>
    <n v="1001.02"/>
    <n v="87436"/>
  </r>
  <r>
    <n v="19179"/>
    <x v="4"/>
    <n v="0.06"/>
    <n v="115.99"/>
    <n v="5.92"/>
    <n v="3238"/>
    <x v="1068"/>
    <x v="2"/>
    <x v="0"/>
    <x v="2"/>
    <x v="5"/>
    <x v="3"/>
    <x v="618"/>
    <n v="0.57999999999999996"/>
    <x v="0"/>
    <x v="0"/>
    <x v="6"/>
    <x v="825"/>
    <n v="97330"/>
    <x v="141"/>
    <d v="2015-06-06T00:00:00"/>
    <x v="1798"/>
    <n v="5"/>
    <n v="495.82"/>
    <n v="89564"/>
  </r>
  <r>
    <n v="23084"/>
    <x v="0"/>
    <n v="0"/>
    <n v="7.28"/>
    <n v="3.52"/>
    <n v="3243"/>
    <x v="1069"/>
    <x v="2"/>
    <x v="2"/>
    <x v="2"/>
    <x v="13"/>
    <x v="2"/>
    <x v="893"/>
    <n v="0.68"/>
    <x v="0"/>
    <x v="1"/>
    <x v="18"/>
    <x v="222"/>
    <n v="6010"/>
    <x v="69"/>
    <d v="2015-06-10T00:00:00"/>
    <x v="1799"/>
    <n v="3"/>
    <n v="24.44"/>
    <n v="88329"/>
  </r>
  <r>
    <n v="23267"/>
    <x v="4"/>
    <n v="0.06"/>
    <n v="5.18"/>
    <n v="2.04"/>
    <n v="3246"/>
    <x v="1070"/>
    <x v="2"/>
    <x v="2"/>
    <x v="0"/>
    <x v="7"/>
    <x v="0"/>
    <x v="43"/>
    <n v="0.36"/>
    <x v="0"/>
    <x v="1"/>
    <x v="16"/>
    <x v="826"/>
    <n v="3051"/>
    <x v="113"/>
    <d v="2015-04-01T00:00:00"/>
    <x v="1800"/>
    <n v="4"/>
    <n v="21.86"/>
    <n v="88330"/>
  </r>
  <r>
    <n v="18265"/>
    <x v="0"/>
    <n v="7.0000000000000007E-2"/>
    <n v="2.78"/>
    <n v="1.49"/>
    <n v="3248"/>
    <x v="1071"/>
    <x v="2"/>
    <x v="2"/>
    <x v="0"/>
    <x v="8"/>
    <x v="3"/>
    <x v="272"/>
    <n v="0.36"/>
    <x v="0"/>
    <x v="3"/>
    <x v="11"/>
    <x v="827"/>
    <n v="70458"/>
    <x v="163"/>
    <d v="2015-05-08T00:00:00"/>
    <x v="1801"/>
    <n v="17"/>
    <n v="47.12"/>
    <n v="87297"/>
  </r>
  <r>
    <n v="25820"/>
    <x v="0"/>
    <n v="0.03"/>
    <n v="42.8"/>
    <n v="2.99"/>
    <n v="3249"/>
    <x v="1072"/>
    <x v="2"/>
    <x v="0"/>
    <x v="0"/>
    <x v="8"/>
    <x v="3"/>
    <x v="894"/>
    <n v="0.36"/>
    <x v="0"/>
    <x v="1"/>
    <x v="30"/>
    <x v="828"/>
    <n v="21403"/>
    <x v="94"/>
    <d v="2015-05-24T00:00:00"/>
    <x v="1802"/>
    <n v="16"/>
    <n v="670.9"/>
    <n v="87298"/>
  </r>
  <r>
    <n v="5511"/>
    <x v="2"/>
    <n v="0.02"/>
    <n v="5.28"/>
    <n v="6.26"/>
    <n v="3251"/>
    <x v="1073"/>
    <x v="2"/>
    <x v="0"/>
    <x v="0"/>
    <x v="7"/>
    <x v="3"/>
    <x v="489"/>
    <n v="0.4"/>
    <x v="0"/>
    <x v="1"/>
    <x v="4"/>
    <x v="8"/>
    <n v="10112"/>
    <x v="164"/>
    <d v="2015-06-12T00:00:00"/>
    <x v="1803"/>
    <n v="76"/>
    <n v="412.72"/>
    <n v="39076"/>
  </r>
  <r>
    <n v="23324"/>
    <x v="2"/>
    <n v="0.01"/>
    <n v="11.34"/>
    <n v="5.01"/>
    <n v="3252"/>
    <x v="1074"/>
    <x v="2"/>
    <x v="2"/>
    <x v="0"/>
    <x v="7"/>
    <x v="3"/>
    <x v="195"/>
    <n v="0.36"/>
    <x v="0"/>
    <x v="1"/>
    <x v="4"/>
    <x v="829"/>
    <n v="12306"/>
    <x v="25"/>
    <d v="2015-04-01T00:00:00"/>
    <x v="1804"/>
    <n v="1"/>
    <n v="14.52"/>
    <n v="87296"/>
  </r>
  <r>
    <n v="23511"/>
    <x v="2"/>
    <n v="0.02"/>
    <n v="5.28"/>
    <n v="6.26"/>
    <n v="3252"/>
    <x v="1074"/>
    <x v="2"/>
    <x v="0"/>
    <x v="0"/>
    <x v="7"/>
    <x v="3"/>
    <x v="489"/>
    <n v="0.4"/>
    <x v="0"/>
    <x v="1"/>
    <x v="4"/>
    <x v="829"/>
    <n v="12306"/>
    <x v="164"/>
    <d v="2015-06-12T00:00:00"/>
    <x v="1805"/>
    <n v="19"/>
    <n v="103.18"/>
    <n v="87299"/>
  </r>
  <r>
    <n v="21046"/>
    <x v="2"/>
    <n v="0.06"/>
    <n v="47.98"/>
    <n v="3.61"/>
    <n v="3255"/>
    <x v="1075"/>
    <x v="2"/>
    <x v="1"/>
    <x v="2"/>
    <x v="13"/>
    <x v="2"/>
    <x v="367"/>
    <n v="0.71"/>
    <x v="0"/>
    <x v="3"/>
    <x v="26"/>
    <x v="830"/>
    <n v="33319"/>
    <x v="29"/>
    <d v="2015-02-20T00:00:00"/>
    <x v="1806"/>
    <n v="2"/>
    <n v="97.96"/>
    <n v="90488"/>
  </r>
  <r>
    <n v="18728"/>
    <x v="1"/>
    <n v="0.01"/>
    <n v="349.45"/>
    <n v="60"/>
    <n v="3257"/>
    <x v="1076"/>
    <x v="1"/>
    <x v="3"/>
    <x v="1"/>
    <x v="11"/>
    <x v="1"/>
    <x v="356"/>
    <m/>
    <x v="0"/>
    <x v="0"/>
    <x v="0"/>
    <x v="831"/>
    <n v="98632"/>
    <x v="66"/>
    <d v="2015-05-27T00:00:00"/>
    <x v="1807"/>
    <n v="15"/>
    <n v="5419.41"/>
    <n v="88825"/>
  </r>
  <r>
    <n v="21852"/>
    <x v="3"/>
    <n v="0"/>
    <n v="25.38"/>
    <n v="8.99"/>
    <n v="3257"/>
    <x v="1076"/>
    <x v="2"/>
    <x v="3"/>
    <x v="1"/>
    <x v="2"/>
    <x v="2"/>
    <x v="268"/>
    <n v="0.5"/>
    <x v="0"/>
    <x v="0"/>
    <x v="0"/>
    <x v="831"/>
    <n v="98632"/>
    <x v="116"/>
    <d v="2015-05-15T00:00:00"/>
    <x v="1808"/>
    <n v="26"/>
    <n v="700.41"/>
    <n v="88826"/>
  </r>
  <r>
    <n v="23010"/>
    <x v="1"/>
    <n v="0.02"/>
    <n v="55.94"/>
    <n v="6.55"/>
    <n v="3258"/>
    <x v="1077"/>
    <x v="2"/>
    <x v="3"/>
    <x v="2"/>
    <x v="13"/>
    <x v="3"/>
    <x v="420"/>
    <n v="0.68"/>
    <x v="0"/>
    <x v="0"/>
    <x v="0"/>
    <x v="832"/>
    <n v="98037"/>
    <x v="68"/>
    <d v="2015-03-23T00:00:00"/>
    <x v="1809"/>
    <n v="11"/>
    <n v="646.88"/>
    <n v="88824"/>
  </r>
  <r>
    <n v="22576"/>
    <x v="1"/>
    <n v="7.0000000000000007E-2"/>
    <n v="105.34"/>
    <n v="24.49"/>
    <n v="3261"/>
    <x v="1078"/>
    <x v="0"/>
    <x v="3"/>
    <x v="1"/>
    <x v="2"/>
    <x v="6"/>
    <x v="828"/>
    <n v="0.61"/>
    <x v="0"/>
    <x v="2"/>
    <x v="22"/>
    <x v="833"/>
    <n v="49221"/>
    <x v="97"/>
    <d v="2015-06-26T00:00:00"/>
    <x v="1810"/>
    <n v="10"/>
    <n v="1029.96"/>
    <n v="90296"/>
  </r>
  <r>
    <n v="19214"/>
    <x v="3"/>
    <n v="0.04"/>
    <n v="9.99"/>
    <n v="11.59"/>
    <n v="3264"/>
    <x v="1079"/>
    <x v="2"/>
    <x v="0"/>
    <x v="0"/>
    <x v="7"/>
    <x v="3"/>
    <x v="655"/>
    <n v="0.4"/>
    <x v="0"/>
    <x v="0"/>
    <x v="1"/>
    <x v="834"/>
    <n v="95501"/>
    <x v="168"/>
    <d v="2015-05-21T00:00:00"/>
    <x v="1811"/>
    <n v="5"/>
    <n v="52.09"/>
    <n v="89835"/>
  </r>
  <r>
    <n v="21459"/>
    <x v="2"/>
    <n v="0"/>
    <n v="122.99"/>
    <n v="70.2"/>
    <n v="3266"/>
    <x v="1080"/>
    <x v="1"/>
    <x v="0"/>
    <x v="1"/>
    <x v="1"/>
    <x v="1"/>
    <x v="36"/>
    <n v="0.74"/>
    <x v="0"/>
    <x v="1"/>
    <x v="14"/>
    <x v="91"/>
    <n v="4073"/>
    <x v="9"/>
    <d v="2015-01-29T00:00:00"/>
    <x v="1812"/>
    <n v="14"/>
    <n v="1794.88"/>
    <n v="89836"/>
  </r>
  <r>
    <n v="21458"/>
    <x v="2"/>
    <n v="0.01"/>
    <n v="60.97"/>
    <n v="4.5"/>
    <n v="3269"/>
    <x v="1081"/>
    <x v="0"/>
    <x v="0"/>
    <x v="0"/>
    <x v="15"/>
    <x v="3"/>
    <x v="714"/>
    <n v="0.56000000000000005"/>
    <x v="0"/>
    <x v="1"/>
    <x v="2"/>
    <x v="835"/>
    <n v="7060"/>
    <x v="9"/>
    <d v="2015-01-30T00:00:00"/>
    <x v="1813"/>
    <n v="12"/>
    <n v="765.04"/>
    <n v="89836"/>
  </r>
  <r>
    <n v="19047"/>
    <x v="4"/>
    <n v="0.02"/>
    <n v="13.48"/>
    <n v="4.51"/>
    <n v="3275"/>
    <x v="1082"/>
    <x v="2"/>
    <x v="1"/>
    <x v="0"/>
    <x v="10"/>
    <x v="3"/>
    <x v="804"/>
    <n v="0.59"/>
    <x v="0"/>
    <x v="0"/>
    <x v="0"/>
    <x v="521"/>
    <n v="98273"/>
    <x v="68"/>
    <d v="2015-03-23T00:00:00"/>
    <x v="1814"/>
    <n v="9"/>
    <n v="127.12"/>
    <n v="86233"/>
  </r>
  <r>
    <n v="19232"/>
    <x v="4"/>
    <n v="0.04"/>
    <n v="449.99"/>
    <n v="24.49"/>
    <n v="3275"/>
    <x v="1082"/>
    <x v="2"/>
    <x v="2"/>
    <x v="2"/>
    <x v="16"/>
    <x v="6"/>
    <x v="895"/>
    <n v="0.52"/>
    <x v="0"/>
    <x v="0"/>
    <x v="0"/>
    <x v="521"/>
    <n v="98273"/>
    <x v="167"/>
    <d v="2015-01-05T00:00:00"/>
    <x v="1815"/>
    <n v="12"/>
    <n v="5183.8900000000003"/>
    <n v="86234"/>
  </r>
  <r>
    <n v="19233"/>
    <x v="4"/>
    <n v="0.01"/>
    <n v="5.84"/>
    <n v="1.2"/>
    <n v="3275"/>
    <x v="1082"/>
    <x v="2"/>
    <x v="2"/>
    <x v="0"/>
    <x v="0"/>
    <x v="0"/>
    <x v="469"/>
    <n v="0.55000000000000004"/>
    <x v="0"/>
    <x v="0"/>
    <x v="0"/>
    <x v="521"/>
    <n v="98273"/>
    <x v="167"/>
    <d v="2015-01-10T00:00:00"/>
    <x v="1816"/>
    <n v="6"/>
    <n v="36.090000000000003"/>
    <n v="86234"/>
  </r>
  <r>
    <n v="20039"/>
    <x v="0"/>
    <n v="0.06"/>
    <n v="89.83"/>
    <n v="35"/>
    <n v="3279"/>
    <x v="1083"/>
    <x v="2"/>
    <x v="1"/>
    <x v="0"/>
    <x v="10"/>
    <x v="6"/>
    <x v="896"/>
    <n v="0.83"/>
    <x v="0"/>
    <x v="3"/>
    <x v="39"/>
    <x v="725"/>
    <n v="29203"/>
    <x v="34"/>
    <d v="2015-04-08T00:00:00"/>
    <x v="1817"/>
    <n v="4"/>
    <n v="366.26"/>
    <n v="90766"/>
  </r>
  <r>
    <n v="20040"/>
    <x v="0"/>
    <n v="0.1"/>
    <n v="13.43"/>
    <n v="5.5"/>
    <n v="3279"/>
    <x v="1083"/>
    <x v="2"/>
    <x v="1"/>
    <x v="0"/>
    <x v="10"/>
    <x v="3"/>
    <x v="599"/>
    <n v="0.56999999999999995"/>
    <x v="0"/>
    <x v="3"/>
    <x v="39"/>
    <x v="725"/>
    <n v="29203"/>
    <x v="34"/>
    <d v="2015-04-08T00:00:00"/>
    <x v="1818"/>
    <n v="12"/>
    <n v="157.99"/>
    <n v="90766"/>
  </r>
  <r>
    <n v="20041"/>
    <x v="0"/>
    <n v="0.01"/>
    <n v="125.99"/>
    <n v="7.69"/>
    <n v="3279"/>
    <x v="1083"/>
    <x v="2"/>
    <x v="1"/>
    <x v="2"/>
    <x v="5"/>
    <x v="3"/>
    <x v="442"/>
    <n v="0.57999999999999996"/>
    <x v="0"/>
    <x v="3"/>
    <x v="39"/>
    <x v="725"/>
    <n v="29203"/>
    <x v="34"/>
    <d v="2015-04-06T00:00:00"/>
    <x v="1819"/>
    <n v="11"/>
    <n v="1212.8800000000001"/>
    <n v="90766"/>
  </r>
  <r>
    <n v="21620"/>
    <x v="3"/>
    <n v="0.01"/>
    <n v="45.99"/>
    <n v="4.99"/>
    <n v="3279"/>
    <x v="1083"/>
    <x v="2"/>
    <x v="1"/>
    <x v="2"/>
    <x v="5"/>
    <x v="3"/>
    <x v="402"/>
    <n v="0.56000000000000005"/>
    <x v="0"/>
    <x v="3"/>
    <x v="39"/>
    <x v="725"/>
    <n v="29203"/>
    <x v="88"/>
    <d v="2015-03-16T00:00:00"/>
    <x v="1820"/>
    <n v="3"/>
    <n v="125.19"/>
    <n v="90767"/>
  </r>
  <r>
    <n v="23022"/>
    <x v="2"/>
    <n v="0.05"/>
    <n v="363.25"/>
    <n v="19.989999999999998"/>
    <n v="3283"/>
    <x v="1084"/>
    <x v="0"/>
    <x v="0"/>
    <x v="0"/>
    <x v="15"/>
    <x v="3"/>
    <x v="451"/>
    <n v="0.56999999999999995"/>
    <x v="0"/>
    <x v="3"/>
    <x v="26"/>
    <x v="836"/>
    <n v="33156"/>
    <x v="109"/>
    <d v="2015-04-21T00:00:00"/>
    <x v="1821"/>
    <n v="5"/>
    <n v="1867.04"/>
    <n v="90752"/>
  </r>
  <r>
    <n v="23211"/>
    <x v="0"/>
    <n v="0.03"/>
    <n v="17.48"/>
    <n v="1.99"/>
    <n v="3283"/>
    <x v="1084"/>
    <x v="2"/>
    <x v="0"/>
    <x v="2"/>
    <x v="13"/>
    <x v="2"/>
    <x v="121"/>
    <n v="0.45"/>
    <x v="0"/>
    <x v="3"/>
    <x v="26"/>
    <x v="836"/>
    <n v="33156"/>
    <x v="16"/>
    <d v="2015-05-11T00:00:00"/>
    <x v="1822"/>
    <n v="31"/>
    <n v="537.79999999999995"/>
    <n v="90753"/>
  </r>
  <r>
    <n v="26141"/>
    <x v="0"/>
    <n v="0.05"/>
    <n v="19.23"/>
    <n v="6.15"/>
    <n v="3284"/>
    <x v="1085"/>
    <x v="0"/>
    <x v="0"/>
    <x v="1"/>
    <x v="2"/>
    <x v="2"/>
    <x v="159"/>
    <n v="0.44"/>
    <x v="0"/>
    <x v="3"/>
    <x v="26"/>
    <x v="837"/>
    <n v="34741"/>
    <x v="63"/>
    <d v="2015-02-22T00:00:00"/>
    <x v="1823"/>
    <n v="6"/>
    <n v="119.78"/>
    <n v="90751"/>
  </r>
  <r>
    <n v="20350"/>
    <x v="1"/>
    <n v="0.06"/>
    <n v="1.7"/>
    <n v="1.99"/>
    <n v="3285"/>
    <x v="1086"/>
    <x v="2"/>
    <x v="3"/>
    <x v="2"/>
    <x v="13"/>
    <x v="2"/>
    <x v="286"/>
    <n v="0.51"/>
    <x v="0"/>
    <x v="3"/>
    <x v="8"/>
    <x v="838"/>
    <n v="20170"/>
    <x v="61"/>
    <d v="2015-01-07T00:00:00"/>
    <x v="1824"/>
    <n v="7"/>
    <n v="12.15"/>
    <n v="90750"/>
  </r>
  <r>
    <n v="20351"/>
    <x v="1"/>
    <n v="0.01"/>
    <n v="30.98"/>
    <n v="5.09"/>
    <n v="3285"/>
    <x v="1086"/>
    <x v="2"/>
    <x v="3"/>
    <x v="0"/>
    <x v="7"/>
    <x v="3"/>
    <x v="897"/>
    <n v="0.4"/>
    <x v="0"/>
    <x v="3"/>
    <x v="8"/>
    <x v="838"/>
    <n v="20170"/>
    <x v="61"/>
    <d v="2015-01-08T00:00:00"/>
    <x v="1825"/>
    <n v="9"/>
    <n v="288.42"/>
    <n v="90750"/>
  </r>
  <r>
    <n v="21567"/>
    <x v="4"/>
    <n v="0.08"/>
    <n v="30.56"/>
    <n v="2.99"/>
    <n v="3287"/>
    <x v="1087"/>
    <x v="2"/>
    <x v="2"/>
    <x v="0"/>
    <x v="8"/>
    <x v="3"/>
    <x v="823"/>
    <n v="0.35"/>
    <x v="0"/>
    <x v="0"/>
    <x v="1"/>
    <x v="839"/>
    <n v="95746"/>
    <x v="40"/>
    <d v="2015-05-27T00:00:00"/>
    <x v="1826"/>
    <n v="17"/>
    <n v="511.42"/>
    <n v="89897"/>
  </r>
  <r>
    <n v="23198"/>
    <x v="4"/>
    <n v="0.04"/>
    <n v="33.89"/>
    <n v="5.0999999999999996"/>
    <n v="3303"/>
    <x v="1088"/>
    <x v="2"/>
    <x v="1"/>
    <x v="0"/>
    <x v="10"/>
    <x v="3"/>
    <x v="867"/>
    <n v="0.6"/>
    <x v="0"/>
    <x v="3"/>
    <x v="26"/>
    <x v="840"/>
    <n v="33461"/>
    <x v="0"/>
    <d v="2015-01-12T00:00:00"/>
    <x v="833"/>
    <n v="6"/>
    <n v="200.64"/>
    <n v="87795"/>
  </r>
  <r>
    <n v="20447"/>
    <x v="3"/>
    <n v="0.06"/>
    <n v="11.33"/>
    <n v="6.12"/>
    <n v="3306"/>
    <x v="1089"/>
    <x v="2"/>
    <x v="2"/>
    <x v="0"/>
    <x v="15"/>
    <x v="4"/>
    <x v="720"/>
    <n v="0.42"/>
    <x v="0"/>
    <x v="1"/>
    <x v="18"/>
    <x v="841"/>
    <n v="6320"/>
    <x v="113"/>
    <d v="2015-04-03T00:00:00"/>
    <x v="1827"/>
    <n v="1"/>
    <n v="17.62"/>
    <n v="90461"/>
  </r>
  <r>
    <n v="22732"/>
    <x v="4"/>
    <n v="7.0000000000000007E-2"/>
    <n v="16.739999999999998"/>
    <n v="7.04"/>
    <n v="3307"/>
    <x v="1090"/>
    <x v="2"/>
    <x v="2"/>
    <x v="0"/>
    <x v="10"/>
    <x v="3"/>
    <x v="898"/>
    <n v="0.81"/>
    <x v="0"/>
    <x v="1"/>
    <x v="15"/>
    <x v="842"/>
    <n v="1001"/>
    <x v="161"/>
    <d v="2015-02-02T00:00:00"/>
    <x v="1828"/>
    <n v="5"/>
    <n v="80.58"/>
    <n v="90462"/>
  </r>
  <r>
    <n v="23451"/>
    <x v="2"/>
    <n v="0.1"/>
    <n v="6.64"/>
    <n v="54.95"/>
    <n v="3309"/>
    <x v="1091"/>
    <x v="2"/>
    <x v="2"/>
    <x v="1"/>
    <x v="2"/>
    <x v="2"/>
    <x v="899"/>
    <n v="0.37"/>
    <x v="0"/>
    <x v="1"/>
    <x v="15"/>
    <x v="843"/>
    <n v="1760"/>
    <x v="120"/>
    <d v="2015-03-26T00:00:00"/>
    <x v="1829"/>
    <n v="4"/>
    <n v="25.31"/>
    <n v="90460"/>
  </r>
  <r>
    <n v="23452"/>
    <x v="2"/>
    <n v="0.05"/>
    <n v="90.48"/>
    <n v="19.989999999999998"/>
    <n v="3310"/>
    <x v="1092"/>
    <x v="2"/>
    <x v="2"/>
    <x v="0"/>
    <x v="4"/>
    <x v="3"/>
    <x v="634"/>
    <n v="0.4"/>
    <x v="0"/>
    <x v="1"/>
    <x v="15"/>
    <x v="844"/>
    <n v="2563"/>
    <x v="120"/>
    <d v="2015-03-25T00:00:00"/>
    <x v="1830"/>
    <n v="4"/>
    <n v="369.78"/>
    <n v="90460"/>
  </r>
  <r>
    <n v="22734"/>
    <x v="4"/>
    <n v="0.06"/>
    <n v="6.45"/>
    <n v="1.34"/>
    <n v="3311"/>
    <x v="1093"/>
    <x v="2"/>
    <x v="2"/>
    <x v="0"/>
    <x v="7"/>
    <x v="0"/>
    <x v="858"/>
    <n v="0.36"/>
    <x v="0"/>
    <x v="1"/>
    <x v="15"/>
    <x v="685"/>
    <n v="1890"/>
    <x v="161"/>
    <d v="2015-01-31T00:00:00"/>
    <x v="1831"/>
    <n v="9"/>
    <n v="57.14"/>
    <n v="90462"/>
  </r>
  <r>
    <n v="22733"/>
    <x v="4"/>
    <n v="0.05"/>
    <n v="122.99"/>
    <n v="70.2"/>
    <n v="3314"/>
    <x v="1094"/>
    <x v="1"/>
    <x v="2"/>
    <x v="1"/>
    <x v="1"/>
    <x v="1"/>
    <x v="36"/>
    <n v="0.74"/>
    <x v="0"/>
    <x v="1"/>
    <x v="2"/>
    <x v="48"/>
    <n v="7024"/>
    <x v="161"/>
    <d v="2015-01-30T00:00:00"/>
    <x v="1832"/>
    <n v="4"/>
    <n v="498.31"/>
    <n v="90462"/>
  </r>
  <r>
    <n v="19422"/>
    <x v="4"/>
    <n v="0.03"/>
    <n v="20.98"/>
    <n v="1.49"/>
    <n v="3319"/>
    <x v="1095"/>
    <x v="2"/>
    <x v="2"/>
    <x v="0"/>
    <x v="8"/>
    <x v="3"/>
    <x v="546"/>
    <n v="0.35"/>
    <x v="0"/>
    <x v="3"/>
    <x v="20"/>
    <x v="822"/>
    <n v="37075"/>
    <x v="8"/>
    <d v="2015-05-21T00:00:00"/>
    <x v="1833"/>
    <n v="20"/>
    <n v="431.43"/>
    <n v="90104"/>
  </r>
  <r>
    <n v="20203"/>
    <x v="1"/>
    <n v="0.08"/>
    <n v="3.28"/>
    <n v="3.97"/>
    <n v="3320"/>
    <x v="1096"/>
    <x v="2"/>
    <x v="2"/>
    <x v="0"/>
    <x v="0"/>
    <x v="0"/>
    <x v="623"/>
    <n v="0.56000000000000005"/>
    <x v="0"/>
    <x v="3"/>
    <x v="20"/>
    <x v="427"/>
    <n v="38301"/>
    <x v="58"/>
    <d v="2015-04-28T00:00:00"/>
    <x v="1834"/>
    <n v="18"/>
    <n v="57.24"/>
    <n v="90103"/>
  </r>
  <r>
    <n v="20204"/>
    <x v="1"/>
    <n v="0.09"/>
    <n v="40.97"/>
    <n v="8.99"/>
    <n v="3320"/>
    <x v="1096"/>
    <x v="0"/>
    <x v="2"/>
    <x v="0"/>
    <x v="0"/>
    <x v="2"/>
    <x v="786"/>
    <n v="0.59"/>
    <x v="0"/>
    <x v="3"/>
    <x v="20"/>
    <x v="427"/>
    <n v="38301"/>
    <x v="58"/>
    <d v="2015-04-29T00:00:00"/>
    <x v="1835"/>
    <n v="22"/>
    <n v="824.7"/>
    <n v="90103"/>
  </r>
  <r>
    <n v="25330"/>
    <x v="3"/>
    <n v="0.05"/>
    <n v="6.48"/>
    <n v="8.19"/>
    <n v="3324"/>
    <x v="1097"/>
    <x v="2"/>
    <x v="3"/>
    <x v="0"/>
    <x v="7"/>
    <x v="3"/>
    <x v="815"/>
    <n v="0.37"/>
    <x v="0"/>
    <x v="0"/>
    <x v="28"/>
    <x v="845"/>
    <n v="85335"/>
    <x v="6"/>
    <d v="2015-02-15T00:00:00"/>
    <x v="1836"/>
    <n v="9"/>
    <n v="58.5"/>
    <n v="90985"/>
  </r>
  <r>
    <n v="20488"/>
    <x v="4"/>
    <n v="0"/>
    <n v="8.74"/>
    <n v="8.2899999999999991"/>
    <n v="3325"/>
    <x v="1098"/>
    <x v="2"/>
    <x v="3"/>
    <x v="0"/>
    <x v="4"/>
    <x v="3"/>
    <x v="526"/>
    <n v="0.38"/>
    <x v="0"/>
    <x v="0"/>
    <x v="6"/>
    <x v="351"/>
    <n v="97420"/>
    <x v="137"/>
    <d v="2015-06-26T00:00:00"/>
    <x v="1837"/>
    <n v="14"/>
    <n v="131.62"/>
    <n v="90986"/>
  </r>
  <r>
    <n v="23476"/>
    <x v="2"/>
    <n v="7.0000000000000007E-2"/>
    <n v="5.58"/>
    <n v="1.99"/>
    <n v="3325"/>
    <x v="1098"/>
    <x v="2"/>
    <x v="3"/>
    <x v="0"/>
    <x v="0"/>
    <x v="0"/>
    <x v="900"/>
    <n v="0.46"/>
    <x v="0"/>
    <x v="0"/>
    <x v="6"/>
    <x v="351"/>
    <n v="97420"/>
    <x v="158"/>
    <d v="2015-04-26T00:00:00"/>
    <x v="1838"/>
    <n v="23"/>
    <n v="121.46"/>
    <n v="90987"/>
  </r>
  <r>
    <n v="18259"/>
    <x v="1"/>
    <n v="0.06"/>
    <n v="113.98"/>
    <n v="30"/>
    <n v="3327"/>
    <x v="1099"/>
    <x v="1"/>
    <x v="2"/>
    <x v="1"/>
    <x v="1"/>
    <x v="1"/>
    <x v="901"/>
    <n v="0.69"/>
    <x v="0"/>
    <x v="2"/>
    <x v="22"/>
    <x v="766"/>
    <n v="48060"/>
    <x v="127"/>
    <d v="2015-03-08T00:00:00"/>
    <x v="1839"/>
    <n v="3"/>
    <n v="356.14"/>
    <n v="87272"/>
  </r>
  <r>
    <n v="18260"/>
    <x v="1"/>
    <n v="0.05"/>
    <n v="6.48"/>
    <n v="6.86"/>
    <n v="3327"/>
    <x v="1099"/>
    <x v="2"/>
    <x v="2"/>
    <x v="0"/>
    <x v="7"/>
    <x v="3"/>
    <x v="334"/>
    <n v="0.37"/>
    <x v="0"/>
    <x v="2"/>
    <x v="22"/>
    <x v="766"/>
    <n v="48060"/>
    <x v="127"/>
    <d v="2015-03-08T00:00:00"/>
    <x v="1840"/>
    <n v="4"/>
    <n v="27.08"/>
    <n v="87272"/>
  </r>
  <r>
    <n v="21588"/>
    <x v="3"/>
    <n v="0.09"/>
    <n v="5.98"/>
    <n v="4.6900000000000004"/>
    <n v="3331"/>
    <x v="1100"/>
    <x v="2"/>
    <x v="0"/>
    <x v="0"/>
    <x v="10"/>
    <x v="3"/>
    <x v="502"/>
    <n v="0.68"/>
    <x v="0"/>
    <x v="3"/>
    <x v="26"/>
    <x v="846"/>
    <n v="32174"/>
    <x v="99"/>
    <d v="2015-01-06T00:00:00"/>
    <x v="1841"/>
    <n v="11"/>
    <n v="65.849999999999994"/>
    <n v="86283"/>
  </r>
  <r>
    <n v="23294"/>
    <x v="1"/>
    <n v="0.02"/>
    <n v="4"/>
    <n v="1.3"/>
    <n v="3331"/>
    <x v="1100"/>
    <x v="2"/>
    <x v="0"/>
    <x v="0"/>
    <x v="7"/>
    <x v="0"/>
    <x v="55"/>
    <n v="0.37"/>
    <x v="0"/>
    <x v="3"/>
    <x v="26"/>
    <x v="846"/>
    <n v="32174"/>
    <x v="85"/>
    <d v="2015-01-09T00:00:00"/>
    <x v="1842"/>
    <n v="12"/>
    <n v="50.71"/>
    <n v="86284"/>
  </r>
  <r>
    <n v="21429"/>
    <x v="0"/>
    <n v="0.08"/>
    <n v="6.48"/>
    <n v="8.4"/>
    <n v="3338"/>
    <x v="1101"/>
    <x v="2"/>
    <x v="3"/>
    <x v="0"/>
    <x v="7"/>
    <x v="3"/>
    <x v="259"/>
    <n v="0.37"/>
    <x v="0"/>
    <x v="3"/>
    <x v="26"/>
    <x v="847"/>
    <n v="33614"/>
    <x v="163"/>
    <d v="2015-05-07T00:00:00"/>
    <x v="1843"/>
    <n v="7"/>
    <n v="45"/>
    <n v="85979"/>
  </r>
  <r>
    <n v="25613"/>
    <x v="0"/>
    <n v="0.03"/>
    <n v="2.61"/>
    <n v="0.5"/>
    <n v="3339"/>
    <x v="1102"/>
    <x v="2"/>
    <x v="3"/>
    <x v="0"/>
    <x v="9"/>
    <x v="3"/>
    <x v="413"/>
    <n v="0.39"/>
    <x v="0"/>
    <x v="3"/>
    <x v="26"/>
    <x v="848"/>
    <n v="32780"/>
    <x v="110"/>
    <d v="2015-06-15T00:00:00"/>
    <x v="1844"/>
    <n v="7"/>
    <n v="19.02"/>
    <n v="85981"/>
  </r>
  <r>
    <n v="25614"/>
    <x v="0"/>
    <n v="0.01"/>
    <n v="11.66"/>
    <n v="7.95"/>
    <n v="3339"/>
    <x v="1102"/>
    <x v="2"/>
    <x v="3"/>
    <x v="0"/>
    <x v="0"/>
    <x v="2"/>
    <x v="603"/>
    <n v="0.57999999999999996"/>
    <x v="0"/>
    <x v="3"/>
    <x v="26"/>
    <x v="848"/>
    <n v="32780"/>
    <x v="110"/>
    <d v="2015-06-15T00:00:00"/>
    <x v="1845"/>
    <n v="16"/>
    <n v="193.87"/>
    <n v="85981"/>
  </r>
  <r>
    <n v="22857"/>
    <x v="3"/>
    <n v="0.08"/>
    <n v="125.99"/>
    <n v="4.2"/>
    <n v="3340"/>
    <x v="1103"/>
    <x v="2"/>
    <x v="3"/>
    <x v="2"/>
    <x v="5"/>
    <x v="3"/>
    <x v="902"/>
    <n v="0.56999999999999995"/>
    <x v="0"/>
    <x v="0"/>
    <x v="6"/>
    <x v="849"/>
    <n v="97060"/>
    <x v="107"/>
    <d v="2015-01-14T00:00:00"/>
    <x v="1846"/>
    <n v="14"/>
    <n v="1434.51"/>
    <n v="85980"/>
  </r>
  <r>
    <n v="2986"/>
    <x v="2"/>
    <n v="0.03"/>
    <n v="194.3"/>
    <n v="11.54"/>
    <n v="3342"/>
    <x v="1104"/>
    <x v="2"/>
    <x v="1"/>
    <x v="1"/>
    <x v="2"/>
    <x v="6"/>
    <x v="423"/>
    <n v="0.59"/>
    <x v="0"/>
    <x v="1"/>
    <x v="41"/>
    <x v="246"/>
    <n v="20006"/>
    <x v="169"/>
    <d v="2015-02-15T00:00:00"/>
    <x v="1847"/>
    <n v="42"/>
    <n v="8549.0400000000009"/>
    <n v="21572"/>
  </r>
  <r>
    <n v="20986"/>
    <x v="2"/>
    <n v="0.03"/>
    <n v="194.3"/>
    <n v="11.54"/>
    <n v="3344"/>
    <x v="1105"/>
    <x v="2"/>
    <x v="1"/>
    <x v="1"/>
    <x v="2"/>
    <x v="6"/>
    <x v="423"/>
    <n v="0.59"/>
    <x v="0"/>
    <x v="2"/>
    <x v="22"/>
    <x v="850"/>
    <n v="48307"/>
    <x v="169"/>
    <d v="2015-02-15T00:00:00"/>
    <x v="1848"/>
    <n v="11"/>
    <n v="2239.0300000000002"/>
    <n v="89928"/>
  </r>
  <r>
    <n v="18947"/>
    <x v="3"/>
    <n v="7.0000000000000007E-2"/>
    <n v="7.68"/>
    <n v="6.16"/>
    <n v="3347"/>
    <x v="1106"/>
    <x v="0"/>
    <x v="3"/>
    <x v="0"/>
    <x v="8"/>
    <x v="3"/>
    <x v="903"/>
    <n v="0.35"/>
    <x v="0"/>
    <x v="3"/>
    <x v="26"/>
    <x v="851"/>
    <n v="33411"/>
    <x v="61"/>
    <d v="2015-01-08T00:00:00"/>
    <x v="1849"/>
    <n v="1"/>
    <n v="22.13"/>
    <n v="89355"/>
  </r>
  <r>
    <n v="18948"/>
    <x v="3"/>
    <n v="0.05"/>
    <n v="6.64"/>
    <n v="4.95"/>
    <n v="3347"/>
    <x v="1106"/>
    <x v="0"/>
    <x v="3"/>
    <x v="1"/>
    <x v="2"/>
    <x v="2"/>
    <x v="899"/>
    <n v="0.37"/>
    <x v="0"/>
    <x v="3"/>
    <x v="26"/>
    <x v="851"/>
    <n v="33411"/>
    <x v="61"/>
    <d v="2015-01-08T00:00:00"/>
    <x v="1850"/>
    <n v="5"/>
    <n v="34.17"/>
    <n v="89355"/>
  </r>
  <r>
    <n v="19461"/>
    <x v="3"/>
    <n v="0.02"/>
    <n v="110.99"/>
    <n v="2.5"/>
    <n v="3347"/>
    <x v="1106"/>
    <x v="2"/>
    <x v="3"/>
    <x v="2"/>
    <x v="5"/>
    <x v="3"/>
    <x v="170"/>
    <n v="0.56999999999999995"/>
    <x v="0"/>
    <x v="3"/>
    <x v="26"/>
    <x v="851"/>
    <n v="33411"/>
    <x v="39"/>
    <d v="2015-01-29T00:00:00"/>
    <x v="1851"/>
    <n v="1"/>
    <n v="94.3"/>
    <n v="89356"/>
  </r>
  <r>
    <n v="21485"/>
    <x v="3"/>
    <n v="0.01"/>
    <n v="73.98"/>
    <n v="12.14"/>
    <n v="3350"/>
    <x v="1107"/>
    <x v="2"/>
    <x v="2"/>
    <x v="2"/>
    <x v="13"/>
    <x v="3"/>
    <x v="124"/>
    <n v="0.67"/>
    <x v="0"/>
    <x v="0"/>
    <x v="0"/>
    <x v="852"/>
    <n v="98444"/>
    <x v="172"/>
    <d v="2015-01-25T00:00:00"/>
    <x v="1852"/>
    <n v="5"/>
    <n v="384.22"/>
    <n v="91296"/>
  </r>
  <r>
    <n v="23248"/>
    <x v="2"/>
    <n v="0.1"/>
    <n v="10.89"/>
    <n v="4.5"/>
    <n v="3351"/>
    <x v="1108"/>
    <x v="2"/>
    <x v="2"/>
    <x v="0"/>
    <x v="15"/>
    <x v="3"/>
    <x v="76"/>
    <n v="0.59"/>
    <x v="0"/>
    <x v="0"/>
    <x v="0"/>
    <x v="853"/>
    <n v="99301"/>
    <x v="128"/>
    <d v="2015-02-06T00:00:00"/>
    <x v="1853"/>
    <n v="17"/>
    <n v="178.68"/>
    <n v="91297"/>
  </r>
  <r>
    <n v="23474"/>
    <x v="0"/>
    <n v="0.06"/>
    <n v="6.7"/>
    <n v="1.56"/>
    <n v="3351"/>
    <x v="1108"/>
    <x v="0"/>
    <x v="2"/>
    <x v="0"/>
    <x v="0"/>
    <x v="0"/>
    <x v="389"/>
    <n v="0.52"/>
    <x v="0"/>
    <x v="0"/>
    <x v="0"/>
    <x v="853"/>
    <n v="99301"/>
    <x v="131"/>
    <d v="2015-02-09T00:00:00"/>
    <x v="1854"/>
    <n v="12"/>
    <n v="79.39"/>
    <n v="91298"/>
  </r>
  <r>
    <n v="19838"/>
    <x v="0"/>
    <n v="0.03"/>
    <n v="28.53"/>
    <n v="1.49"/>
    <n v="3354"/>
    <x v="1109"/>
    <x v="2"/>
    <x v="0"/>
    <x v="0"/>
    <x v="8"/>
    <x v="3"/>
    <x v="107"/>
    <n v="0.38"/>
    <x v="0"/>
    <x v="0"/>
    <x v="1"/>
    <x v="854"/>
    <n v="92231"/>
    <x v="41"/>
    <d v="2015-05-17T00:00:00"/>
    <x v="1855"/>
    <n v="7"/>
    <n v="199.53"/>
    <n v="88589"/>
  </r>
  <r>
    <n v="19839"/>
    <x v="0"/>
    <n v="7.0000000000000007E-2"/>
    <n v="5.98"/>
    <n v="7.15"/>
    <n v="3354"/>
    <x v="1109"/>
    <x v="2"/>
    <x v="0"/>
    <x v="0"/>
    <x v="7"/>
    <x v="3"/>
    <x v="904"/>
    <n v="0.36"/>
    <x v="0"/>
    <x v="0"/>
    <x v="1"/>
    <x v="854"/>
    <n v="92231"/>
    <x v="41"/>
    <d v="2015-05-18T00:00:00"/>
    <x v="1856"/>
    <n v="6"/>
    <n v="37.049999999999997"/>
    <n v="88589"/>
  </r>
  <r>
    <n v="19666"/>
    <x v="1"/>
    <n v="0.04"/>
    <n v="3.69"/>
    <n v="0.5"/>
    <n v="3354"/>
    <x v="1109"/>
    <x v="2"/>
    <x v="0"/>
    <x v="0"/>
    <x v="9"/>
    <x v="3"/>
    <x v="543"/>
    <n v="0.38"/>
    <x v="0"/>
    <x v="0"/>
    <x v="1"/>
    <x v="854"/>
    <n v="92231"/>
    <x v="12"/>
    <d v="2015-03-29T00:00:00"/>
    <x v="1857"/>
    <n v="19"/>
    <n v="68.88"/>
    <n v="88590"/>
  </r>
  <r>
    <n v="23906"/>
    <x v="4"/>
    <n v="0.1"/>
    <n v="120.98"/>
    <n v="9.07"/>
    <n v="3355"/>
    <x v="1110"/>
    <x v="2"/>
    <x v="0"/>
    <x v="0"/>
    <x v="8"/>
    <x v="3"/>
    <x v="470"/>
    <n v="0.35"/>
    <x v="0"/>
    <x v="0"/>
    <x v="1"/>
    <x v="855"/>
    <n v="93010"/>
    <x v="136"/>
    <d v="2015-03-09T00:00:00"/>
    <x v="1858"/>
    <n v="5"/>
    <n v="549.85"/>
    <n v="88587"/>
  </r>
  <r>
    <n v="23907"/>
    <x v="4"/>
    <n v="0.08"/>
    <n v="8.32"/>
    <n v="2.38"/>
    <n v="3355"/>
    <x v="1110"/>
    <x v="0"/>
    <x v="0"/>
    <x v="2"/>
    <x v="13"/>
    <x v="2"/>
    <x v="207"/>
    <n v="0.74"/>
    <x v="0"/>
    <x v="0"/>
    <x v="1"/>
    <x v="855"/>
    <n v="93010"/>
    <x v="136"/>
    <d v="2015-03-04T00:00:00"/>
    <x v="1859"/>
    <n v="6"/>
    <n v="48.99"/>
    <n v="88587"/>
  </r>
  <r>
    <n v="23908"/>
    <x v="4"/>
    <n v="0.1"/>
    <n v="125.99"/>
    <n v="4.2"/>
    <n v="3355"/>
    <x v="1110"/>
    <x v="2"/>
    <x v="0"/>
    <x v="2"/>
    <x v="5"/>
    <x v="3"/>
    <x v="868"/>
    <n v="0.59"/>
    <x v="0"/>
    <x v="0"/>
    <x v="1"/>
    <x v="855"/>
    <n v="93010"/>
    <x v="136"/>
    <d v="2015-02-28T00:00:00"/>
    <x v="1860"/>
    <n v="7"/>
    <n v="681.42"/>
    <n v="88587"/>
  </r>
  <r>
    <n v="18628"/>
    <x v="3"/>
    <n v="7.0000000000000007E-2"/>
    <n v="5.34"/>
    <n v="5.63"/>
    <n v="3356"/>
    <x v="1111"/>
    <x v="2"/>
    <x v="0"/>
    <x v="0"/>
    <x v="8"/>
    <x v="3"/>
    <x v="166"/>
    <n v="0.39"/>
    <x v="0"/>
    <x v="0"/>
    <x v="44"/>
    <x v="856"/>
    <n v="83616"/>
    <x v="82"/>
    <d v="2015-05-06T00:00:00"/>
    <x v="1861"/>
    <n v="13"/>
    <n v="66.650000000000006"/>
    <n v="88588"/>
  </r>
  <r>
    <n v="18629"/>
    <x v="3"/>
    <n v="0.03"/>
    <n v="160.97999999999999"/>
    <n v="30"/>
    <n v="3356"/>
    <x v="1111"/>
    <x v="1"/>
    <x v="0"/>
    <x v="1"/>
    <x v="1"/>
    <x v="1"/>
    <x v="48"/>
    <n v="0.62"/>
    <x v="0"/>
    <x v="0"/>
    <x v="44"/>
    <x v="856"/>
    <n v="83616"/>
    <x v="82"/>
    <d v="2015-05-05T00:00:00"/>
    <x v="1862"/>
    <n v="18"/>
    <n v="2934.16"/>
    <n v="88588"/>
  </r>
  <r>
    <n v="18630"/>
    <x v="3"/>
    <n v="0.04"/>
    <n v="65.989999999999995"/>
    <n v="5.63"/>
    <n v="3356"/>
    <x v="1111"/>
    <x v="0"/>
    <x v="0"/>
    <x v="2"/>
    <x v="5"/>
    <x v="3"/>
    <x v="905"/>
    <n v="0.56000000000000005"/>
    <x v="0"/>
    <x v="0"/>
    <x v="44"/>
    <x v="856"/>
    <n v="83616"/>
    <x v="82"/>
    <d v="2015-05-04T00:00:00"/>
    <x v="1863"/>
    <n v="15"/>
    <n v="876.88"/>
    <n v="88588"/>
  </r>
  <r>
    <n v="22597"/>
    <x v="0"/>
    <n v="0.09"/>
    <n v="28.53"/>
    <n v="1.49"/>
    <n v="3359"/>
    <x v="1112"/>
    <x v="2"/>
    <x v="1"/>
    <x v="0"/>
    <x v="8"/>
    <x v="3"/>
    <x v="107"/>
    <n v="0.38"/>
    <x v="0"/>
    <x v="2"/>
    <x v="45"/>
    <x v="857"/>
    <n v="53213"/>
    <x v="65"/>
    <d v="2015-04-30T00:00:00"/>
    <x v="1864"/>
    <n v="6"/>
    <n v="157.33000000000001"/>
    <n v="91437"/>
  </r>
  <r>
    <n v="23359"/>
    <x v="1"/>
    <n v="0.02"/>
    <n v="9.11"/>
    <n v="2.15"/>
    <n v="3360"/>
    <x v="1113"/>
    <x v="2"/>
    <x v="1"/>
    <x v="0"/>
    <x v="7"/>
    <x v="0"/>
    <x v="452"/>
    <n v="0.4"/>
    <x v="0"/>
    <x v="2"/>
    <x v="45"/>
    <x v="858"/>
    <n v="53214"/>
    <x v="80"/>
    <d v="2015-03-22T00:00:00"/>
    <x v="1865"/>
    <n v="3"/>
    <n v="27.37"/>
    <n v="91435"/>
  </r>
  <r>
    <n v="23360"/>
    <x v="1"/>
    <n v="0.06"/>
    <n v="12.64"/>
    <n v="4.9800000000000004"/>
    <n v="3361"/>
    <x v="1114"/>
    <x v="2"/>
    <x v="1"/>
    <x v="1"/>
    <x v="2"/>
    <x v="2"/>
    <x v="215"/>
    <n v="0.48"/>
    <x v="0"/>
    <x v="2"/>
    <x v="45"/>
    <x v="859"/>
    <n v="53095"/>
    <x v="80"/>
    <d v="2015-03-22T00:00:00"/>
    <x v="1866"/>
    <n v="8"/>
    <n v="98.16"/>
    <n v="91435"/>
  </r>
  <r>
    <n v="24802"/>
    <x v="3"/>
    <n v="0.04"/>
    <n v="7.96"/>
    <n v="4.95"/>
    <n v="3361"/>
    <x v="1114"/>
    <x v="2"/>
    <x v="1"/>
    <x v="1"/>
    <x v="2"/>
    <x v="3"/>
    <x v="461"/>
    <n v="0.41"/>
    <x v="0"/>
    <x v="2"/>
    <x v="45"/>
    <x v="859"/>
    <n v="53095"/>
    <x v="161"/>
    <d v="2015-01-26T00:00:00"/>
    <x v="1867"/>
    <n v="15"/>
    <n v="116.11"/>
    <n v="91436"/>
  </r>
  <r>
    <n v="23887"/>
    <x v="3"/>
    <n v="0.03"/>
    <n v="4.9800000000000004"/>
    <n v="4.95"/>
    <n v="3361"/>
    <x v="1114"/>
    <x v="2"/>
    <x v="1"/>
    <x v="0"/>
    <x v="8"/>
    <x v="3"/>
    <x v="802"/>
    <n v="0.37"/>
    <x v="0"/>
    <x v="2"/>
    <x v="45"/>
    <x v="859"/>
    <n v="53095"/>
    <x v="62"/>
    <d v="2015-06-11T00:00:00"/>
    <x v="1868"/>
    <n v="19"/>
    <n v="95"/>
    <n v="91438"/>
  </r>
  <r>
    <n v="19749"/>
    <x v="4"/>
    <n v="0.1"/>
    <n v="80.97"/>
    <n v="33.6"/>
    <n v="3366"/>
    <x v="1115"/>
    <x v="1"/>
    <x v="1"/>
    <x v="2"/>
    <x v="6"/>
    <x v="1"/>
    <x v="690"/>
    <n v="0.37"/>
    <x v="0"/>
    <x v="1"/>
    <x v="10"/>
    <x v="58"/>
    <n v="45373"/>
    <x v="84"/>
    <d v="2015-05-29T00:00:00"/>
    <x v="1869"/>
    <n v="11"/>
    <n v="837.57"/>
    <n v="90501"/>
  </r>
  <r>
    <n v="19750"/>
    <x v="4"/>
    <n v="0.02"/>
    <n v="6.48"/>
    <n v="5.1100000000000003"/>
    <n v="3366"/>
    <x v="1115"/>
    <x v="2"/>
    <x v="1"/>
    <x v="0"/>
    <x v="7"/>
    <x v="3"/>
    <x v="357"/>
    <n v="0.37"/>
    <x v="0"/>
    <x v="1"/>
    <x v="10"/>
    <x v="58"/>
    <n v="45373"/>
    <x v="84"/>
    <d v="2015-05-28T00:00:00"/>
    <x v="1870"/>
    <n v="8"/>
    <n v="56.22"/>
    <n v="90501"/>
  </r>
  <r>
    <n v="23428"/>
    <x v="2"/>
    <n v="0.08"/>
    <n v="30.97"/>
    <n v="4"/>
    <n v="3367"/>
    <x v="1116"/>
    <x v="2"/>
    <x v="1"/>
    <x v="2"/>
    <x v="13"/>
    <x v="3"/>
    <x v="846"/>
    <n v="0.74"/>
    <x v="0"/>
    <x v="1"/>
    <x v="10"/>
    <x v="860"/>
    <n v="43221"/>
    <x v="10"/>
    <d v="2015-05-03T00:00:00"/>
    <x v="1871"/>
    <n v="26"/>
    <n v="758.97"/>
    <n v="90502"/>
  </r>
  <r>
    <n v="23429"/>
    <x v="2"/>
    <n v="0.1"/>
    <n v="4.13"/>
    <n v="0.5"/>
    <n v="3367"/>
    <x v="1116"/>
    <x v="0"/>
    <x v="1"/>
    <x v="0"/>
    <x v="9"/>
    <x v="3"/>
    <x v="906"/>
    <n v="0.39"/>
    <x v="0"/>
    <x v="1"/>
    <x v="10"/>
    <x v="860"/>
    <n v="43221"/>
    <x v="10"/>
    <d v="2015-05-04T00:00:00"/>
    <x v="1872"/>
    <n v="18"/>
    <n v="84.44"/>
    <n v="90502"/>
  </r>
  <r>
    <n v="26104"/>
    <x v="3"/>
    <n v="0.06"/>
    <n v="7.1"/>
    <n v="6.05"/>
    <n v="3369"/>
    <x v="1117"/>
    <x v="2"/>
    <x v="1"/>
    <x v="0"/>
    <x v="8"/>
    <x v="3"/>
    <x v="227"/>
    <n v="0.39"/>
    <x v="0"/>
    <x v="1"/>
    <x v="10"/>
    <x v="386"/>
    <n v="43081"/>
    <x v="6"/>
    <d v="2015-02-13T00:00:00"/>
    <x v="1873"/>
    <n v="4"/>
    <n v="29.99"/>
    <n v="90500"/>
  </r>
  <r>
    <n v="18311"/>
    <x v="3"/>
    <n v="0.01"/>
    <n v="179.29"/>
    <n v="29.21"/>
    <n v="3374"/>
    <x v="1118"/>
    <x v="1"/>
    <x v="0"/>
    <x v="1"/>
    <x v="11"/>
    <x v="5"/>
    <x v="218"/>
    <n v="0.76"/>
    <x v="0"/>
    <x v="1"/>
    <x v="30"/>
    <x v="861"/>
    <n v="21113"/>
    <x v="42"/>
    <d v="2015-06-04T00:00:00"/>
    <x v="1874"/>
    <n v="8"/>
    <n v="1487.9"/>
    <n v="87473"/>
  </r>
  <r>
    <n v="18320"/>
    <x v="0"/>
    <n v="0.05"/>
    <n v="73.98"/>
    <n v="12.14"/>
    <n v="3374"/>
    <x v="1118"/>
    <x v="2"/>
    <x v="1"/>
    <x v="2"/>
    <x v="13"/>
    <x v="3"/>
    <x v="124"/>
    <n v="0.67"/>
    <x v="0"/>
    <x v="1"/>
    <x v="30"/>
    <x v="861"/>
    <n v="21113"/>
    <x v="159"/>
    <d v="2015-06-30T00:00:00"/>
    <x v="1875"/>
    <n v="8"/>
    <n v="600.4"/>
    <n v="87474"/>
  </r>
  <r>
    <n v="18321"/>
    <x v="0"/>
    <n v="0"/>
    <n v="5.98"/>
    <n v="7.15"/>
    <n v="3374"/>
    <x v="1118"/>
    <x v="2"/>
    <x v="1"/>
    <x v="0"/>
    <x v="7"/>
    <x v="3"/>
    <x v="904"/>
    <n v="0.36"/>
    <x v="0"/>
    <x v="1"/>
    <x v="30"/>
    <x v="861"/>
    <n v="21113"/>
    <x v="159"/>
    <d v="2015-07-01T00:00:00"/>
    <x v="1876"/>
    <n v="5"/>
    <n v="34.25"/>
    <n v="87474"/>
  </r>
  <r>
    <n v="18322"/>
    <x v="0"/>
    <n v="0.09"/>
    <n v="3.57"/>
    <n v="4.17"/>
    <n v="3374"/>
    <x v="1118"/>
    <x v="2"/>
    <x v="1"/>
    <x v="0"/>
    <x v="0"/>
    <x v="2"/>
    <x v="818"/>
    <n v="0.59"/>
    <x v="0"/>
    <x v="1"/>
    <x v="30"/>
    <x v="861"/>
    <n v="21113"/>
    <x v="159"/>
    <d v="2015-07-01T00:00:00"/>
    <x v="1877"/>
    <n v="9"/>
    <n v="31.45"/>
    <n v="87474"/>
  </r>
  <r>
    <n v="22378"/>
    <x v="2"/>
    <n v="0"/>
    <n v="19.98"/>
    <n v="5.97"/>
    <n v="3379"/>
    <x v="1119"/>
    <x v="0"/>
    <x v="0"/>
    <x v="0"/>
    <x v="7"/>
    <x v="3"/>
    <x v="907"/>
    <n v="0.38"/>
    <x v="0"/>
    <x v="3"/>
    <x v="29"/>
    <x v="862"/>
    <n v="30144"/>
    <x v="173"/>
    <d v="2015-03-29T00:00:00"/>
    <x v="1878"/>
    <n v="12"/>
    <n v="249.07"/>
    <n v="88837"/>
  </r>
  <r>
    <n v="20366"/>
    <x v="2"/>
    <n v="0.05"/>
    <n v="3.14"/>
    <n v="1.92"/>
    <n v="3379"/>
    <x v="1119"/>
    <x v="0"/>
    <x v="1"/>
    <x v="0"/>
    <x v="12"/>
    <x v="0"/>
    <x v="839"/>
    <n v="0.84"/>
    <x v="0"/>
    <x v="3"/>
    <x v="29"/>
    <x v="862"/>
    <n v="30144"/>
    <x v="177"/>
    <d v="2015-04-26T00:00:00"/>
    <x v="1879"/>
    <n v="18"/>
    <n v="59.22"/>
    <n v="88839"/>
  </r>
  <r>
    <n v="23181"/>
    <x v="2"/>
    <n v="0.03"/>
    <n v="315.98"/>
    <n v="19.989999999999998"/>
    <n v="3380"/>
    <x v="1120"/>
    <x v="2"/>
    <x v="1"/>
    <x v="0"/>
    <x v="8"/>
    <x v="3"/>
    <x v="871"/>
    <n v="0.38"/>
    <x v="0"/>
    <x v="3"/>
    <x v="29"/>
    <x v="863"/>
    <n v="30240"/>
    <x v="18"/>
    <d v="2015-04-22T00:00:00"/>
    <x v="1880"/>
    <n v="18"/>
    <n v="5572.18"/>
    <n v="88838"/>
  </r>
  <r>
    <n v="23182"/>
    <x v="2"/>
    <n v="0.09"/>
    <n v="276.2"/>
    <n v="24.49"/>
    <n v="3380"/>
    <x v="1120"/>
    <x v="2"/>
    <x v="1"/>
    <x v="1"/>
    <x v="1"/>
    <x v="6"/>
    <x v="147"/>
    <m/>
    <x v="0"/>
    <x v="3"/>
    <x v="29"/>
    <x v="863"/>
    <n v="30240"/>
    <x v="18"/>
    <d v="2015-04-21T00:00:00"/>
    <x v="1881"/>
    <n v="11"/>
    <n v="2941.42"/>
    <n v="88838"/>
  </r>
  <r>
    <n v="23183"/>
    <x v="2"/>
    <n v="0.03"/>
    <n v="63.94"/>
    <n v="14.48"/>
    <n v="3380"/>
    <x v="1120"/>
    <x v="2"/>
    <x v="1"/>
    <x v="1"/>
    <x v="2"/>
    <x v="3"/>
    <x v="176"/>
    <n v="0.46"/>
    <x v="0"/>
    <x v="3"/>
    <x v="29"/>
    <x v="863"/>
    <n v="30240"/>
    <x v="18"/>
    <d v="2015-04-21T00:00:00"/>
    <x v="1882"/>
    <n v="8"/>
    <n v="522.46"/>
    <n v="88838"/>
  </r>
  <r>
    <n v="24161"/>
    <x v="1"/>
    <n v="0.05"/>
    <n v="11.97"/>
    <n v="5.81"/>
    <n v="3381"/>
    <x v="1121"/>
    <x v="2"/>
    <x v="0"/>
    <x v="0"/>
    <x v="0"/>
    <x v="2"/>
    <x v="908"/>
    <n v="0.6"/>
    <x v="0"/>
    <x v="3"/>
    <x v="29"/>
    <x v="864"/>
    <n v="31204"/>
    <x v="165"/>
    <d v="2015-03-25T00:00:00"/>
    <x v="1883"/>
    <n v="2"/>
    <n v="25.31"/>
    <n v="88836"/>
  </r>
  <r>
    <n v="25841"/>
    <x v="3"/>
    <n v="0.02"/>
    <n v="28.53"/>
    <n v="1.49"/>
    <n v="3381"/>
    <x v="1121"/>
    <x v="2"/>
    <x v="1"/>
    <x v="0"/>
    <x v="8"/>
    <x v="3"/>
    <x v="107"/>
    <n v="0.38"/>
    <x v="0"/>
    <x v="3"/>
    <x v="29"/>
    <x v="864"/>
    <n v="31204"/>
    <x v="119"/>
    <d v="2015-04-29T00:00:00"/>
    <x v="1884"/>
    <n v="18"/>
    <n v="513.33000000000004"/>
    <n v="88840"/>
  </r>
  <r>
    <n v="22341"/>
    <x v="4"/>
    <n v="0.04"/>
    <n v="2.98"/>
    <n v="2.0299999999999998"/>
    <n v="3385"/>
    <x v="1122"/>
    <x v="0"/>
    <x v="0"/>
    <x v="0"/>
    <x v="0"/>
    <x v="0"/>
    <x v="909"/>
    <n v="0.56999999999999995"/>
    <x v="0"/>
    <x v="1"/>
    <x v="10"/>
    <x v="865"/>
    <n v="44512"/>
    <x v="59"/>
    <d v="2015-01-16T00:00:00"/>
    <x v="1885"/>
    <n v="5"/>
    <n v="15.7"/>
    <n v="88745"/>
  </r>
  <r>
    <n v="22342"/>
    <x v="4"/>
    <n v="0.01"/>
    <n v="125.99"/>
    <n v="8.99"/>
    <n v="3385"/>
    <x v="1122"/>
    <x v="2"/>
    <x v="0"/>
    <x v="2"/>
    <x v="5"/>
    <x v="3"/>
    <x v="157"/>
    <n v="0.59"/>
    <x v="0"/>
    <x v="1"/>
    <x v="10"/>
    <x v="865"/>
    <n v="44512"/>
    <x v="59"/>
    <d v="2015-01-21T00:00:00"/>
    <x v="1886"/>
    <n v="6"/>
    <n v="680.65"/>
    <n v="88745"/>
  </r>
  <r>
    <n v="23190"/>
    <x v="2"/>
    <n v="0"/>
    <n v="2.61"/>
    <n v="0.5"/>
    <n v="3386"/>
    <x v="1123"/>
    <x v="2"/>
    <x v="0"/>
    <x v="0"/>
    <x v="9"/>
    <x v="3"/>
    <x v="413"/>
    <n v="0.39"/>
    <x v="0"/>
    <x v="1"/>
    <x v="10"/>
    <x v="143"/>
    <n v="43402"/>
    <x v="32"/>
    <d v="2015-05-05T00:00:00"/>
    <x v="1887"/>
    <n v="10"/>
    <n v="28.34"/>
    <n v="88746"/>
  </r>
  <r>
    <n v="23191"/>
    <x v="2"/>
    <n v="0.04"/>
    <n v="25.38"/>
    <n v="8.99"/>
    <n v="3386"/>
    <x v="1123"/>
    <x v="0"/>
    <x v="0"/>
    <x v="1"/>
    <x v="2"/>
    <x v="2"/>
    <x v="268"/>
    <n v="0.5"/>
    <x v="0"/>
    <x v="1"/>
    <x v="10"/>
    <x v="143"/>
    <n v="43402"/>
    <x v="32"/>
    <d v="2015-05-06T00:00:00"/>
    <x v="1888"/>
    <n v="35"/>
    <n v="861.3"/>
    <n v="88746"/>
  </r>
  <r>
    <n v="19464"/>
    <x v="1"/>
    <n v="0.03"/>
    <n v="95.99"/>
    <n v="35"/>
    <n v="3388"/>
    <x v="1124"/>
    <x v="2"/>
    <x v="0"/>
    <x v="0"/>
    <x v="10"/>
    <x v="6"/>
    <x v="711"/>
    <m/>
    <x v="0"/>
    <x v="0"/>
    <x v="1"/>
    <x v="79"/>
    <n v="94533"/>
    <x v="171"/>
    <d v="2015-05-12T00:00:00"/>
    <x v="1889"/>
    <n v="9"/>
    <n v="894.64"/>
    <n v="90154"/>
  </r>
  <r>
    <n v="18640"/>
    <x v="3"/>
    <n v="0.08"/>
    <n v="125.99"/>
    <n v="7.69"/>
    <n v="3393"/>
    <x v="1125"/>
    <x v="2"/>
    <x v="3"/>
    <x v="2"/>
    <x v="5"/>
    <x v="3"/>
    <x v="19"/>
    <n v="0.59"/>
    <x v="0"/>
    <x v="0"/>
    <x v="0"/>
    <x v="866"/>
    <n v="99163"/>
    <x v="119"/>
    <d v="2015-04-30T00:00:00"/>
    <x v="1890"/>
    <n v="7"/>
    <n v="710.36"/>
    <n v="87908"/>
  </r>
  <r>
    <n v="19635"/>
    <x v="2"/>
    <n v="0.08"/>
    <n v="4.4800000000000004"/>
    <n v="2.5"/>
    <n v="3393"/>
    <x v="1125"/>
    <x v="2"/>
    <x v="3"/>
    <x v="0"/>
    <x v="4"/>
    <x v="3"/>
    <x v="409"/>
    <n v="0.37"/>
    <x v="0"/>
    <x v="0"/>
    <x v="0"/>
    <x v="866"/>
    <n v="99163"/>
    <x v="79"/>
    <d v="2015-02-15T00:00:00"/>
    <x v="1891"/>
    <n v="19"/>
    <n v="80.2"/>
    <n v="87909"/>
  </r>
  <r>
    <n v="20624"/>
    <x v="4"/>
    <n v="0"/>
    <n v="1270.99"/>
    <n v="19.989999999999998"/>
    <n v="3397"/>
    <x v="1126"/>
    <x v="2"/>
    <x v="2"/>
    <x v="0"/>
    <x v="8"/>
    <x v="3"/>
    <x v="219"/>
    <n v="0.35"/>
    <x v="0"/>
    <x v="2"/>
    <x v="12"/>
    <x v="341"/>
    <n v="61832"/>
    <x v="31"/>
    <d v="2015-06-09T00:00:00"/>
    <x v="1892"/>
    <n v="7"/>
    <n v="9252.81"/>
    <n v="87535"/>
  </r>
  <r>
    <n v="19842"/>
    <x v="0"/>
    <n v="0.01"/>
    <n v="10.9"/>
    <n v="7.46"/>
    <n v="3397"/>
    <x v="1126"/>
    <x v="2"/>
    <x v="2"/>
    <x v="0"/>
    <x v="10"/>
    <x v="3"/>
    <x v="910"/>
    <n v="0.59"/>
    <x v="0"/>
    <x v="2"/>
    <x v="12"/>
    <x v="341"/>
    <n v="61832"/>
    <x v="140"/>
    <d v="2015-03-12T00:00:00"/>
    <x v="1893"/>
    <n v="18"/>
    <n v="207.31"/>
    <n v="87536"/>
  </r>
  <r>
    <n v="19843"/>
    <x v="0"/>
    <n v="0.1"/>
    <n v="7.99"/>
    <n v="5.03"/>
    <n v="3397"/>
    <x v="1126"/>
    <x v="2"/>
    <x v="2"/>
    <x v="2"/>
    <x v="5"/>
    <x v="4"/>
    <x v="145"/>
    <n v="0.6"/>
    <x v="0"/>
    <x v="2"/>
    <x v="12"/>
    <x v="341"/>
    <n v="61832"/>
    <x v="140"/>
    <d v="2015-03-12T00:00:00"/>
    <x v="1894"/>
    <n v="22"/>
    <n v="143.12"/>
    <n v="87536"/>
  </r>
  <r>
    <n v="26208"/>
    <x v="1"/>
    <n v="0.08"/>
    <n v="11.97"/>
    <n v="5.81"/>
    <n v="3399"/>
    <x v="1127"/>
    <x v="2"/>
    <x v="2"/>
    <x v="0"/>
    <x v="0"/>
    <x v="2"/>
    <x v="908"/>
    <n v="0.6"/>
    <x v="0"/>
    <x v="2"/>
    <x v="12"/>
    <x v="389"/>
    <n v="60016"/>
    <x v="48"/>
    <d v="2015-03-31T00:00:00"/>
    <x v="1895"/>
    <n v="5"/>
    <n v="59.98"/>
    <n v="87534"/>
  </r>
  <r>
    <n v="24911"/>
    <x v="3"/>
    <n v="0.1"/>
    <n v="9.3800000000000008"/>
    <n v="4.93"/>
    <n v="3400"/>
    <x v="1128"/>
    <x v="0"/>
    <x v="2"/>
    <x v="1"/>
    <x v="2"/>
    <x v="3"/>
    <x v="911"/>
    <n v="0.56999999999999995"/>
    <x v="0"/>
    <x v="1"/>
    <x v="36"/>
    <x v="867"/>
    <n v="26554"/>
    <x v="36"/>
    <d v="2015-04-04T00:00:00"/>
    <x v="1896"/>
    <n v="15"/>
    <n v="135.78"/>
    <n v="87537"/>
  </r>
  <r>
    <n v="25914"/>
    <x v="0"/>
    <n v="0.1"/>
    <n v="105.98"/>
    <n v="13.99"/>
    <n v="3403"/>
    <x v="1129"/>
    <x v="0"/>
    <x v="3"/>
    <x v="1"/>
    <x v="2"/>
    <x v="4"/>
    <x v="912"/>
    <n v="0.65"/>
    <x v="0"/>
    <x v="0"/>
    <x v="47"/>
    <x v="868"/>
    <n v="82001"/>
    <x v="102"/>
    <d v="2015-02-11T00:00:00"/>
    <x v="1897"/>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6E9DD5-3D70-4629-9B8A-4F2E693FF6D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 ">
  <location ref="AA6:AB9" firstHeaderRow="1" firstDataRow="1" firstDataCol="1"/>
  <pivotFields count="27">
    <pivotField showAll="0"/>
    <pivotField showAll="0"/>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axis="axisRow" showAll="0">
      <items count="4">
        <item x="1"/>
        <item x="0"/>
        <item x="2"/>
        <item t="default"/>
      </items>
    </pivotField>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3">
    <i>
      <x/>
    </i>
    <i>
      <x v="1"/>
    </i>
    <i>
      <x v="2"/>
    </i>
  </rowItems>
  <colItems count="1">
    <i/>
  </colItems>
  <dataFields count="1">
    <dataField name="Sum of Sales" fld="23"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2DBED2-1DCB-4ABD-B346-9E4F64EEFA0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X6:Y11" firstHeaderRow="1" firstDataRow="1" firstDataCol="1"/>
  <pivotFields count="27">
    <pivotField showAll="0"/>
    <pivotField showAll="0"/>
    <pivotField showAll="0"/>
    <pivotField showAll="0"/>
    <pivotField showAll="0"/>
    <pivotField showAll="0"/>
    <pivotField axis="axisRow" showAll="0" measureFilter="1" sortType="ascending">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v="1127"/>
    </i>
    <i>
      <x v="937"/>
    </i>
    <i>
      <x v="1065"/>
    </i>
    <i>
      <x v="830"/>
    </i>
    <i>
      <x v="620"/>
    </i>
  </rowItems>
  <colItems count="1">
    <i/>
  </colItems>
  <dataFields count="1">
    <dataField name="Sum of Sales" fld="23" baseField="0" baseItem="0" numFmtId="164"/>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781181-9ABC-4705-B638-571CD2BD2C6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B9" firstHeaderRow="1" firstDataRow="1" firstDataCol="1"/>
  <pivotFields count="27">
    <pivotField showAll="0"/>
    <pivotField showAll="0"/>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axis="axisRow" showAll="0">
      <items count="4">
        <item x="1"/>
        <item x="0"/>
        <item x="2"/>
        <item t="default"/>
      </items>
    </pivotField>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3">
    <i>
      <x/>
    </i>
    <i>
      <x v="1"/>
    </i>
    <i>
      <x v="2"/>
    </i>
  </rowItems>
  <colItems count="1">
    <i/>
  </colItems>
  <dataFields count="1">
    <dataField name="Sum of Sales"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3E25A7-5A6B-4A05-B653-8A2D6AAF3C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7">
    <pivotField showAll="0"/>
    <pivotField showAll="0"/>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21"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C90E31-4CE2-42BB-92A4-03784049AC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pivotField showAll="0"/>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 fld="23"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A4FCF2-D747-43B8-BCF5-0918A9A2483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R5:S54" firstHeaderRow="1" firstDataRow="1" firstDataCol="1"/>
  <pivotFields count="27">
    <pivotField showAll="0"/>
    <pivotField showAll="0"/>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items count="4">
        <item x="1"/>
        <item x="0"/>
        <item x="2"/>
        <item t="default"/>
      </items>
    </pivotField>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axis="axisRow"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23"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9570A7-FC75-4BEA-9BCA-99F77AC3CA1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X13:Y16" firstHeaderRow="1" firstDataRow="1" firstDataCol="1"/>
  <pivotFields count="27">
    <pivotField showAll="0"/>
    <pivotField showAll="0"/>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3">
    <i>
      <x v="2"/>
    </i>
    <i>
      <x/>
    </i>
    <i>
      <x v="1"/>
    </i>
  </rowItems>
  <colItems count="1">
    <i/>
  </colItems>
  <dataFields count="1">
    <dataField name="Sum of Sales" fld="23" baseField="0" baseItem="0"/>
  </dataFields>
  <formats count="1">
    <format dxfId="5">
      <pivotArea outline="0" collapsedLevelsAreSubtotals="1" fieldPosition="0"/>
    </format>
  </formats>
  <chartFormats count="13">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2"/>
          </reference>
        </references>
      </pivotArea>
    </chartFormat>
    <chartFormat chart="22" format="7">
      <pivotArea type="data" outline="0" fieldPosition="0">
        <references count="2">
          <reference field="4294967294" count="1" selected="0">
            <x v="0"/>
          </reference>
          <reference field="7" count="1" selected="0">
            <x v="0"/>
          </reference>
        </references>
      </pivotArea>
    </chartFormat>
    <chartFormat chart="22" format="8">
      <pivotArea type="data" outline="0" fieldPosition="0">
        <references count="2">
          <reference field="4294967294" count="1" selected="0">
            <x v="0"/>
          </reference>
          <reference field="7" count="1" selected="0">
            <x v="1"/>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2"/>
          </reference>
        </references>
      </pivotArea>
    </chartFormat>
    <chartFormat chart="26" format="7">
      <pivotArea type="data" outline="0" fieldPosition="0">
        <references count="2">
          <reference field="4294967294" count="1" selected="0">
            <x v="0"/>
          </reference>
          <reference field="7" count="1" selected="0">
            <x v="0"/>
          </reference>
        </references>
      </pivotArea>
    </chartFormat>
    <chartFormat chart="26" format="8">
      <pivotArea type="data" outline="0" fieldPosition="0">
        <references count="2">
          <reference field="4294967294" count="1" selected="0">
            <x v="0"/>
          </reference>
          <reference field="7" count="1" selected="0">
            <x v="1"/>
          </reference>
        </references>
      </pivotArea>
    </chartFormat>
    <chartFormat chart="27" format="9" series="1">
      <pivotArea type="data" outline="0" fieldPosition="0">
        <references count="1">
          <reference field="4294967294" count="1" selected="0">
            <x v="0"/>
          </reference>
        </references>
      </pivotArea>
    </chartFormat>
    <chartFormat chart="27" format="10">
      <pivotArea type="data" outline="0" fieldPosition="0">
        <references count="2">
          <reference field="4294967294" count="1" selected="0">
            <x v="0"/>
          </reference>
          <reference field="7" count="1" selected="0">
            <x v="2"/>
          </reference>
        </references>
      </pivotArea>
    </chartFormat>
    <chartFormat chart="27" format="11">
      <pivotArea type="data" outline="0" fieldPosition="0">
        <references count="2">
          <reference field="4294967294" count="1" selected="0">
            <x v="0"/>
          </reference>
          <reference field="7" count="1" selected="0">
            <x v="0"/>
          </reference>
        </references>
      </pivotArea>
    </chartFormat>
    <chartFormat chart="27" format="1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04AD58-2284-4BAF-989A-F539A60913C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J4:K21" firstHeaderRow="1" firstDataRow="1" firstDataCol="1"/>
  <pivotFields count="27">
    <pivotField showAll="0"/>
    <pivotField showAll="0"/>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items count="4">
        <item x="1"/>
        <item x="0"/>
        <item x="2"/>
        <item t="default"/>
      </items>
    </pivotField>
    <pivotField showAll="0"/>
    <pivotField showAll="0"/>
    <pivotField axis="axisRow" showAll="0" sortType="descending">
      <items count="18">
        <item x="15"/>
        <item x="8"/>
        <item x="14"/>
        <item x="1"/>
        <item x="13"/>
        <item x="16"/>
        <item x="4"/>
        <item x="9"/>
        <item x="2"/>
        <item x="6"/>
        <item x="7"/>
        <item x="0"/>
        <item x="3"/>
        <item x="12"/>
        <item x="10"/>
        <item x="1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17">
    <i>
      <x v="9"/>
    </i>
    <i>
      <x v="3"/>
    </i>
    <i>
      <x v="16"/>
    </i>
    <i>
      <x v="15"/>
    </i>
    <i>
      <x v="1"/>
    </i>
    <i>
      <x v="14"/>
    </i>
    <i>
      <x v="2"/>
    </i>
    <i>
      <x v="5"/>
    </i>
    <i>
      <x v="8"/>
    </i>
    <i>
      <x v="4"/>
    </i>
    <i>
      <x/>
    </i>
    <i>
      <x v="10"/>
    </i>
    <i>
      <x v="11"/>
    </i>
    <i>
      <x v="6"/>
    </i>
    <i>
      <x v="13"/>
    </i>
    <i>
      <x v="7"/>
    </i>
    <i>
      <x v="12"/>
    </i>
  </rowItems>
  <colItems count="1">
    <i/>
  </colItems>
  <dataFields count="1">
    <dataField name="Sum of Sales" fld="23" baseField="0" baseItem="0" numFmtId="164"/>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6DCAA7-B4BD-4836-88A9-335A993D0F6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P5:Q9" firstHeaderRow="1" firstDataRow="1" firstDataCol="1"/>
  <pivotFields count="27">
    <pivotField showAll="0"/>
    <pivotField showAll="0"/>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items count="4">
        <item x="1"/>
        <item x="0"/>
        <item x="2"/>
        <item t="default"/>
      </items>
    </pivotField>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4">
    <i>
      <x/>
    </i>
    <i>
      <x v="1"/>
    </i>
    <i>
      <x v="2"/>
    </i>
    <i>
      <x v="3"/>
    </i>
  </rowItems>
  <colItems count="1">
    <i/>
  </colItems>
  <dataFields count="1">
    <dataField name="Sum of Sales" fld="23" baseField="0" baseItem="0" numFmtId="165"/>
  </dataFields>
  <formats count="1">
    <format dxfId="7">
      <pivotArea outline="0" collapsedLevelsAreSubtotals="1" fieldPosition="0"/>
    </format>
  </formats>
  <chartFormats count="10">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5" count="1" selected="0">
            <x v="0"/>
          </reference>
        </references>
      </pivotArea>
    </chartFormat>
    <chartFormat chart="8" format="8">
      <pivotArea type="data" outline="0" fieldPosition="0">
        <references count="2">
          <reference field="4294967294" count="1" selected="0">
            <x v="0"/>
          </reference>
          <reference field="15" count="1" selected="0">
            <x v="1"/>
          </reference>
        </references>
      </pivotArea>
    </chartFormat>
    <chartFormat chart="8" format="9">
      <pivotArea type="data" outline="0" fieldPosition="0">
        <references count="2">
          <reference field="4294967294" count="1" selected="0">
            <x v="0"/>
          </reference>
          <reference field="15" count="1" selected="0">
            <x v="2"/>
          </reference>
        </references>
      </pivotArea>
    </chartFormat>
    <chartFormat chart="8" format="10">
      <pivotArea type="data" outline="0" fieldPosition="0">
        <references count="2">
          <reference field="4294967294" count="1" selected="0">
            <x v="0"/>
          </reference>
          <reference field="15" count="1" selected="0">
            <x v="3"/>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15" count="1" selected="0">
            <x v="0"/>
          </reference>
        </references>
      </pivotArea>
    </chartFormat>
    <chartFormat chart="15" format="18">
      <pivotArea type="data" outline="0" fieldPosition="0">
        <references count="2">
          <reference field="4294967294" count="1" selected="0">
            <x v="0"/>
          </reference>
          <reference field="15" count="1" selected="0">
            <x v="1"/>
          </reference>
        </references>
      </pivotArea>
    </chartFormat>
    <chartFormat chart="15" format="19">
      <pivotArea type="data" outline="0" fieldPosition="0">
        <references count="2">
          <reference field="4294967294" count="1" selected="0">
            <x v="0"/>
          </reference>
          <reference field="15" count="1" selected="0">
            <x v="2"/>
          </reference>
        </references>
      </pivotArea>
    </chartFormat>
    <chartFormat chart="15" format="2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25F7CF-6331-4031-8AA2-712135DA8AA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D4:G11" firstHeaderRow="1" firstDataRow="2" firstDataCol="1"/>
  <pivotFields count="27">
    <pivotField showAll="0"/>
    <pivotField showAll="0"/>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items count="4">
        <item x="1"/>
        <item x="0"/>
        <item x="2"/>
        <item t="default"/>
      </items>
    </pivotField>
    <pivotField showAll="0"/>
    <pivotField axis="axisCol"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26"/>
  </rowFields>
  <rowItems count="6">
    <i>
      <x v="1"/>
    </i>
    <i>
      <x v="2"/>
    </i>
    <i>
      <x v="3"/>
    </i>
    <i>
      <x v="4"/>
    </i>
    <i>
      <x v="5"/>
    </i>
    <i>
      <x v="6"/>
    </i>
  </rowItems>
  <colFields count="1">
    <field x="9"/>
  </colFields>
  <colItems count="3">
    <i>
      <x/>
    </i>
    <i>
      <x v="1"/>
    </i>
    <i>
      <x v="2"/>
    </i>
  </colItems>
  <dataFields count="1">
    <dataField name="Sum of Sales" fld="23" baseField="0" baseItem="0"/>
  </dataFields>
  <formats count="1">
    <format dxfId="8">
      <pivotArea outline="0" collapsedLevelsAreSubtotals="1" fieldPosition="0"/>
    </format>
  </formats>
  <chartFormats count="3">
    <chartFormat chart="2" format="6" series="1">
      <pivotArea type="data" outline="0" fieldPosition="0">
        <references count="2">
          <reference field="4294967294" count="1" selected="0">
            <x v="0"/>
          </reference>
          <reference field="9" count="1" selected="0">
            <x v="0"/>
          </reference>
        </references>
      </pivotArea>
    </chartFormat>
    <chartFormat chart="2" format="7" series="1">
      <pivotArea type="data" outline="0" fieldPosition="0">
        <references count="2">
          <reference field="4294967294" count="1" selected="0">
            <x v="0"/>
          </reference>
          <reference field="9" count="1" selected="0">
            <x v="1"/>
          </reference>
        </references>
      </pivotArea>
    </chartFormat>
    <chartFormat chart="2"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CA406C-9FC4-47C5-9C0E-6116F56F44F9}" autoFormatId="16" applyNumberFormats="0" applyBorderFormats="0" applyFontFormats="0" applyPatternFormats="0" applyAlignmentFormats="0" applyWidthHeightFormats="0">
  <queryTableRefresh nextId="28">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ABF9D95A-4754-41D7-BC6B-6B8533A3ACF5}"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CD437926-0531-4D63-98C0-70C8F36E6ECC}"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500CBE7C-D837-4433-A7F2-6C98C646244D}" sourceName="Region">
  <pivotTables>
    <pivotTable tabId="20" name="PivotTable9"/>
    <pivotTable tabId="20" name="PivotTable1"/>
    <pivotTable tabId="20" name="PivotTable10"/>
    <pivotTable tabId="20" name="PivotTable2"/>
    <pivotTable tabId="20" name="PivotTable5"/>
    <pivotTable tabId="20" name="PivotTable6"/>
    <pivotTable tabId="20" name="PivotTable7"/>
    <pivotTable tabId="20" name="PivotTable8"/>
    <pivotTable tabId="20" name="PivotTable3"/>
    <pivotTable tabId="20" name="PivotTable4"/>
  </pivotTables>
  <data>
    <tabular pivotCacheId="1984123898">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2" xr10:uid="{0831B72F-8A49-49FE-ABF8-90EEBA5BF364}" sourceName="Months (Order Date)">
  <pivotTables>
    <pivotTable tabId="20" name="PivotTable10"/>
    <pivotTable tabId="20" name="PivotTable1"/>
    <pivotTable tabId="20" name="PivotTable2"/>
    <pivotTable tabId="20" name="PivotTable3"/>
    <pivotTable tabId="20" name="PivotTable4"/>
    <pivotTable tabId="20" name="PivotTable5"/>
    <pivotTable tabId="20" name="PivotTable6"/>
    <pivotTable tabId="20" name="PivotTable7"/>
    <pivotTable tabId="20" name="PivotTable8"/>
    <pivotTable tabId="20" name="PivotTable9"/>
  </pivotTables>
  <data>
    <tabular pivotCacheId="1984123898">
      <items count="14">
        <i x="1" s="1"/>
        <i x="2" s="1"/>
        <i x="3" s="1"/>
        <i x="4" s="1"/>
        <i x="5" s="1"/>
        <i x="6" s="1"/>
        <i x="7"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8F69D2FB-4FE1-42E9-85A1-C9B43F292132}" sourceName="Ship Mode">
  <pivotTables>
    <pivotTable tabId="20" name="PivotTable9"/>
    <pivotTable tabId="20" name="PivotTable1"/>
    <pivotTable tabId="20" name="PivotTable10"/>
    <pivotTable tabId="20" name="PivotTable2"/>
    <pivotTable tabId="20" name="PivotTable3"/>
    <pivotTable tabId="20" name="PivotTable4"/>
    <pivotTable tabId="20" name="PivotTable5"/>
    <pivotTable tabId="20" name="PivotTable6"/>
    <pivotTable tabId="20" name="PivotTable7"/>
    <pivotTable tabId="20" name="PivotTable8"/>
  </pivotTables>
  <data>
    <tabular pivotCacheId="198412389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C96C4914-A75F-46D9-BC16-76BE118DA408}" cache="Slicer_Months__Order_Date2" caption="Months (Order Dat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03B3A3BB-9108-4E58-8C3E-9F8DAE81B1F2}" cache="Slicer_Region2" caption="Region" style="Slicer Style 1" rowHeight="241300"/>
  <slicer name="Months (Order Date) 2" xr10:uid="{B22180C9-892D-41EF-A2FD-C743D9F3990B}" cache="Slicer_Months__Order_Date2" caption="Months (Order Date)" style="Slicer Style 1" rowHeight="241300"/>
  <slicer name="Ship Mode 2" xr10:uid="{FD27F3AF-E656-44EB-B2D4-E043829C37AF}" cache="Slicer_Ship_Mode1" caption="Ship Mode"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490915-E4BE-4D02-97CA-2E13EA62FFC4}" name="Orders" displayName="Orders" ref="A1:Y1953" tableType="queryTable" totalsRowShown="0">
  <autoFilter ref="A1:Y1953" xr:uid="{0E490915-E4BE-4D02-97CA-2E13EA62FFC4}"/>
  <tableColumns count="25">
    <tableColumn id="1" xr3:uid="{EDAFC133-1E54-4B2F-9E91-272BE42ECA92}" uniqueName="1" name="Row ID" queryTableFieldId="1"/>
    <tableColumn id="2" xr3:uid="{AC9CFB51-F454-4A60-87E6-90F600B08724}" uniqueName="2" name="Order Priority" queryTableFieldId="2" dataDxfId="25"/>
    <tableColumn id="3" xr3:uid="{B4BCE9AC-B7A0-4CA7-A561-86D5BACF8BCA}" uniqueName="3" name="Discount" queryTableFieldId="3"/>
    <tableColumn id="4" xr3:uid="{25019D92-A8F9-4BBA-808A-A7A96B5EDFD6}" uniqueName="4" name="Unit Price" queryTableFieldId="4"/>
    <tableColumn id="5" xr3:uid="{75C8F637-A540-42CD-A82E-0625F05C99A5}" uniqueName="5" name="Shipping Cost" queryTableFieldId="5"/>
    <tableColumn id="6" xr3:uid="{49D2D6A5-2496-4A98-9327-599F8E4E033C}" uniqueName="6" name="Customer ID" queryTableFieldId="6"/>
    <tableColumn id="7" xr3:uid="{5DA95F85-35EE-4D4D-A2E3-537CB259AF8D}" uniqueName="7" name="Customer Name" queryTableFieldId="7" dataDxfId="24"/>
    <tableColumn id="8" xr3:uid="{BCEAE892-7994-4643-B18D-0D99154C9D84}" uniqueName="8" name="Ship Mode" queryTableFieldId="8" dataDxfId="23"/>
    <tableColumn id="9" xr3:uid="{9DCF7503-C11F-4516-B947-9F2BF4D66FC4}" uniqueName="9" name="Customer Segment" queryTableFieldId="9" dataDxfId="22"/>
    <tableColumn id="10" xr3:uid="{2426982A-8220-4C00-84B1-4A957F79CF22}" uniqueName="10" name="Product Category" queryTableFieldId="10" dataDxfId="21"/>
    <tableColumn id="11" xr3:uid="{F0B71944-8B02-4CDC-9FC0-B6D6E8E90422}" uniqueName="11" name="Product Sub-Category" queryTableFieldId="11" dataDxfId="20"/>
    <tableColumn id="12" xr3:uid="{5FAD2222-DF3E-4C2F-9568-C9361FD2B94B}" uniqueName="12" name="Product Container" queryTableFieldId="12" dataDxfId="19"/>
    <tableColumn id="13" xr3:uid="{3102DFCB-74BB-47FD-A753-C322800DE2D7}" uniqueName="13" name="Product Name" queryTableFieldId="13" dataDxfId="18"/>
    <tableColumn id="14" xr3:uid="{C4E298D7-AF58-41BB-8B61-F2A56A487A7C}" uniqueName="14" name="Product Base Margin" queryTableFieldId="14"/>
    <tableColumn id="15" xr3:uid="{151550CA-8A9C-40B4-BEF1-991AB08DD91B}" uniqueName="15" name="Country" queryTableFieldId="15" dataDxfId="17"/>
    <tableColumn id="16" xr3:uid="{F37A4FA9-41AE-4F57-A054-C69605CDED0A}" uniqueName="16" name="Region" queryTableFieldId="16" dataDxfId="16"/>
    <tableColumn id="17" xr3:uid="{851049F2-1395-4E21-B65E-E8C9E5DFBF7F}" uniqueName="17" name="State or Province" queryTableFieldId="17" dataDxfId="15"/>
    <tableColumn id="18" xr3:uid="{E6455D7D-FF66-4B04-86AE-F5CE329F18AE}" uniqueName="18" name="City" queryTableFieldId="18" dataDxfId="14"/>
    <tableColumn id="19" xr3:uid="{0710846A-56FA-41E8-B361-A13169715F3E}" uniqueName="19" name="Postal Code" queryTableFieldId="19"/>
    <tableColumn id="20" xr3:uid="{5B89CB46-4E8A-40AC-B0E1-F211D12422A0}" uniqueName="20" name="Order Date" queryTableFieldId="20" dataDxfId="13"/>
    <tableColumn id="21" xr3:uid="{171D5380-979B-4AB4-9F56-D3DEFEA7CFBB}" uniqueName="21" name="Ship Date" queryTableFieldId="21" dataDxfId="12"/>
    <tableColumn id="22" xr3:uid="{71862A5C-889A-470B-B9CC-AE790865C3F5}" uniqueName="22" name="Profit" queryTableFieldId="22"/>
    <tableColumn id="23" xr3:uid="{E2D44100-A107-4108-AD9A-A2D4C0F605BB}" uniqueName="23" name="Quantity ordered new" queryTableFieldId="23"/>
    <tableColumn id="24" xr3:uid="{938B070B-D605-4202-9FD5-E335E967D239}" uniqueName="24" name="Sales" queryTableFieldId="24"/>
    <tableColumn id="25" xr3:uid="{7A5E7A48-AAAE-4A6F-A02F-A4C20E96C472}"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14086C-3E98-41DC-95C2-26B8DFE6B6F6}" name="Returns" displayName="Returns" ref="A1:B1635" tableType="queryTable" totalsRowShown="0">
  <autoFilter ref="A1:B1635" xr:uid="{3514086C-3E98-41DC-95C2-26B8DFE6B6F6}"/>
  <tableColumns count="2">
    <tableColumn id="1" xr3:uid="{8BD4524A-7E5C-4489-9866-3ED0A6C017F5}" uniqueName="1" name="Order ID" queryTableFieldId="1"/>
    <tableColumn id="2" xr3:uid="{16467202-90E8-41D3-B97C-72C661A55422}" uniqueName="2" name="Status" queryTableFieldId="2"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153B19-259C-4F50-8EC3-5590445840E9}" name="Users" displayName="Users" ref="A1:B5" tableType="queryTable" totalsRowShown="0">
  <autoFilter ref="A1:B5" xr:uid="{C7153B19-259C-4F50-8EC3-5590445840E9}"/>
  <tableColumns count="2">
    <tableColumn id="1" xr3:uid="{DAF56324-1627-465E-8114-2064000C8AC2}" uniqueName="1" name="Region" queryTableFieldId="1" dataDxfId="10"/>
    <tableColumn id="2" xr3:uid="{4DE6DC3F-2ED3-4728-AD9D-167AF7B3D3BC}" uniqueName="2" name="Manager" queryTableFieldId="2"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1940-3F50-4D57-987D-DB275E9D405C}">
  <dimension ref="A1:Y1953"/>
  <sheetViews>
    <sheetView topLeftCell="P1" workbookViewId="0">
      <selection activeCell="Z1" sqref="Z1:Z1048576"/>
    </sheetView>
  </sheetViews>
  <sheetFormatPr defaultRowHeight="14.5" x14ac:dyDescent="0.35"/>
  <cols>
    <col min="1" max="1" width="9" bestFit="1" customWidth="1"/>
    <col min="2" max="2" width="14.6328125" bestFit="1" customWidth="1"/>
    <col min="3" max="3" width="10.453125" bestFit="1" customWidth="1"/>
    <col min="4" max="4" width="11.1796875" bestFit="1" customWidth="1"/>
    <col min="5" max="5" width="14.36328125" bestFit="1" customWidth="1"/>
    <col min="6" max="6" width="13.54296875" bestFit="1" customWidth="1"/>
    <col min="7" max="7" width="25.81640625" bestFit="1" customWidth="1"/>
    <col min="8" max="8" width="12.54296875" bestFit="1" customWidth="1"/>
    <col min="9" max="9" width="19.08984375" bestFit="1" customWidth="1"/>
    <col min="10" max="10" width="17.7265625" bestFit="1" customWidth="1"/>
    <col min="11" max="11" width="28.08984375" bestFit="1" customWidth="1"/>
    <col min="12" max="12" width="18.54296875" bestFit="1" customWidth="1"/>
    <col min="13" max="13" width="80.7265625" bestFit="1" customWidth="1"/>
    <col min="14" max="14" width="20.6328125" bestFit="1" customWidth="1"/>
    <col min="15" max="15" width="11.81640625" bestFit="1" customWidth="1"/>
    <col min="17" max="17" width="17.453125" bestFit="1" customWidth="1"/>
    <col min="18" max="18" width="18" bestFit="1" customWidth="1"/>
    <col min="19" max="19" width="13" bestFit="1" customWidth="1"/>
    <col min="20" max="20" width="12.453125" bestFit="1" customWidth="1"/>
    <col min="21" max="21" width="11.08984375" bestFit="1" customWidth="1"/>
    <col min="22" max="22" width="12.453125" bestFit="1" customWidth="1"/>
    <col min="23" max="23" width="21.81640625" bestFit="1" customWidth="1"/>
    <col min="24" max="24" width="8.81640625" bestFit="1" customWidth="1"/>
    <col min="25" max="25" width="10.26953125" bestFit="1" customWidth="1"/>
    <col min="26" max="26" width="14.7265625"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1">
        <v>42011</v>
      </c>
      <c r="U2" s="1">
        <v>42012</v>
      </c>
      <c r="V2">
        <v>4.5599999999999996</v>
      </c>
      <c r="W2">
        <v>4</v>
      </c>
      <c r="X2">
        <v>13.01</v>
      </c>
      <c r="Y2">
        <v>88522</v>
      </c>
    </row>
    <row r="3" spans="1:25" x14ac:dyDescent="0.35">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1">
        <v>42168</v>
      </c>
      <c r="U3" s="1">
        <v>42170</v>
      </c>
      <c r="V3">
        <v>4390.3665000000001</v>
      </c>
      <c r="W3">
        <v>12</v>
      </c>
      <c r="X3">
        <v>6362.85</v>
      </c>
      <c r="Y3">
        <v>90193</v>
      </c>
    </row>
    <row r="4" spans="1:25" x14ac:dyDescent="0.35">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1">
        <v>42050</v>
      </c>
      <c r="U4" s="1">
        <v>42052</v>
      </c>
      <c r="V4">
        <v>-53.809600000000003</v>
      </c>
      <c r="W4">
        <v>22</v>
      </c>
      <c r="X4">
        <v>211.15</v>
      </c>
      <c r="Y4">
        <v>90192</v>
      </c>
    </row>
    <row r="5" spans="1:25" x14ac:dyDescent="0.35">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1">
        <v>42136</v>
      </c>
      <c r="U5" s="1">
        <v>42138</v>
      </c>
      <c r="V5">
        <v>803.47050000000002</v>
      </c>
      <c r="W5">
        <v>16</v>
      </c>
      <c r="X5">
        <v>1164.45</v>
      </c>
      <c r="Y5">
        <v>86838</v>
      </c>
    </row>
    <row r="6" spans="1:25" x14ac:dyDescent="0.35">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1">
        <v>42136</v>
      </c>
      <c r="U6" s="1">
        <v>42137</v>
      </c>
      <c r="V6">
        <v>-24.03</v>
      </c>
      <c r="W6">
        <v>7</v>
      </c>
      <c r="X6">
        <v>22.23</v>
      </c>
      <c r="Y6">
        <v>86838</v>
      </c>
    </row>
    <row r="7" spans="1:25" x14ac:dyDescent="0.35">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1">
        <v>42136</v>
      </c>
      <c r="U7" s="1">
        <v>42137</v>
      </c>
      <c r="V7">
        <v>-37.03</v>
      </c>
      <c r="W7">
        <v>4</v>
      </c>
      <c r="X7">
        <v>13.99</v>
      </c>
      <c r="Y7">
        <v>86838</v>
      </c>
    </row>
    <row r="8" spans="1:25" x14ac:dyDescent="0.35">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1">
        <v>42136</v>
      </c>
      <c r="U8" s="1">
        <v>42137</v>
      </c>
      <c r="V8">
        <v>-0.71</v>
      </c>
      <c r="W8">
        <v>4</v>
      </c>
      <c r="X8">
        <v>14.26</v>
      </c>
      <c r="Y8">
        <v>86838</v>
      </c>
    </row>
    <row r="9" spans="1:25" x14ac:dyDescent="0.35">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1">
        <v>42102</v>
      </c>
      <c r="U9" s="1">
        <v>42103</v>
      </c>
      <c r="V9">
        <v>-59.82</v>
      </c>
      <c r="W9">
        <v>7</v>
      </c>
      <c r="X9">
        <v>33.47</v>
      </c>
      <c r="Y9">
        <v>86837</v>
      </c>
    </row>
    <row r="10" spans="1:25" x14ac:dyDescent="0.35">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1">
        <v>42152</v>
      </c>
      <c r="U10" s="1">
        <v>42152</v>
      </c>
      <c r="V10">
        <v>261.87569999999994</v>
      </c>
      <c r="W10">
        <v>10</v>
      </c>
      <c r="X10">
        <v>379.53</v>
      </c>
      <c r="Y10">
        <v>86839</v>
      </c>
    </row>
    <row r="11" spans="1:25" x14ac:dyDescent="0.35">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1">
        <v>42047</v>
      </c>
      <c r="U11" s="1">
        <v>42050</v>
      </c>
      <c r="V11">
        <v>2.63</v>
      </c>
      <c r="W11">
        <v>6</v>
      </c>
      <c r="X11">
        <v>18.8</v>
      </c>
      <c r="Y11">
        <v>86836</v>
      </c>
    </row>
    <row r="12" spans="1:25" x14ac:dyDescent="0.35">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1">
        <v>42047</v>
      </c>
      <c r="U12" s="1">
        <v>42049</v>
      </c>
      <c r="V12">
        <v>652.73309999999992</v>
      </c>
      <c r="W12">
        <v>10</v>
      </c>
      <c r="X12">
        <v>945.99</v>
      </c>
      <c r="Y12">
        <v>86836</v>
      </c>
    </row>
    <row r="13" spans="1:25" x14ac:dyDescent="0.35">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1">
        <v>42139</v>
      </c>
      <c r="U13" s="1">
        <v>42140</v>
      </c>
      <c r="V13">
        <v>314.48129999999998</v>
      </c>
      <c r="W13">
        <v>17</v>
      </c>
      <c r="X13">
        <v>455.77</v>
      </c>
      <c r="Y13">
        <v>90031</v>
      </c>
    </row>
    <row r="14" spans="1:25" x14ac:dyDescent="0.35">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1">
        <v>42145</v>
      </c>
      <c r="U14" s="1">
        <v>42147</v>
      </c>
      <c r="V14">
        <v>-114.63990000000001</v>
      </c>
      <c r="W14">
        <v>18</v>
      </c>
      <c r="X14">
        <v>231.79</v>
      </c>
      <c r="Y14">
        <v>90032</v>
      </c>
    </row>
    <row r="15" spans="1:25" x14ac:dyDescent="0.35">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1">
        <v>42139</v>
      </c>
      <c r="U15" s="1">
        <v>42140</v>
      </c>
      <c r="V15">
        <v>384.38</v>
      </c>
      <c r="W15">
        <v>70</v>
      </c>
      <c r="X15">
        <v>1876.69</v>
      </c>
      <c r="Y15">
        <v>41793</v>
      </c>
    </row>
    <row r="16" spans="1:25" x14ac:dyDescent="0.35">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1">
        <v>42145</v>
      </c>
      <c r="U16" s="1">
        <v>42146</v>
      </c>
      <c r="V16">
        <v>-17.489999999999998</v>
      </c>
      <c r="W16">
        <v>58</v>
      </c>
      <c r="X16">
        <v>293.06</v>
      </c>
      <c r="Y16">
        <v>42949</v>
      </c>
    </row>
    <row r="17" spans="1:25" x14ac:dyDescent="0.35">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1">
        <v>42145</v>
      </c>
      <c r="U17" s="1">
        <v>42147</v>
      </c>
      <c r="V17">
        <v>-114.63990000000001</v>
      </c>
      <c r="W17">
        <v>71</v>
      </c>
      <c r="X17">
        <v>914.29</v>
      </c>
      <c r="Y17">
        <v>42949</v>
      </c>
    </row>
    <row r="18" spans="1:25" x14ac:dyDescent="0.35">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1">
        <v>42032</v>
      </c>
      <c r="U18" s="1">
        <v>42033</v>
      </c>
      <c r="V18">
        <v>-28.296800000000001</v>
      </c>
      <c r="W18">
        <v>1</v>
      </c>
      <c r="X18">
        <v>67.489999999999995</v>
      </c>
      <c r="Y18">
        <v>87651</v>
      </c>
    </row>
    <row r="19" spans="1:25" x14ac:dyDescent="0.35">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1">
        <v>42032</v>
      </c>
      <c r="U19" s="1">
        <v>42034</v>
      </c>
      <c r="V19">
        <v>-5.3071999999999999</v>
      </c>
      <c r="W19">
        <v>1</v>
      </c>
      <c r="X19">
        <v>2.25</v>
      </c>
      <c r="Y19">
        <v>87651</v>
      </c>
    </row>
    <row r="20" spans="1:25" x14ac:dyDescent="0.35">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1">
        <v>42126</v>
      </c>
      <c r="U20" s="1">
        <v>42128</v>
      </c>
      <c r="V20">
        <v>8.8940000000000055</v>
      </c>
      <c r="W20">
        <v>12</v>
      </c>
      <c r="X20">
        <v>54.78</v>
      </c>
      <c r="Y20">
        <v>87652</v>
      </c>
    </row>
    <row r="21" spans="1:25" x14ac:dyDescent="0.35">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1">
        <v>42057</v>
      </c>
      <c r="U21" s="1">
        <v>42058</v>
      </c>
      <c r="V21">
        <v>144.69</v>
      </c>
      <c r="W21">
        <v>13</v>
      </c>
      <c r="X21">
        <v>424.68</v>
      </c>
      <c r="Y21">
        <v>89199</v>
      </c>
    </row>
    <row r="22" spans="1:25" x14ac:dyDescent="0.35">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1">
        <v>42090</v>
      </c>
      <c r="U22" s="1">
        <v>42091</v>
      </c>
      <c r="V22">
        <v>-35.878799999999998</v>
      </c>
      <c r="W22">
        <v>2</v>
      </c>
      <c r="X22">
        <v>40.17</v>
      </c>
      <c r="Y22">
        <v>89200</v>
      </c>
    </row>
    <row r="23" spans="1:25" x14ac:dyDescent="0.35">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1">
        <v>42024</v>
      </c>
      <c r="U23" s="1">
        <v>42026</v>
      </c>
      <c r="V23">
        <v>209.99700000000001</v>
      </c>
      <c r="W23">
        <v>8</v>
      </c>
      <c r="X23">
        <v>783.55</v>
      </c>
      <c r="Y23">
        <v>89202</v>
      </c>
    </row>
    <row r="24" spans="1:25" x14ac:dyDescent="0.35">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1">
        <v>42075</v>
      </c>
      <c r="U24" s="1">
        <v>42082</v>
      </c>
      <c r="V24">
        <v>3568.096</v>
      </c>
      <c r="W24">
        <v>22</v>
      </c>
      <c r="X24">
        <v>3838.14</v>
      </c>
      <c r="Y24">
        <v>89203</v>
      </c>
    </row>
    <row r="25" spans="1:25" x14ac:dyDescent="0.35">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1">
        <v>42170</v>
      </c>
      <c r="U25" s="1">
        <v>42172</v>
      </c>
      <c r="V25">
        <v>-84.437600000000003</v>
      </c>
      <c r="W25">
        <v>13</v>
      </c>
      <c r="X25">
        <v>58.68</v>
      </c>
      <c r="Y25">
        <v>89201</v>
      </c>
    </row>
    <row r="26" spans="1:25" x14ac:dyDescent="0.35">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1">
        <v>42170</v>
      </c>
      <c r="U26" s="1">
        <v>42171</v>
      </c>
      <c r="V26">
        <v>24.312000000000001</v>
      </c>
      <c r="W26">
        <v>18</v>
      </c>
      <c r="X26">
        <v>53.1</v>
      </c>
      <c r="Y26">
        <v>89201</v>
      </c>
    </row>
    <row r="27" spans="1:25" x14ac:dyDescent="0.35">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1">
        <v>42134</v>
      </c>
      <c r="U27" s="1">
        <v>42135</v>
      </c>
      <c r="V27">
        <v>25.913820000000015</v>
      </c>
      <c r="W27">
        <v>6</v>
      </c>
      <c r="X27">
        <v>647.07000000000005</v>
      </c>
      <c r="Y27">
        <v>91454</v>
      </c>
    </row>
    <row r="28" spans="1:25" x14ac:dyDescent="0.35">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1">
        <v>42073</v>
      </c>
      <c r="U28" s="1">
        <v>42073</v>
      </c>
      <c r="V28">
        <v>162.666</v>
      </c>
      <c r="W28">
        <v>6</v>
      </c>
      <c r="X28">
        <v>627.04</v>
      </c>
      <c r="Y28">
        <v>88426</v>
      </c>
    </row>
    <row r="29" spans="1:25" x14ac:dyDescent="0.35">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1">
        <v>42032</v>
      </c>
      <c r="U29" s="1">
        <v>42034</v>
      </c>
      <c r="V29">
        <v>-6923.5991999999997</v>
      </c>
      <c r="W29">
        <v>1</v>
      </c>
      <c r="X29">
        <v>3267.55</v>
      </c>
      <c r="Y29">
        <v>88425</v>
      </c>
    </row>
    <row r="30" spans="1:25" x14ac:dyDescent="0.35">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1">
        <v>42073</v>
      </c>
      <c r="U30" s="1">
        <v>42074</v>
      </c>
      <c r="V30">
        <v>-67.489999999999995</v>
      </c>
      <c r="W30">
        <v>17</v>
      </c>
      <c r="X30">
        <v>110.19</v>
      </c>
      <c r="Y30">
        <v>88426</v>
      </c>
    </row>
    <row r="31" spans="1:25" x14ac:dyDescent="0.35">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1">
        <v>42114</v>
      </c>
      <c r="U31" s="1">
        <v>42115</v>
      </c>
      <c r="V31">
        <v>19.6282</v>
      </c>
      <c r="W31">
        <v>20</v>
      </c>
      <c r="X31">
        <v>73.55</v>
      </c>
      <c r="Y31">
        <v>88075</v>
      </c>
    </row>
    <row r="32" spans="1:25" x14ac:dyDescent="0.35">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1">
        <v>42114</v>
      </c>
      <c r="U32" s="1">
        <v>42115</v>
      </c>
      <c r="V32">
        <v>-1.6524000000000001</v>
      </c>
      <c r="W32">
        <v>17</v>
      </c>
      <c r="X32">
        <v>29.57</v>
      </c>
      <c r="Y32">
        <v>88075</v>
      </c>
    </row>
    <row r="33" spans="1:25" x14ac:dyDescent="0.35">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1">
        <v>42133</v>
      </c>
      <c r="U33" s="1">
        <v>42135</v>
      </c>
      <c r="V33">
        <v>2.1400000000000023</v>
      </c>
      <c r="W33">
        <v>3</v>
      </c>
      <c r="X33">
        <v>22.85</v>
      </c>
      <c r="Y33">
        <v>87407</v>
      </c>
    </row>
    <row r="34" spans="1:25" x14ac:dyDescent="0.35">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1">
        <v>42167</v>
      </c>
      <c r="U34" s="1">
        <v>42169</v>
      </c>
      <c r="V34">
        <v>349.40909999999997</v>
      </c>
      <c r="W34">
        <v>17</v>
      </c>
      <c r="X34">
        <v>506.39</v>
      </c>
      <c r="Y34">
        <v>87408</v>
      </c>
    </row>
    <row r="35" spans="1:25" x14ac:dyDescent="0.35">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1">
        <v>42065</v>
      </c>
      <c r="U35" s="1">
        <v>42067</v>
      </c>
      <c r="V35">
        <v>-37.5291</v>
      </c>
      <c r="W35">
        <v>1</v>
      </c>
      <c r="X35">
        <v>4</v>
      </c>
      <c r="Y35">
        <v>87406</v>
      </c>
    </row>
    <row r="36" spans="1:25" x14ac:dyDescent="0.35">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1">
        <v>42065</v>
      </c>
      <c r="U36" s="1">
        <v>42065</v>
      </c>
      <c r="V36">
        <v>101.49</v>
      </c>
      <c r="W36">
        <v>4</v>
      </c>
      <c r="X36">
        <v>589.79999999999995</v>
      </c>
      <c r="Y36">
        <v>87406</v>
      </c>
    </row>
    <row r="37" spans="1:25" x14ac:dyDescent="0.35">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1">
        <v>42006</v>
      </c>
      <c r="U37" s="1">
        <v>42013</v>
      </c>
      <c r="V37">
        <v>845.66399999999987</v>
      </c>
      <c r="W37">
        <v>8</v>
      </c>
      <c r="X37">
        <v>1225.5999999999999</v>
      </c>
      <c r="Y37">
        <v>87946</v>
      </c>
    </row>
    <row r="38" spans="1:25" x14ac:dyDescent="0.35">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1">
        <v>42006</v>
      </c>
      <c r="U38" s="1">
        <v>42006</v>
      </c>
      <c r="V38">
        <v>-308.928</v>
      </c>
      <c r="W38">
        <v>4</v>
      </c>
      <c r="X38">
        <v>1239.06</v>
      </c>
      <c r="Y38">
        <v>37537</v>
      </c>
    </row>
    <row r="39" spans="1:25" x14ac:dyDescent="0.35">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1">
        <v>42006</v>
      </c>
      <c r="U39" s="1">
        <v>42008</v>
      </c>
      <c r="V39">
        <v>-1679.7599999999998</v>
      </c>
      <c r="W39">
        <v>43</v>
      </c>
      <c r="X39">
        <v>4083.19</v>
      </c>
      <c r="Y39">
        <v>37537</v>
      </c>
    </row>
    <row r="40" spans="1:25" x14ac:dyDescent="0.35">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1">
        <v>42006</v>
      </c>
      <c r="U40" s="1">
        <v>42013</v>
      </c>
      <c r="V40">
        <v>575.39600000000007</v>
      </c>
      <c r="W40">
        <v>32</v>
      </c>
      <c r="X40">
        <v>4902.38</v>
      </c>
      <c r="Y40">
        <v>37537</v>
      </c>
    </row>
    <row r="41" spans="1:25" x14ac:dyDescent="0.35">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1">
        <v>42037</v>
      </c>
      <c r="U41" s="1">
        <v>42039</v>
      </c>
      <c r="V41">
        <v>-2426.5500000000002</v>
      </c>
      <c r="W41">
        <v>49</v>
      </c>
      <c r="X41">
        <v>5718.85</v>
      </c>
      <c r="Y41">
        <v>55713</v>
      </c>
    </row>
    <row r="42" spans="1:25" x14ac:dyDescent="0.35">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1">
        <v>42037</v>
      </c>
      <c r="U42" s="1">
        <v>42039</v>
      </c>
      <c r="V42">
        <v>-2426.5500000000002</v>
      </c>
      <c r="W42">
        <v>12</v>
      </c>
      <c r="X42">
        <v>1400.53</v>
      </c>
      <c r="Y42">
        <v>87947</v>
      </c>
    </row>
    <row r="43" spans="1:25" x14ac:dyDescent="0.35">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1">
        <v>42078</v>
      </c>
      <c r="U43" s="1">
        <v>42078</v>
      </c>
      <c r="V43">
        <v>-715.7782060000003</v>
      </c>
      <c r="W43">
        <v>6</v>
      </c>
      <c r="X43">
        <v>1821.89</v>
      </c>
      <c r="Y43">
        <v>87365</v>
      </c>
    </row>
    <row r="44" spans="1:25" x14ac:dyDescent="0.35">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1">
        <v>42037</v>
      </c>
      <c r="U44" s="1">
        <v>42038</v>
      </c>
      <c r="V44">
        <v>-144.56</v>
      </c>
      <c r="W44">
        <v>11</v>
      </c>
      <c r="X44">
        <v>90.98</v>
      </c>
      <c r="Y44">
        <v>87364</v>
      </c>
    </row>
    <row r="45" spans="1:25" x14ac:dyDescent="0.35">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1">
        <v>42093</v>
      </c>
      <c r="U45" s="1">
        <v>42096</v>
      </c>
      <c r="V45">
        <v>7402.32</v>
      </c>
      <c r="W45">
        <v>13</v>
      </c>
      <c r="X45">
        <v>10728</v>
      </c>
      <c r="Y45">
        <v>87366</v>
      </c>
    </row>
    <row r="46" spans="1:25" x14ac:dyDescent="0.35">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1">
        <v>42158</v>
      </c>
      <c r="U46" s="1">
        <v>42163</v>
      </c>
      <c r="V46">
        <v>1892.424</v>
      </c>
      <c r="W46">
        <v>19</v>
      </c>
      <c r="X46">
        <v>3127.69</v>
      </c>
      <c r="Y46">
        <v>90596</v>
      </c>
    </row>
    <row r="47" spans="1:25" x14ac:dyDescent="0.35">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1">
        <v>42085</v>
      </c>
      <c r="U47" s="1">
        <v>42086</v>
      </c>
      <c r="V47">
        <v>28.855799999999999</v>
      </c>
      <c r="W47">
        <v>9</v>
      </c>
      <c r="X47">
        <v>41.82</v>
      </c>
      <c r="Y47">
        <v>90597</v>
      </c>
    </row>
    <row r="48" spans="1:25" x14ac:dyDescent="0.35">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1">
        <v>42085</v>
      </c>
      <c r="U48" s="1">
        <v>42088</v>
      </c>
      <c r="V48">
        <v>173.48</v>
      </c>
      <c r="W48">
        <v>9</v>
      </c>
      <c r="X48">
        <v>2875.72</v>
      </c>
      <c r="Y48">
        <v>90597</v>
      </c>
    </row>
    <row r="49" spans="1:25" x14ac:dyDescent="0.35">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1">
        <v>42141</v>
      </c>
      <c r="U49" s="1">
        <v>42142</v>
      </c>
      <c r="V49">
        <v>117.852</v>
      </c>
      <c r="W49">
        <v>9</v>
      </c>
      <c r="X49">
        <v>170.8</v>
      </c>
      <c r="Y49">
        <v>87175</v>
      </c>
    </row>
    <row r="50" spans="1:25" x14ac:dyDescent="0.35">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1">
        <v>42053</v>
      </c>
      <c r="U50" s="1">
        <v>42055</v>
      </c>
      <c r="V50">
        <v>34.010400000000004</v>
      </c>
      <c r="W50">
        <v>10</v>
      </c>
      <c r="X50">
        <v>53.54</v>
      </c>
      <c r="Y50">
        <v>87176</v>
      </c>
    </row>
    <row r="51" spans="1:25" x14ac:dyDescent="0.35">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1">
        <v>42067</v>
      </c>
      <c r="U51" s="1">
        <v>42069</v>
      </c>
      <c r="V51">
        <v>2031.5070000000001</v>
      </c>
      <c r="W51">
        <v>23</v>
      </c>
      <c r="X51">
        <v>3363.53</v>
      </c>
      <c r="Y51">
        <v>87177</v>
      </c>
    </row>
    <row r="52" spans="1:25" x14ac:dyDescent="0.35">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1">
        <v>42141</v>
      </c>
      <c r="U52" s="1">
        <v>42143</v>
      </c>
      <c r="V52">
        <v>-190.67999999999998</v>
      </c>
      <c r="W52">
        <v>16</v>
      </c>
      <c r="X52">
        <v>132.08000000000001</v>
      </c>
      <c r="Y52">
        <v>87175</v>
      </c>
    </row>
    <row r="53" spans="1:25" x14ac:dyDescent="0.35">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1">
        <v>42141</v>
      </c>
      <c r="U53" s="1">
        <v>42142</v>
      </c>
      <c r="V53">
        <v>325.39800000000002</v>
      </c>
      <c r="W53">
        <v>9</v>
      </c>
      <c r="X53">
        <v>45.34</v>
      </c>
      <c r="Y53">
        <v>87175</v>
      </c>
    </row>
    <row r="54" spans="1:25" x14ac:dyDescent="0.35">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1">
        <v>42162</v>
      </c>
      <c r="U54" s="1">
        <v>42164</v>
      </c>
      <c r="V54">
        <v>22.817999999999998</v>
      </c>
      <c r="W54">
        <v>16</v>
      </c>
      <c r="X54">
        <v>216.04</v>
      </c>
      <c r="Y54">
        <v>87178</v>
      </c>
    </row>
    <row r="55" spans="1:25" x14ac:dyDescent="0.35">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1">
        <v>42127</v>
      </c>
      <c r="U55" s="1">
        <v>42129</v>
      </c>
      <c r="V55">
        <v>116.1</v>
      </c>
      <c r="W55">
        <v>37</v>
      </c>
      <c r="X55">
        <v>6276.34</v>
      </c>
      <c r="Y55">
        <v>44231</v>
      </c>
    </row>
    <row r="56" spans="1:25" x14ac:dyDescent="0.35">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1">
        <v>42127</v>
      </c>
      <c r="U56" s="1">
        <v>42129</v>
      </c>
      <c r="V56">
        <v>-87.96</v>
      </c>
      <c r="W56">
        <v>146</v>
      </c>
      <c r="X56">
        <v>2664.4</v>
      </c>
      <c r="Y56">
        <v>44231</v>
      </c>
    </row>
    <row r="57" spans="1:25" x14ac:dyDescent="0.35">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1">
        <v>42127</v>
      </c>
      <c r="U57" s="1">
        <v>42129</v>
      </c>
      <c r="V57">
        <v>255.42000000000002</v>
      </c>
      <c r="W57">
        <v>9</v>
      </c>
      <c r="X57">
        <v>1526.68</v>
      </c>
      <c r="Y57">
        <v>87306</v>
      </c>
    </row>
    <row r="58" spans="1:25" x14ac:dyDescent="0.35">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1">
        <v>42127</v>
      </c>
      <c r="U58" s="1">
        <v>42128</v>
      </c>
      <c r="V58">
        <v>685.6146</v>
      </c>
      <c r="W58">
        <v>20</v>
      </c>
      <c r="X58">
        <v>1952.56</v>
      </c>
      <c r="Y58">
        <v>87306</v>
      </c>
    </row>
    <row r="59" spans="1:25" x14ac:dyDescent="0.35">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1">
        <v>42177</v>
      </c>
      <c r="U59" s="1">
        <v>42179</v>
      </c>
      <c r="V59">
        <v>-16.2</v>
      </c>
      <c r="W59">
        <v>16</v>
      </c>
      <c r="X59">
        <v>303.58999999999997</v>
      </c>
      <c r="Y59">
        <v>88205</v>
      </c>
    </row>
    <row r="60" spans="1:25" x14ac:dyDescent="0.35">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1">
        <v>42100</v>
      </c>
      <c r="U60" s="1">
        <v>42101</v>
      </c>
      <c r="V60">
        <v>2023.75</v>
      </c>
      <c r="W60">
        <v>31</v>
      </c>
      <c r="X60">
        <v>9459.94</v>
      </c>
      <c r="Y60">
        <v>42599</v>
      </c>
    </row>
    <row r="61" spans="1:25" x14ac:dyDescent="0.35">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1">
        <v>42177</v>
      </c>
      <c r="U61" s="1">
        <v>42179</v>
      </c>
      <c r="V61">
        <v>-20.25</v>
      </c>
      <c r="W61">
        <v>65</v>
      </c>
      <c r="X61">
        <v>1233.32</v>
      </c>
      <c r="Y61">
        <v>3397</v>
      </c>
    </row>
    <row r="62" spans="1:25" x14ac:dyDescent="0.35">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1">
        <v>42177</v>
      </c>
      <c r="U62" s="1">
        <v>42178</v>
      </c>
      <c r="V62">
        <v>-3.3809999999999998</v>
      </c>
      <c r="W62">
        <v>17</v>
      </c>
      <c r="X62">
        <v>47.31</v>
      </c>
      <c r="Y62">
        <v>3397</v>
      </c>
    </row>
    <row r="63" spans="1:25" x14ac:dyDescent="0.35">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1">
        <v>42100</v>
      </c>
      <c r="U63" s="1">
        <v>42101</v>
      </c>
      <c r="V63">
        <v>1684.4762999999998</v>
      </c>
      <c r="W63">
        <v>8</v>
      </c>
      <c r="X63">
        <v>2441.27</v>
      </c>
      <c r="Y63">
        <v>88204</v>
      </c>
    </row>
    <row r="64" spans="1:25" x14ac:dyDescent="0.35">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1">
        <v>42177</v>
      </c>
      <c r="U64" s="1">
        <v>42178</v>
      </c>
      <c r="V64">
        <v>-2.7047999999999996</v>
      </c>
      <c r="W64">
        <v>4</v>
      </c>
      <c r="X64">
        <v>11.13</v>
      </c>
      <c r="Y64">
        <v>88205</v>
      </c>
    </row>
    <row r="65" spans="1:25" x14ac:dyDescent="0.35">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1">
        <v>42007</v>
      </c>
      <c r="U65" s="1">
        <v>42008</v>
      </c>
      <c r="V65">
        <v>18.658000000000001</v>
      </c>
      <c r="W65">
        <v>7</v>
      </c>
      <c r="X65">
        <v>29.5</v>
      </c>
      <c r="Y65">
        <v>89583</v>
      </c>
    </row>
    <row r="66" spans="1:25" x14ac:dyDescent="0.35">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1">
        <v>42098</v>
      </c>
      <c r="U66" s="1">
        <v>42100</v>
      </c>
      <c r="V66">
        <v>40.247699999999995</v>
      </c>
      <c r="W66">
        <v>12</v>
      </c>
      <c r="X66">
        <v>58.33</v>
      </c>
      <c r="Y66">
        <v>89584</v>
      </c>
    </row>
    <row r="67" spans="1:25" x14ac:dyDescent="0.35">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1">
        <v>42098</v>
      </c>
      <c r="U67" s="1">
        <v>42100</v>
      </c>
      <c r="V67">
        <v>14.0898</v>
      </c>
      <c r="W67">
        <v>5</v>
      </c>
      <c r="X67">
        <v>20.420000000000002</v>
      </c>
      <c r="Y67">
        <v>89584</v>
      </c>
    </row>
    <row r="68" spans="1:25" x14ac:dyDescent="0.35">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1">
        <v>42103</v>
      </c>
      <c r="U68" s="1">
        <v>42105</v>
      </c>
      <c r="V68">
        <v>-55.84</v>
      </c>
      <c r="W68">
        <v>12</v>
      </c>
      <c r="X68">
        <v>26.07</v>
      </c>
      <c r="Y68">
        <v>89585</v>
      </c>
    </row>
    <row r="69" spans="1:25" x14ac:dyDescent="0.35">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1">
        <v>42007</v>
      </c>
      <c r="U69" s="1">
        <v>42008</v>
      </c>
      <c r="V69">
        <v>9.82</v>
      </c>
      <c r="W69">
        <v>29</v>
      </c>
      <c r="X69">
        <v>122.23</v>
      </c>
      <c r="Y69">
        <v>7909</v>
      </c>
    </row>
    <row r="70" spans="1:25" x14ac:dyDescent="0.35">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1">
        <v>42098</v>
      </c>
      <c r="U70" s="1">
        <v>42100</v>
      </c>
      <c r="V70">
        <v>112.06</v>
      </c>
      <c r="W70">
        <v>47</v>
      </c>
      <c r="X70">
        <v>228.46</v>
      </c>
      <c r="Y70">
        <v>13959</v>
      </c>
    </row>
    <row r="71" spans="1:25" x14ac:dyDescent="0.35">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1">
        <v>42098</v>
      </c>
      <c r="U71" s="1">
        <v>42100</v>
      </c>
      <c r="V71">
        <v>16.79</v>
      </c>
      <c r="W71">
        <v>19</v>
      </c>
      <c r="X71">
        <v>77.61</v>
      </c>
      <c r="Y71">
        <v>13959</v>
      </c>
    </row>
    <row r="72" spans="1:25" x14ac:dyDescent="0.35">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1">
        <v>42103</v>
      </c>
      <c r="U72" s="1">
        <v>42105</v>
      </c>
      <c r="V72">
        <v>-55.84</v>
      </c>
      <c r="W72">
        <v>46</v>
      </c>
      <c r="X72">
        <v>99.94</v>
      </c>
      <c r="Y72">
        <v>58914</v>
      </c>
    </row>
    <row r="73" spans="1:25" x14ac:dyDescent="0.35">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1">
        <v>42016</v>
      </c>
      <c r="U73" s="1">
        <v>42017</v>
      </c>
      <c r="V73">
        <v>41.296499999999995</v>
      </c>
      <c r="W73">
        <v>10</v>
      </c>
      <c r="X73">
        <v>59.85</v>
      </c>
      <c r="Y73">
        <v>86520</v>
      </c>
    </row>
    <row r="74" spans="1:25" x14ac:dyDescent="0.35">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1">
        <v>42016</v>
      </c>
      <c r="U74" s="1">
        <v>42018</v>
      </c>
      <c r="V74">
        <v>1179.0237</v>
      </c>
      <c r="W74">
        <v>10</v>
      </c>
      <c r="X74">
        <v>1708.73</v>
      </c>
      <c r="Y74">
        <v>86520</v>
      </c>
    </row>
    <row r="75" spans="1:25" x14ac:dyDescent="0.35">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1">
        <v>42103</v>
      </c>
      <c r="U75" s="1">
        <v>42104</v>
      </c>
      <c r="V75">
        <v>105.678</v>
      </c>
      <c r="W75">
        <v>11</v>
      </c>
      <c r="X75">
        <v>94.97</v>
      </c>
      <c r="Y75">
        <v>90669</v>
      </c>
    </row>
    <row r="76" spans="1:25" x14ac:dyDescent="0.35">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1">
        <v>42031</v>
      </c>
      <c r="U76" s="1">
        <v>42032</v>
      </c>
      <c r="V76">
        <v>-37.39</v>
      </c>
      <c r="W76">
        <v>5</v>
      </c>
      <c r="X76">
        <v>10.23</v>
      </c>
      <c r="Y76">
        <v>86693</v>
      </c>
    </row>
    <row r="77" spans="1:25" x14ac:dyDescent="0.35">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1">
        <v>42149</v>
      </c>
      <c r="U77" s="1">
        <v>42150</v>
      </c>
      <c r="V77">
        <v>149.88869999999997</v>
      </c>
      <c r="W77">
        <v>14</v>
      </c>
      <c r="X77">
        <v>217.23</v>
      </c>
      <c r="Y77">
        <v>86694</v>
      </c>
    </row>
    <row r="78" spans="1:25" x14ac:dyDescent="0.35">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1">
        <v>42140</v>
      </c>
      <c r="U78" s="1">
        <v>42141</v>
      </c>
      <c r="V78">
        <v>3.0400000000000027</v>
      </c>
      <c r="W78">
        <v>5</v>
      </c>
      <c r="X78">
        <v>101.74</v>
      </c>
      <c r="Y78">
        <v>88534</v>
      </c>
    </row>
    <row r="79" spans="1:25" x14ac:dyDescent="0.35">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1">
        <v>42140</v>
      </c>
      <c r="U79" s="1">
        <v>42141</v>
      </c>
      <c r="V79">
        <v>2.7060000000000013</v>
      </c>
      <c r="W79">
        <v>8</v>
      </c>
      <c r="X79">
        <v>84.52</v>
      </c>
      <c r="Y79">
        <v>88534</v>
      </c>
    </row>
    <row r="80" spans="1:25" x14ac:dyDescent="0.35">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1">
        <v>42157</v>
      </c>
      <c r="U80" s="1">
        <v>42158</v>
      </c>
      <c r="V80">
        <v>91.955999999999989</v>
      </c>
      <c r="W80">
        <v>13</v>
      </c>
      <c r="X80">
        <v>312.58999999999997</v>
      </c>
      <c r="Y80">
        <v>91087</v>
      </c>
    </row>
    <row r="81" spans="1:25" x14ac:dyDescent="0.35">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1">
        <v>42157</v>
      </c>
      <c r="U81" s="1">
        <v>42158</v>
      </c>
      <c r="V81">
        <v>-2.544</v>
      </c>
      <c r="W81">
        <v>6</v>
      </c>
      <c r="X81">
        <v>64.400000000000006</v>
      </c>
      <c r="Y81">
        <v>91087</v>
      </c>
    </row>
    <row r="82" spans="1:25" x14ac:dyDescent="0.35">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1">
        <v>42019</v>
      </c>
      <c r="U82" s="1">
        <v>42021</v>
      </c>
      <c r="V82">
        <v>2.4851999999999999</v>
      </c>
      <c r="W82">
        <v>2</v>
      </c>
      <c r="X82">
        <v>14.65</v>
      </c>
      <c r="Y82">
        <v>91086</v>
      </c>
    </row>
    <row r="83" spans="1:25" x14ac:dyDescent="0.35">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1">
        <v>42079</v>
      </c>
      <c r="U83" s="1">
        <v>42079</v>
      </c>
      <c r="V83">
        <v>-634.73410000000013</v>
      </c>
      <c r="W83">
        <v>3</v>
      </c>
      <c r="X83">
        <v>453.62</v>
      </c>
      <c r="Y83">
        <v>91089</v>
      </c>
    </row>
    <row r="84" spans="1:25" x14ac:dyDescent="0.35">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1">
        <v>42075</v>
      </c>
      <c r="U84" s="1">
        <v>42076</v>
      </c>
      <c r="V84">
        <v>133.5771</v>
      </c>
      <c r="W84">
        <v>4</v>
      </c>
      <c r="X84">
        <v>193.59</v>
      </c>
      <c r="Y84">
        <v>91088</v>
      </c>
    </row>
    <row r="85" spans="1:25" x14ac:dyDescent="0.35">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1">
        <v>42117</v>
      </c>
      <c r="U85" s="1">
        <v>42118</v>
      </c>
      <c r="V85">
        <v>251.40839999999997</v>
      </c>
      <c r="W85">
        <v>5</v>
      </c>
      <c r="X85">
        <v>929.57</v>
      </c>
      <c r="Y85">
        <v>91090</v>
      </c>
    </row>
    <row r="86" spans="1:25" x14ac:dyDescent="0.35">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1">
        <v>42026</v>
      </c>
      <c r="U86" s="1">
        <v>42027</v>
      </c>
      <c r="V86">
        <v>-20.258000000000003</v>
      </c>
      <c r="W86">
        <v>2</v>
      </c>
      <c r="X86">
        <v>62.46</v>
      </c>
      <c r="Y86">
        <v>89521</v>
      </c>
    </row>
    <row r="87" spans="1:25" x14ac:dyDescent="0.35">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1">
        <v>42114</v>
      </c>
      <c r="U87" s="1">
        <v>42116</v>
      </c>
      <c r="V87">
        <v>13.895999999999999</v>
      </c>
      <c r="W87">
        <v>5</v>
      </c>
      <c r="X87">
        <v>28.11</v>
      </c>
      <c r="Y87">
        <v>89523</v>
      </c>
    </row>
    <row r="88" spans="1:25" x14ac:dyDescent="0.35">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1">
        <v>42019</v>
      </c>
      <c r="U88" s="1">
        <v>42020</v>
      </c>
      <c r="V88">
        <v>-172.71800000000002</v>
      </c>
      <c r="W88">
        <v>2</v>
      </c>
      <c r="X88">
        <v>5.5</v>
      </c>
      <c r="Y88">
        <v>89520</v>
      </c>
    </row>
    <row r="89" spans="1:25" x14ac:dyDescent="0.35">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1">
        <v>42113</v>
      </c>
      <c r="U89" s="1">
        <v>42120</v>
      </c>
      <c r="V89">
        <v>-40.683999999999997</v>
      </c>
      <c r="W89">
        <v>8</v>
      </c>
      <c r="X89">
        <v>667.84</v>
      </c>
      <c r="Y89">
        <v>89522</v>
      </c>
    </row>
    <row r="90" spans="1:25" x14ac:dyDescent="0.35">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1">
        <v>42092</v>
      </c>
      <c r="U90" s="1">
        <v>42095</v>
      </c>
      <c r="V90">
        <v>97.86</v>
      </c>
      <c r="W90">
        <v>5</v>
      </c>
      <c r="X90">
        <v>292.23</v>
      </c>
      <c r="Y90">
        <v>89524</v>
      </c>
    </row>
    <row r="91" spans="1:25" x14ac:dyDescent="0.35">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1">
        <v>42173</v>
      </c>
      <c r="U91" s="1">
        <v>42177</v>
      </c>
      <c r="V91">
        <v>360.24</v>
      </c>
      <c r="W91">
        <v>21</v>
      </c>
      <c r="X91">
        <v>772.56</v>
      </c>
      <c r="Y91">
        <v>89525</v>
      </c>
    </row>
    <row r="92" spans="1:25" x14ac:dyDescent="0.35">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1">
        <v>42138</v>
      </c>
      <c r="U92" s="1">
        <v>42139</v>
      </c>
      <c r="V92">
        <v>713.88</v>
      </c>
      <c r="W92">
        <v>13</v>
      </c>
      <c r="X92">
        <v>1050.08</v>
      </c>
      <c r="Y92">
        <v>87671</v>
      </c>
    </row>
    <row r="93" spans="1:25" x14ac:dyDescent="0.35">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1">
        <v>42029</v>
      </c>
      <c r="U93" s="1">
        <v>42030</v>
      </c>
      <c r="V93">
        <v>-18.64</v>
      </c>
      <c r="W93">
        <v>3</v>
      </c>
      <c r="X93">
        <v>33.82</v>
      </c>
      <c r="Y93">
        <v>87672</v>
      </c>
    </row>
    <row r="94" spans="1:25" x14ac:dyDescent="0.35">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1">
        <v>42006</v>
      </c>
      <c r="U94" s="1">
        <v>42008</v>
      </c>
      <c r="V94">
        <v>-111.4</v>
      </c>
      <c r="W94">
        <v>7</v>
      </c>
      <c r="X94">
        <v>715.55</v>
      </c>
      <c r="Y94">
        <v>89961</v>
      </c>
    </row>
    <row r="95" spans="1:25" x14ac:dyDescent="0.35">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1">
        <v>42006</v>
      </c>
      <c r="U95" s="1">
        <v>42007</v>
      </c>
      <c r="V95">
        <v>-77.03</v>
      </c>
      <c r="W95">
        <v>9</v>
      </c>
      <c r="X95">
        <v>45.63</v>
      </c>
      <c r="Y95">
        <v>89961</v>
      </c>
    </row>
    <row r="96" spans="1:25" x14ac:dyDescent="0.35">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1">
        <v>42015</v>
      </c>
      <c r="U96" s="1">
        <v>42022</v>
      </c>
      <c r="V96">
        <v>28.514099999999999</v>
      </c>
      <c r="W96">
        <v>5</v>
      </c>
      <c r="X96">
        <v>1839.91</v>
      </c>
      <c r="Y96">
        <v>89426</v>
      </c>
    </row>
    <row r="97" spans="1:25" x14ac:dyDescent="0.35">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1">
        <v>42007</v>
      </c>
      <c r="U97" s="1">
        <v>42009</v>
      </c>
      <c r="V97">
        <v>280.27458000000001</v>
      </c>
      <c r="W97">
        <v>3</v>
      </c>
      <c r="X97">
        <v>130.62</v>
      </c>
      <c r="Y97">
        <v>87463</v>
      </c>
    </row>
    <row r="98" spans="1:25" x14ac:dyDescent="0.35">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1">
        <v>42007</v>
      </c>
      <c r="U98" s="1">
        <v>42014</v>
      </c>
      <c r="V98">
        <v>-112.4263</v>
      </c>
      <c r="W98">
        <v>12</v>
      </c>
      <c r="X98">
        <v>6945.16</v>
      </c>
      <c r="Y98">
        <v>87463</v>
      </c>
    </row>
    <row r="99" spans="1:25" x14ac:dyDescent="0.35">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1">
        <v>42007</v>
      </c>
      <c r="U99" s="1">
        <v>42011</v>
      </c>
      <c r="V99">
        <v>24.923999999999999</v>
      </c>
      <c r="W99">
        <v>3</v>
      </c>
      <c r="X99">
        <v>30.94</v>
      </c>
      <c r="Y99">
        <v>87463</v>
      </c>
    </row>
    <row r="100" spans="1:25" x14ac:dyDescent="0.35">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1">
        <v>42107</v>
      </c>
      <c r="U100" s="1">
        <v>42109</v>
      </c>
      <c r="V100">
        <v>-2.9094999999999995</v>
      </c>
      <c r="W100">
        <v>1</v>
      </c>
      <c r="X100">
        <v>3.42</v>
      </c>
      <c r="Y100">
        <v>87464</v>
      </c>
    </row>
    <row r="101" spans="1:25" x14ac:dyDescent="0.35">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1">
        <v>42056</v>
      </c>
      <c r="U101" s="1">
        <v>42056</v>
      </c>
      <c r="V101">
        <v>-76.89</v>
      </c>
      <c r="W101">
        <v>18</v>
      </c>
      <c r="X101">
        <v>901.81</v>
      </c>
      <c r="Y101">
        <v>38087</v>
      </c>
    </row>
    <row r="102" spans="1:25" x14ac:dyDescent="0.35">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1">
        <v>42146</v>
      </c>
      <c r="U102" s="1">
        <v>42147</v>
      </c>
      <c r="V102">
        <v>-35.75</v>
      </c>
      <c r="W102">
        <v>116</v>
      </c>
      <c r="X102">
        <v>186.59</v>
      </c>
      <c r="Y102">
        <v>3585</v>
      </c>
    </row>
    <row r="103" spans="1:25" x14ac:dyDescent="0.35">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1">
        <v>42056</v>
      </c>
      <c r="U103" s="1">
        <v>42056</v>
      </c>
      <c r="V103">
        <v>-76.89</v>
      </c>
      <c r="W103">
        <v>5</v>
      </c>
      <c r="X103">
        <v>250.5</v>
      </c>
      <c r="Y103">
        <v>88360</v>
      </c>
    </row>
    <row r="104" spans="1:25" x14ac:dyDescent="0.35">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1">
        <v>42146</v>
      </c>
      <c r="U104" s="1">
        <v>42146</v>
      </c>
      <c r="V104">
        <v>152.65559999999999</v>
      </c>
      <c r="W104">
        <v>23</v>
      </c>
      <c r="X104">
        <v>221.24</v>
      </c>
      <c r="Y104">
        <v>88361</v>
      </c>
    </row>
    <row r="105" spans="1:25" x14ac:dyDescent="0.35">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1">
        <v>42146</v>
      </c>
      <c r="U105" s="1">
        <v>42147</v>
      </c>
      <c r="V105">
        <v>7.1500000000000057</v>
      </c>
      <c r="W105">
        <v>29</v>
      </c>
      <c r="X105">
        <v>46.65</v>
      </c>
      <c r="Y105">
        <v>88361</v>
      </c>
    </row>
    <row r="106" spans="1:25" x14ac:dyDescent="0.35">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1">
        <v>42047</v>
      </c>
      <c r="U106" s="1">
        <v>42048</v>
      </c>
      <c r="V106">
        <v>113.6499</v>
      </c>
      <c r="W106">
        <v>3</v>
      </c>
      <c r="X106">
        <v>164.71</v>
      </c>
      <c r="Y106">
        <v>89092</v>
      </c>
    </row>
    <row r="107" spans="1:25" x14ac:dyDescent="0.35">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1">
        <v>42047</v>
      </c>
      <c r="U107" s="1">
        <v>42050</v>
      </c>
      <c r="V107">
        <v>-35.474400000000003</v>
      </c>
      <c r="W107">
        <v>1</v>
      </c>
      <c r="X107">
        <v>79.680000000000007</v>
      </c>
      <c r="Y107">
        <v>89092</v>
      </c>
    </row>
    <row r="108" spans="1:25" x14ac:dyDescent="0.35">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1">
        <v>42103</v>
      </c>
      <c r="U108" s="1">
        <v>42105</v>
      </c>
      <c r="V108">
        <v>14.466999999999999</v>
      </c>
      <c r="W108">
        <v>14</v>
      </c>
      <c r="X108">
        <v>53.26</v>
      </c>
      <c r="Y108">
        <v>89093</v>
      </c>
    </row>
    <row r="109" spans="1:25" x14ac:dyDescent="0.35">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1">
        <v>42103</v>
      </c>
      <c r="U109" s="1">
        <v>42103</v>
      </c>
      <c r="V109">
        <v>-99.986400000000003</v>
      </c>
      <c r="W109">
        <v>7</v>
      </c>
      <c r="X109">
        <v>203.49</v>
      </c>
      <c r="Y109">
        <v>89093</v>
      </c>
    </row>
    <row r="110" spans="1:25" x14ac:dyDescent="0.35">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1">
        <v>42103</v>
      </c>
      <c r="U110" s="1">
        <v>42104</v>
      </c>
      <c r="V110">
        <v>1348.59672</v>
      </c>
      <c r="W110">
        <v>22</v>
      </c>
      <c r="X110">
        <v>2356.0100000000002</v>
      </c>
      <c r="Y110">
        <v>89093</v>
      </c>
    </row>
    <row r="111" spans="1:25" x14ac:dyDescent="0.35">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1">
        <v>42007</v>
      </c>
      <c r="U111" s="1">
        <v>42009</v>
      </c>
      <c r="V111">
        <v>-560.81417999999996</v>
      </c>
      <c r="W111">
        <v>1</v>
      </c>
      <c r="X111">
        <v>224.12</v>
      </c>
      <c r="Y111">
        <v>90430</v>
      </c>
    </row>
    <row r="112" spans="1:25" x14ac:dyDescent="0.35">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1">
        <v>42093</v>
      </c>
      <c r="U112" s="1">
        <v>42095</v>
      </c>
      <c r="V112">
        <v>-66.044499999999999</v>
      </c>
      <c r="W112">
        <v>21</v>
      </c>
      <c r="X112">
        <v>140.30000000000001</v>
      </c>
      <c r="Y112">
        <v>90432</v>
      </c>
    </row>
    <row r="113" spans="1:25" x14ac:dyDescent="0.35">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1">
        <v>42014</v>
      </c>
      <c r="U113" s="1">
        <v>42015</v>
      </c>
      <c r="V113">
        <v>-105.68520000000001</v>
      </c>
      <c r="W113">
        <v>4</v>
      </c>
      <c r="X113">
        <v>28.2</v>
      </c>
      <c r="Y113">
        <v>90431</v>
      </c>
    </row>
    <row r="114" spans="1:25" x14ac:dyDescent="0.35">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1">
        <v>42093</v>
      </c>
      <c r="U114" s="1">
        <v>42095</v>
      </c>
      <c r="V114">
        <v>15.66</v>
      </c>
      <c r="W114">
        <v>23</v>
      </c>
      <c r="X114">
        <v>71.55</v>
      </c>
      <c r="Y114">
        <v>90432</v>
      </c>
    </row>
    <row r="115" spans="1:25" x14ac:dyDescent="0.35">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1">
        <v>42096</v>
      </c>
      <c r="U115" s="1">
        <v>42098</v>
      </c>
      <c r="V115">
        <v>1167.1580000000001</v>
      </c>
      <c r="W115">
        <v>19</v>
      </c>
      <c r="X115">
        <v>3108.98</v>
      </c>
      <c r="Y115">
        <v>88921</v>
      </c>
    </row>
    <row r="116" spans="1:25" x14ac:dyDescent="0.35">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1">
        <v>42096</v>
      </c>
      <c r="U116" s="1">
        <v>42098</v>
      </c>
      <c r="V116">
        <v>1014.9200000000001</v>
      </c>
      <c r="W116">
        <v>77</v>
      </c>
      <c r="X116">
        <v>12599.55</v>
      </c>
      <c r="Y116">
        <v>51072</v>
      </c>
    </row>
    <row r="117" spans="1:25" x14ac:dyDescent="0.35">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1">
        <v>42121</v>
      </c>
      <c r="U117" s="1">
        <v>42122</v>
      </c>
      <c r="V117">
        <v>1.73</v>
      </c>
      <c r="W117">
        <v>3</v>
      </c>
      <c r="X117">
        <v>34.65</v>
      </c>
      <c r="Y117">
        <v>88971</v>
      </c>
    </row>
    <row r="118" spans="1:25" x14ac:dyDescent="0.35">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1">
        <v>42020</v>
      </c>
      <c r="U118" s="1">
        <v>42022</v>
      </c>
      <c r="V118">
        <v>-133.69999999999999</v>
      </c>
      <c r="W118">
        <v>11</v>
      </c>
      <c r="X118">
        <v>85.79</v>
      </c>
      <c r="Y118">
        <v>88972</v>
      </c>
    </row>
    <row r="119" spans="1:25" x14ac:dyDescent="0.35">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1">
        <v>42021</v>
      </c>
      <c r="U119" s="1">
        <v>42025</v>
      </c>
      <c r="V119">
        <v>-66.62</v>
      </c>
      <c r="W119">
        <v>9</v>
      </c>
      <c r="X119">
        <v>17.61</v>
      </c>
      <c r="Y119">
        <v>85965</v>
      </c>
    </row>
    <row r="120" spans="1:25" x14ac:dyDescent="0.35">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1">
        <v>42157</v>
      </c>
      <c r="U120" s="1">
        <v>42157</v>
      </c>
      <c r="V120">
        <v>-21.487749999999998</v>
      </c>
      <c r="W120">
        <v>4</v>
      </c>
      <c r="X120">
        <v>27.3</v>
      </c>
      <c r="Y120">
        <v>85966</v>
      </c>
    </row>
    <row r="121" spans="1:25" x14ac:dyDescent="0.35">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1">
        <v>42157</v>
      </c>
      <c r="U121" s="1">
        <v>42157</v>
      </c>
      <c r="V121">
        <v>44.677499999999995</v>
      </c>
      <c r="W121">
        <v>3</v>
      </c>
      <c r="X121">
        <v>64.75</v>
      </c>
      <c r="Y121">
        <v>85966</v>
      </c>
    </row>
    <row r="122" spans="1:25" x14ac:dyDescent="0.35">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1">
        <v>42157</v>
      </c>
      <c r="U122" s="1">
        <v>42158</v>
      </c>
      <c r="V122">
        <v>23.594999999999999</v>
      </c>
      <c r="W122">
        <v>5</v>
      </c>
      <c r="X122">
        <v>62.98</v>
      </c>
      <c r="Y122">
        <v>85966</v>
      </c>
    </row>
    <row r="123" spans="1:25" x14ac:dyDescent="0.35">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1">
        <v>42010</v>
      </c>
      <c r="U123" s="1">
        <v>42012</v>
      </c>
      <c r="V123">
        <v>7.59</v>
      </c>
      <c r="W123">
        <v>2</v>
      </c>
      <c r="X123">
        <v>21.2</v>
      </c>
      <c r="Y123">
        <v>85964</v>
      </c>
    </row>
    <row r="124" spans="1:25" x14ac:dyDescent="0.35">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1">
        <v>42010</v>
      </c>
      <c r="U124" s="1">
        <v>42012</v>
      </c>
      <c r="V124">
        <v>-107.98699999999999</v>
      </c>
      <c r="W124">
        <v>3</v>
      </c>
      <c r="X124">
        <v>173.32</v>
      </c>
      <c r="Y124">
        <v>85964</v>
      </c>
    </row>
    <row r="125" spans="1:25" x14ac:dyDescent="0.35">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1">
        <v>42157</v>
      </c>
      <c r="U125" s="1">
        <v>42158</v>
      </c>
      <c r="V125">
        <v>-36.25</v>
      </c>
      <c r="W125">
        <v>20</v>
      </c>
      <c r="X125">
        <v>42.29</v>
      </c>
      <c r="Y125">
        <v>85966</v>
      </c>
    </row>
    <row r="126" spans="1:25" x14ac:dyDescent="0.35">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1">
        <v>42164</v>
      </c>
      <c r="U126" s="1">
        <v>42166</v>
      </c>
      <c r="V126">
        <v>-102.5121</v>
      </c>
      <c r="W126">
        <v>6</v>
      </c>
      <c r="X126">
        <v>730.37</v>
      </c>
      <c r="Y126">
        <v>88048</v>
      </c>
    </row>
    <row r="127" spans="1:25" x14ac:dyDescent="0.35">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1">
        <v>42096</v>
      </c>
      <c r="U127" s="1">
        <v>42097</v>
      </c>
      <c r="V127">
        <v>36.353999999999999</v>
      </c>
      <c r="W127">
        <v>7</v>
      </c>
      <c r="X127">
        <v>450.49</v>
      </c>
      <c r="Y127">
        <v>88527</v>
      </c>
    </row>
    <row r="128" spans="1:25" x14ac:dyDescent="0.35">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1">
        <v>42055</v>
      </c>
      <c r="U128" s="1">
        <v>42057</v>
      </c>
      <c r="V128">
        <v>-243.23649999999998</v>
      </c>
      <c r="W128">
        <v>10</v>
      </c>
      <c r="X128">
        <v>58.8</v>
      </c>
      <c r="Y128">
        <v>90237</v>
      </c>
    </row>
    <row r="129" spans="1:25" x14ac:dyDescent="0.35">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1">
        <v>42055</v>
      </c>
      <c r="U129" s="1">
        <v>42056</v>
      </c>
      <c r="V129">
        <v>-53.62</v>
      </c>
      <c r="W129">
        <v>12</v>
      </c>
      <c r="X129">
        <v>120.47</v>
      </c>
      <c r="Y129">
        <v>90237</v>
      </c>
    </row>
    <row r="130" spans="1:25" x14ac:dyDescent="0.35">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1">
        <v>42040</v>
      </c>
      <c r="U130" s="1">
        <v>42041</v>
      </c>
      <c r="V130">
        <v>1103.9723999999999</v>
      </c>
      <c r="W130">
        <v>6</v>
      </c>
      <c r="X130">
        <v>1599.96</v>
      </c>
      <c r="Y130">
        <v>90236</v>
      </c>
    </row>
    <row r="131" spans="1:25" x14ac:dyDescent="0.35">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1">
        <v>42090</v>
      </c>
      <c r="U131" s="1">
        <v>42092</v>
      </c>
      <c r="V131">
        <v>136.33709999999999</v>
      </c>
      <c r="W131">
        <v>7</v>
      </c>
      <c r="X131">
        <v>197.59</v>
      </c>
      <c r="Y131">
        <v>90238</v>
      </c>
    </row>
    <row r="132" spans="1:25" x14ac:dyDescent="0.35">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1">
        <v>42090</v>
      </c>
      <c r="U132" s="1">
        <v>42092</v>
      </c>
      <c r="V132">
        <v>-12.46</v>
      </c>
      <c r="W132">
        <v>2</v>
      </c>
      <c r="X132">
        <v>33.04</v>
      </c>
      <c r="Y132">
        <v>90238</v>
      </c>
    </row>
    <row r="133" spans="1:25" x14ac:dyDescent="0.35">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1">
        <v>42122</v>
      </c>
      <c r="U133" s="1">
        <v>42124</v>
      </c>
      <c r="V133">
        <v>-175.86</v>
      </c>
      <c r="W133">
        <v>8</v>
      </c>
      <c r="X133">
        <v>27.45</v>
      </c>
      <c r="Y133">
        <v>90239</v>
      </c>
    </row>
    <row r="134" spans="1:25" x14ac:dyDescent="0.35">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1">
        <v>42057</v>
      </c>
      <c r="U134" s="1">
        <v>42057</v>
      </c>
      <c r="V134">
        <v>3294.8258999999994</v>
      </c>
      <c r="W134">
        <v>10</v>
      </c>
      <c r="X134">
        <v>4775.1099999999997</v>
      </c>
      <c r="Y134">
        <v>86621</v>
      </c>
    </row>
    <row r="135" spans="1:25" x14ac:dyDescent="0.35">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1">
        <v>42114</v>
      </c>
      <c r="U135" s="1">
        <v>42114</v>
      </c>
      <c r="V135">
        <v>35.090000000000003</v>
      </c>
      <c r="W135">
        <v>3</v>
      </c>
      <c r="X135">
        <v>57.41</v>
      </c>
      <c r="Y135">
        <v>90479</v>
      </c>
    </row>
    <row r="136" spans="1:25" x14ac:dyDescent="0.35">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1">
        <v>42114</v>
      </c>
      <c r="U136" s="1">
        <v>42115</v>
      </c>
      <c r="V136">
        <v>785.63</v>
      </c>
      <c r="W136">
        <v>11</v>
      </c>
      <c r="X136">
        <v>2809.87</v>
      </c>
      <c r="Y136">
        <v>90479</v>
      </c>
    </row>
    <row r="137" spans="1:25" x14ac:dyDescent="0.35">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1">
        <v>42150</v>
      </c>
      <c r="U137" s="1">
        <v>42157</v>
      </c>
      <c r="V137">
        <v>-256.51900000000001</v>
      </c>
      <c r="W137">
        <v>13</v>
      </c>
      <c r="X137">
        <v>79.930000000000007</v>
      </c>
      <c r="Y137">
        <v>90480</v>
      </c>
    </row>
    <row r="138" spans="1:25" x14ac:dyDescent="0.35">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1">
        <v>42150</v>
      </c>
      <c r="U138" s="1">
        <v>42150</v>
      </c>
      <c r="V138">
        <v>398.358</v>
      </c>
      <c r="W138">
        <v>8</v>
      </c>
      <c r="X138">
        <v>873.18</v>
      </c>
      <c r="Y138">
        <v>90480</v>
      </c>
    </row>
    <row r="139" spans="1:25" x14ac:dyDescent="0.35">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1">
        <v>42058</v>
      </c>
      <c r="U139" s="1">
        <v>42058</v>
      </c>
      <c r="V139">
        <v>-101.19200000000001</v>
      </c>
      <c r="W139">
        <v>5</v>
      </c>
      <c r="X139">
        <v>798.69</v>
      </c>
      <c r="Y139">
        <v>89139</v>
      </c>
    </row>
    <row r="140" spans="1:25" x14ac:dyDescent="0.35">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1">
        <v>42058</v>
      </c>
      <c r="U140" s="1">
        <v>42059</v>
      </c>
      <c r="V140">
        <v>-3.3320000000000336</v>
      </c>
      <c r="W140">
        <v>14</v>
      </c>
      <c r="X140">
        <v>792.11</v>
      </c>
      <c r="Y140">
        <v>89139</v>
      </c>
    </row>
    <row r="141" spans="1:25" x14ac:dyDescent="0.35">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1">
        <v>42084</v>
      </c>
      <c r="U141" s="1">
        <v>42086</v>
      </c>
      <c r="V141">
        <v>-145.08199999999999</v>
      </c>
      <c r="W141">
        <v>10</v>
      </c>
      <c r="X141">
        <v>28.73</v>
      </c>
      <c r="Y141">
        <v>89140</v>
      </c>
    </row>
    <row r="142" spans="1:25" x14ac:dyDescent="0.35">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1">
        <v>42152</v>
      </c>
      <c r="U142" s="1">
        <v>42153</v>
      </c>
      <c r="V142">
        <v>1.1080000000000014</v>
      </c>
      <c r="W142">
        <v>39</v>
      </c>
      <c r="X142">
        <v>109.74</v>
      </c>
      <c r="Y142">
        <v>87214</v>
      </c>
    </row>
    <row r="143" spans="1:25" x14ac:dyDescent="0.35">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1">
        <v>42152</v>
      </c>
      <c r="U143" s="1">
        <v>42153</v>
      </c>
      <c r="V143">
        <v>1061.3790000000001</v>
      </c>
      <c r="W143">
        <v>27</v>
      </c>
      <c r="X143">
        <v>1543.55</v>
      </c>
      <c r="Y143">
        <v>87214</v>
      </c>
    </row>
    <row r="144" spans="1:25" x14ac:dyDescent="0.35">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1">
        <v>42165</v>
      </c>
      <c r="U144" s="1">
        <v>42166</v>
      </c>
      <c r="V144">
        <v>-53.744999999999997</v>
      </c>
      <c r="W144">
        <v>5</v>
      </c>
      <c r="X144">
        <v>1332.82</v>
      </c>
      <c r="Y144">
        <v>86268</v>
      </c>
    </row>
    <row r="145" spans="1:25" x14ac:dyDescent="0.35">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1">
        <v>42035</v>
      </c>
      <c r="U145" s="1">
        <v>42037</v>
      </c>
      <c r="V145">
        <v>0.68399999999999894</v>
      </c>
      <c r="W145">
        <v>4</v>
      </c>
      <c r="X145">
        <v>34.64</v>
      </c>
      <c r="Y145">
        <v>86267</v>
      </c>
    </row>
    <row r="146" spans="1:25" x14ac:dyDescent="0.35">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1">
        <v>42006</v>
      </c>
      <c r="U146" s="1">
        <v>42008</v>
      </c>
      <c r="V146">
        <v>-127.00800000000001</v>
      </c>
      <c r="W146">
        <v>3</v>
      </c>
      <c r="X146">
        <v>52.47</v>
      </c>
      <c r="Y146">
        <v>85858</v>
      </c>
    </row>
    <row r="147" spans="1:25" x14ac:dyDescent="0.35">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1">
        <v>42023</v>
      </c>
      <c r="U147" s="1">
        <v>42023</v>
      </c>
      <c r="V147">
        <v>5.7532000000000005</v>
      </c>
      <c r="W147">
        <v>10</v>
      </c>
      <c r="X147">
        <v>26.38</v>
      </c>
      <c r="Y147">
        <v>85857</v>
      </c>
    </row>
    <row r="148" spans="1:25" x14ac:dyDescent="0.35">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1">
        <v>42025</v>
      </c>
      <c r="U148" s="1">
        <v>42027</v>
      </c>
      <c r="V148">
        <v>-2177.9860960000001</v>
      </c>
      <c r="W148">
        <v>9</v>
      </c>
      <c r="X148">
        <v>304.33999999999997</v>
      </c>
      <c r="Y148">
        <v>86297</v>
      </c>
    </row>
    <row r="149" spans="1:25" x14ac:dyDescent="0.35">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1">
        <v>42142</v>
      </c>
      <c r="U149" s="1">
        <v>42144</v>
      </c>
      <c r="V149">
        <v>326.25</v>
      </c>
      <c r="W149">
        <v>17</v>
      </c>
      <c r="X149">
        <v>1300.81</v>
      </c>
      <c r="Y149">
        <v>90593</v>
      </c>
    </row>
    <row r="150" spans="1:25" x14ac:dyDescent="0.35">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1">
        <v>42139</v>
      </c>
      <c r="U150" s="1">
        <v>42140</v>
      </c>
      <c r="V150">
        <v>8.9320000000000093</v>
      </c>
      <c r="W150">
        <v>10</v>
      </c>
      <c r="X150">
        <v>67.86</v>
      </c>
      <c r="Y150">
        <v>90594</v>
      </c>
    </row>
    <row r="151" spans="1:25" x14ac:dyDescent="0.35">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1">
        <v>42139</v>
      </c>
      <c r="U151" s="1">
        <v>42140</v>
      </c>
      <c r="V151">
        <v>229.63800000000015</v>
      </c>
      <c r="W151">
        <v>33</v>
      </c>
      <c r="X151">
        <v>747.28</v>
      </c>
      <c r="Y151">
        <v>90594</v>
      </c>
    </row>
    <row r="152" spans="1:25" x14ac:dyDescent="0.35">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1">
        <v>42101</v>
      </c>
      <c r="U152" s="1">
        <v>42106</v>
      </c>
      <c r="V152">
        <v>-22.48</v>
      </c>
      <c r="W152">
        <v>3</v>
      </c>
      <c r="X152">
        <v>18.670000000000002</v>
      </c>
      <c r="Y152">
        <v>88941</v>
      </c>
    </row>
    <row r="153" spans="1:25" x14ac:dyDescent="0.35">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1">
        <v>42101</v>
      </c>
      <c r="U153" s="1">
        <v>42108</v>
      </c>
      <c r="V153">
        <v>78.98</v>
      </c>
      <c r="W153">
        <v>5</v>
      </c>
      <c r="X153">
        <v>210.77</v>
      </c>
      <c r="Y153">
        <v>88941</v>
      </c>
    </row>
    <row r="154" spans="1:25" x14ac:dyDescent="0.35">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1">
        <v>42160</v>
      </c>
      <c r="U154" s="1">
        <v>42165</v>
      </c>
      <c r="V154">
        <v>144.2928</v>
      </c>
      <c r="W154">
        <v>6</v>
      </c>
      <c r="X154">
        <v>209.12</v>
      </c>
      <c r="Y154">
        <v>88942</v>
      </c>
    </row>
    <row r="155" spans="1:25" x14ac:dyDescent="0.35">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1">
        <v>42160</v>
      </c>
      <c r="U155" s="1">
        <v>42167</v>
      </c>
      <c r="V155">
        <v>888.14729999999997</v>
      </c>
      <c r="W155">
        <v>7</v>
      </c>
      <c r="X155">
        <v>1287.17</v>
      </c>
      <c r="Y155">
        <v>88942</v>
      </c>
    </row>
    <row r="156" spans="1:25" x14ac:dyDescent="0.35">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1">
        <v>42160</v>
      </c>
      <c r="U156" s="1">
        <v>42162</v>
      </c>
      <c r="V156">
        <v>-46.005000000000003</v>
      </c>
      <c r="W156">
        <v>9</v>
      </c>
      <c r="X156">
        <v>46.17</v>
      </c>
      <c r="Y156">
        <v>88942</v>
      </c>
    </row>
    <row r="157" spans="1:25" x14ac:dyDescent="0.35">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1">
        <v>42093</v>
      </c>
      <c r="U157" s="1">
        <v>42094</v>
      </c>
      <c r="V157">
        <v>128.02529999999999</v>
      </c>
      <c r="W157">
        <v>12</v>
      </c>
      <c r="X157">
        <v>899.81</v>
      </c>
      <c r="Y157">
        <v>88940</v>
      </c>
    </row>
    <row r="158" spans="1:25" x14ac:dyDescent="0.35">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1">
        <v>42101</v>
      </c>
      <c r="U158" s="1">
        <v>42106</v>
      </c>
      <c r="V158">
        <v>-29.898400000000002</v>
      </c>
      <c r="W158">
        <v>11</v>
      </c>
      <c r="X158">
        <v>68.459999999999994</v>
      </c>
      <c r="Y158">
        <v>5509</v>
      </c>
    </row>
    <row r="159" spans="1:25" x14ac:dyDescent="0.35">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1">
        <v>42101</v>
      </c>
      <c r="U159" s="1">
        <v>42108</v>
      </c>
      <c r="V159">
        <v>52.916600000000003</v>
      </c>
      <c r="W159">
        <v>21</v>
      </c>
      <c r="X159">
        <v>885.23</v>
      </c>
      <c r="Y159">
        <v>5509</v>
      </c>
    </row>
    <row r="160" spans="1:25" x14ac:dyDescent="0.35">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1">
        <v>42160</v>
      </c>
      <c r="U160" s="1">
        <v>42165</v>
      </c>
      <c r="V160">
        <v>72.1858</v>
      </c>
      <c r="W160">
        <v>24</v>
      </c>
      <c r="X160">
        <v>836.47</v>
      </c>
      <c r="Y160">
        <v>36069</v>
      </c>
    </row>
    <row r="161" spans="1:25" x14ac:dyDescent="0.35">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1">
        <v>42160</v>
      </c>
      <c r="U161" s="1">
        <v>42162</v>
      </c>
      <c r="V161">
        <v>-122.3733</v>
      </c>
      <c r="W161">
        <v>37</v>
      </c>
      <c r="X161">
        <v>189.83</v>
      </c>
      <c r="Y161">
        <v>36069</v>
      </c>
    </row>
    <row r="162" spans="1:25" x14ac:dyDescent="0.35">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1">
        <v>42028</v>
      </c>
      <c r="U162" s="1">
        <v>42029</v>
      </c>
      <c r="V162">
        <v>-51.75</v>
      </c>
      <c r="W162">
        <v>4</v>
      </c>
      <c r="X162">
        <v>61.52</v>
      </c>
      <c r="Y162">
        <v>89292</v>
      </c>
    </row>
    <row r="163" spans="1:25" x14ac:dyDescent="0.35">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1">
        <v>42145</v>
      </c>
      <c r="U163" s="1">
        <v>42146</v>
      </c>
      <c r="V163">
        <v>-1</v>
      </c>
      <c r="W163">
        <v>3</v>
      </c>
      <c r="X163">
        <v>8.3000000000000007</v>
      </c>
      <c r="Y163">
        <v>89291</v>
      </c>
    </row>
    <row r="164" spans="1:25" x14ac:dyDescent="0.35">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1">
        <v>42145</v>
      </c>
      <c r="U164" s="1">
        <v>42146</v>
      </c>
      <c r="V164">
        <v>-221.25399999999999</v>
      </c>
      <c r="W164">
        <v>9</v>
      </c>
      <c r="X164">
        <v>416.95</v>
      </c>
      <c r="Y164">
        <v>89291</v>
      </c>
    </row>
    <row r="165" spans="1:25" x14ac:dyDescent="0.35">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1">
        <v>42172</v>
      </c>
      <c r="U165" s="1">
        <v>42173</v>
      </c>
      <c r="V165">
        <v>-11.57</v>
      </c>
      <c r="W165">
        <v>11</v>
      </c>
      <c r="X165">
        <v>18.71</v>
      </c>
      <c r="Y165">
        <v>89293</v>
      </c>
    </row>
    <row r="166" spans="1:25" x14ac:dyDescent="0.35">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1">
        <v>42172</v>
      </c>
      <c r="U166" s="1">
        <v>42176</v>
      </c>
      <c r="V166">
        <v>-61.870000000000005</v>
      </c>
      <c r="W166">
        <v>9</v>
      </c>
      <c r="X166">
        <v>40.950000000000003</v>
      </c>
      <c r="Y166">
        <v>89761</v>
      </c>
    </row>
    <row r="167" spans="1:25" x14ac:dyDescent="0.35">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1">
        <v>42172</v>
      </c>
      <c r="U167" s="1">
        <v>42176</v>
      </c>
      <c r="V167">
        <v>-530.24</v>
      </c>
      <c r="W167">
        <v>9</v>
      </c>
      <c r="X167">
        <v>1155.73</v>
      </c>
      <c r="Y167">
        <v>89761</v>
      </c>
    </row>
    <row r="168" spans="1:25" x14ac:dyDescent="0.35">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1">
        <v>42020</v>
      </c>
      <c r="U168" s="1">
        <v>42023</v>
      </c>
      <c r="V168">
        <v>132.68699999999998</v>
      </c>
      <c r="W168">
        <v>7</v>
      </c>
      <c r="X168">
        <v>192.3</v>
      </c>
      <c r="Y168">
        <v>89762</v>
      </c>
    </row>
    <row r="169" spans="1:25" x14ac:dyDescent="0.35">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1">
        <v>42020</v>
      </c>
      <c r="U169" s="1">
        <v>42022</v>
      </c>
      <c r="V169">
        <v>496.89</v>
      </c>
      <c r="W169">
        <v>14</v>
      </c>
      <c r="X169">
        <v>748.1</v>
      </c>
      <c r="Y169">
        <v>89762</v>
      </c>
    </row>
    <row r="170" spans="1:25" x14ac:dyDescent="0.35">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1">
        <v>42088</v>
      </c>
      <c r="U170" s="1">
        <v>42089</v>
      </c>
      <c r="V170">
        <v>-135.16</v>
      </c>
      <c r="W170">
        <v>20</v>
      </c>
      <c r="X170">
        <v>102.54</v>
      </c>
      <c r="Y170">
        <v>90837</v>
      </c>
    </row>
    <row r="171" spans="1:25" x14ac:dyDescent="0.35">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1">
        <v>42049</v>
      </c>
      <c r="U171" s="1">
        <v>42050</v>
      </c>
      <c r="V171">
        <v>15.895199999999999</v>
      </c>
      <c r="W171">
        <v>8</v>
      </c>
      <c r="X171">
        <v>70.16</v>
      </c>
      <c r="Y171">
        <v>87057</v>
      </c>
    </row>
    <row r="172" spans="1:25" x14ac:dyDescent="0.35">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1">
        <v>42049</v>
      </c>
      <c r="U172" s="1">
        <v>42051</v>
      </c>
      <c r="V172">
        <v>855.99329999999986</v>
      </c>
      <c r="W172">
        <v>17</v>
      </c>
      <c r="X172">
        <v>1240.57</v>
      </c>
      <c r="Y172">
        <v>87057</v>
      </c>
    </row>
    <row r="173" spans="1:25" x14ac:dyDescent="0.35">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1">
        <v>42049</v>
      </c>
      <c r="U173" s="1">
        <v>42050</v>
      </c>
      <c r="V173">
        <v>10.74</v>
      </c>
      <c r="W173">
        <v>32</v>
      </c>
      <c r="X173">
        <v>280.62</v>
      </c>
      <c r="Y173">
        <v>37760</v>
      </c>
    </row>
    <row r="174" spans="1:25" x14ac:dyDescent="0.35">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1">
        <v>42083</v>
      </c>
      <c r="U174" s="1">
        <v>42085</v>
      </c>
      <c r="V174">
        <v>-1759.58</v>
      </c>
      <c r="W174">
        <v>2</v>
      </c>
      <c r="X174">
        <v>3206.94</v>
      </c>
      <c r="Y174">
        <v>89166</v>
      </c>
    </row>
    <row r="175" spans="1:25" x14ac:dyDescent="0.35">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1">
        <v>42083</v>
      </c>
      <c r="U175" s="1">
        <v>42083</v>
      </c>
      <c r="V175">
        <v>-72.23</v>
      </c>
      <c r="W175">
        <v>2</v>
      </c>
      <c r="X175">
        <v>43.08</v>
      </c>
      <c r="Y175">
        <v>89166</v>
      </c>
    </row>
    <row r="176" spans="1:25" x14ac:dyDescent="0.35">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1">
        <v>42172</v>
      </c>
      <c r="U176" s="1">
        <v>42173</v>
      </c>
      <c r="V176">
        <v>-27.160000000000004</v>
      </c>
      <c r="W176">
        <v>9</v>
      </c>
      <c r="X176">
        <v>66.55</v>
      </c>
      <c r="Y176">
        <v>86041</v>
      </c>
    </row>
    <row r="177" spans="1:25" x14ac:dyDescent="0.35">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1">
        <v>42172</v>
      </c>
      <c r="U177" s="1">
        <v>42173</v>
      </c>
      <c r="V177">
        <v>-52.344000000000008</v>
      </c>
      <c r="W177">
        <v>17</v>
      </c>
      <c r="X177">
        <v>103.49</v>
      </c>
      <c r="Y177">
        <v>86041</v>
      </c>
    </row>
    <row r="178" spans="1:25" x14ac:dyDescent="0.35">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1">
        <v>42172</v>
      </c>
      <c r="U178" s="1">
        <v>42173</v>
      </c>
      <c r="V178">
        <v>-119.93599999999999</v>
      </c>
      <c r="W178">
        <v>12</v>
      </c>
      <c r="X178">
        <v>192.18</v>
      </c>
      <c r="Y178">
        <v>86041</v>
      </c>
    </row>
    <row r="179" spans="1:25" x14ac:dyDescent="0.35">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1">
        <v>42098</v>
      </c>
      <c r="U179" s="1">
        <v>42103</v>
      </c>
      <c r="V179">
        <v>9.9267999999999983</v>
      </c>
      <c r="W179">
        <v>11</v>
      </c>
      <c r="X179">
        <v>89.76</v>
      </c>
      <c r="Y179">
        <v>91057</v>
      </c>
    </row>
    <row r="180" spans="1:25" x14ac:dyDescent="0.35">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1">
        <v>42164</v>
      </c>
      <c r="U180" s="1">
        <v>42165</v>
      </c>
      <c r="V180">
        <v>-29.172000000000001</v>
      </c>
      <c r="W180">
        <v>4</v>
      </c>
      <c r="X180">
        <v>28.46</v>
      </c>
      <c r="Y180">
        <v>90973</v>
      </c>
    </row>
    <row r="181" spans="1:25" x14ac:dyDescent="0.35">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1">
        <v>42108</v>
      </c>
      <c r="U181" s="1">
        <v>42109</v>
      </c>
      <c r="V181">
        <v>-715.7782060000003</v>
      </c>
      <c r="W181">
        <v>5</v>
      </c>
      <c r="X181">
        <v>1170.21</v>
      </c>
      <c r="Y181">
        <v>89726</v>
      </c>
    </row>
    <row r="182" spans="1:25" x14ac:dyDescent="0.35">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1">
        <v>42108</v>
      </c>
      <c r="U182" s="1">
        <v>42110</v>
      </c>
      <c r="V182">
        <v>-22.82</v>
      </c>
      <c r="W182">
        <v>8</v>
      </c>
      <c r="X182">
        <v>243.32</v>
      </c>
      <c r="Y182">
        <v>89726</v>
      </c>
    </row>
    <row r="183" spans="1:25" x14ac:dyDescent="0.35">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1">
        <v>42128</v>
      </c>
      <c r="U183" s="1">
        <v>42129</v>
      </c>
      <c r="V183">
        <v>2639.4708000000001</v>
      </c>
      <c r="W183">
        <v>14</v>
      </c>
      <c r="X183">
        <v>3825.32</v>
      </c>
      <c r="Y183">
        <v>87277</v>
      </c>
    </row>
    <row r="184" spans="1:25" x14ac:dyDescent="0.35">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1">
        <v>42128</v>
      </c>
      <c r="U184" s="1">
        <v>42128</v>
      </c>
      <c r="V184">
        <v>-5.2</v>
      </c>
      <c r="W184">
        <v>1</v>
      </c>
      <c r="X184">
        <v>8.5299999999999994</v>
      </c>
      <c r="Y184">
        <v>87277</v>
      </c>
    </row>
    <row r="185" spans="1:25" x14ac:dyDescent="0.35">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1">
        <v>42080</v>
      </c>
      <c r="U185" s="1">
        <v>42081</v>
      </c>
      <c r="V185">
        <v>-83.65</v>
      </c>
      <c r="W185">
        <v>5</v>
      </c>
      <c r="X185">
        <v>40.299999999999997</v>
      </c>
      <c r="Y185">
        <v>90583</v>
      </c>
    </row>
    <row r="186" spans="1:25" x14ac:dyDescent="0.35">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1">
        <v>42080</v>
      </c>
      <c r="U186" s="1">
        <v>42082</v>
      </c>
      <c r="V186">
        <v>24.39</v>
      </c>
      <c r="W186">
        <v>15</v>
      </c>
      <c r="X186">
        <v>111.88</v>
      </c>
      <c r="Y186">
        <v>90583</v>
      </c>
    </row>
    <row r="187" spans="1:25" x14ac:dyDescent="0.35">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1">
        <v>42128</v>
      </c>
      <c r="U187" s="1">
        <v>42130</v>
      </c>
      <c r="V187">
        <v>-4.6682999999999995</v>
      </c>
      <c r="W187">
        <v>20</v>
      </c>
      <c r="X187">
        <v>73.97</v>
      </c>
      <c r="Y187">
        <v>3332</v>
      </c>
    </row>
    <row r="188" spans="1:25" x14ac:dyDescent="0.35">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1">
        <v>42035</v>
      </c>
      <c r="U188" s="1">
        <v>42036</v>
      </c>
      <c r="V188">
        <v>11.650950000000002</v>
      </c>
      <c r="W188">
        <v>7</v>
      </c>
      <c r="X188">
        <v>111.86</v>
      </c>
      <c r="Y188">
        <v>88151</v>
      </c>
    </row>
    <row r="189" spans="1:25" x14ac:dyDescent="0.35">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1">
        <v>42128</v>
      </c>
      <c r="U189" s="1">
        <v>42130</v>
      </c>
      <c r="V189">
        <v>0.70200000000000085</v>
      </c>
      <c r="W189">
        <v>5</v>
      </c>
      <c r="X189">
        <v>18.489999999999998</v>
      </c>
      <c r="Y189">
        <v>88152</v>
      </c>
    </row>
    <row r="190" spans="1:25" x14ac:dyDescent="0.35">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1">
        <v>42164</v>
      </c>
      <c r="U190" s="1">
        <v>42166</v>
      </c>
      <c r="V190">
        <v>5.8624999999999998</v>
      </c>
      <c r="W190">
        <v>23</v>
      </c>
      <c r="X190">
        <v>212.89</v>
      </c>
      <c r="Y190">
        <v>17446</v>
      </c>
    </row>
    <row r="191" spans="1:25" x14ac:dyDescent="0.35">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1">
        <v>42006</v>
      </c>
      <c r="U191" s="1">
        <v>42008</v>
      </c>
      <c r="V191">
        <v>1916.6757</v>
      </c>
      <c r="W191">
        <v>54</v>
      </c>
      <c r="X191">
        <v>5555.6</v>
      </c>
      <c r="Y191">
        <v>11527</v>
      </c>
    </row>
    <row r="192" spans="1:25" x14ac:dyDescent="0.35">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1">
        <v>42164</v>
      </c>
      <c r="U192" s="1">
        <v>42166</v>
      </c>
      <c r="V192">
        <v>10.5</v>
      </c>
      <c r="W192">
        <v>6</v>
      </c>
      <c r="X192">
        <v>55.54</v>
      </c>
      <c r="Y192">
        <v>88685</v>
      </c>
    </row>
    <row r="193" spans="1:25" x14ac:dyDescent="0.35">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1">
        <v>42006</v>
      </c>
      <c r="U193" s="1">
        <v>42008</v>
      </c>
      <c r="V193">
        <v>993.83459999999991</v>
      </c>
      <c r="W193">
        <v>14</v>
      </c>
      <c r="X193">
        <v>1440.34</v>
      </c>
      <c r="Y193">
        <v>88686</v>
      </c>
    </row>
    <row r="194" spans="1:25" x14ac:dyDescent="0.35">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1">
        <v>42138</v>
      </c>
      <c r="U194" s="1">
        <v>42138</v>
      </c>
      <c r="V194">
        <v>-165.45</v>
      </c>
      <c r="W194">
        <v>17</v>
      </c>
      <c r="X194">
        <v>84.76</v>
      </c>
      <c r="Y194">
        <v>89647</v>
      </c>
    </row>
    <row r="195" spans="1:25" x14ac:dyDescent="0.35">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1">
        <v>42138</v>
      </c>
      <c r="U195" s="1">
        <v>42145</v>
      </c>
      <c r="V195">
        <v>-141.12</v>
      </c>
      <c r="W195">
        <v>16</v>
      </c>
      <c r="X195">
        <v>104.84</v>
      </c>
      <c r="Y195">
        <v>89647</v>
      </c>
    </row>
    <row r="196" spans="1:25" x14ac:dyDescent="0.35">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1">
        <v>42148</v>
      </c>
      <c r="U196" s="1">
        <v>42149</v>
      </c>
      <c r="V196">
        <v>1074.44</v>
      </c>
      <c r="W196">
        <v>14</v>
      </c>
      <c r="X196">
        <v>1714.93</v>
      </c>
      <c r="Y196">
        <v>91131</v>
      </c>
    </row>
    <row r="197" spans="1:25" x14ac:dyDescent="0.35">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1">
        <v>42013</v>
      </c>
      <c r="U197" s="1">
        <v>42020</v>
      </c>
      <c r="V197">
        <v>-627.82191999999998</v>
      </c>
      <c r="W197">
        <v>1</v>
      </c>
      <c r="X197">
        <v>107.95</v>
      </c>
      <c r="Y197">
        <v>91130</v>
      </c>
    </row>
    <row r="198" spans="1:25" x14ac:dyDescent="0.35">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1">
        <v>42021</v>
      </c>
      <c r="U198" s="1">
        <v>42023</v>
      </c>
      <c r="V198">
        <v>411.5172</v>
      </c>
      <c r="W198">
        <v>6</v>
      </c>
      <c r="X198">
        <v>1967.98</v>
      </c>
      <c r="Y198">
        <v>87347</v>
      </c>
    </row>
    <row r="199" spans="1:25" x14ac:dyDescent="0.35">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1">
        <v>42105</v>
      </c>
      <c r="U199" s="1">
        <v>42107</v>
      </c>
      <c r="V199">
        <v>211.232</v>
      </c>
      <c r="W199">
        <v>21</v>
      </c>
      <c r="X199">
        <v>394.1</v>
      </c>
      <c r="Y199">
        <v>90292</v>
      </c>
    </row>
    <row r="200" spans="1:25" x14ac:dyDescent="0.35">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1">
        <v>42151</v>
      </c>
      <c r="U200" s="1">
        <v>42153</v>
      </c>
      <c r="V200">
        <v>49.787999999999997</v>
      </c>
      <c r="W200">
        <v>15</v>
      </c>
      <c r="X200">
        <v>266.39</v>
      </c>
      <c r="Y200">
        <v>90291</v>
      </c>
    </row>
    <row r="201" spans="1:25" x14ac:dyDescent="0.35">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1">
        <v>42151</v>
      </c>
      <c r="U201" s="1">
        <v>42153</v>
      </c>
      <c r="V201">
        <v>-132.62950000000001</v>
      </c>
      <c r="W201">
        <v>9</v>
      </c>
      <c r="X201">
        <v>51.82</v>
      </c>
      <c r="Y201">
        <v>90291</v>
      </c>
    </row>
    <row r="202" spans="1:25" x14ac:dyDescent="0.35">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1">
        <v>42077</v>
      </c>
      <c r="U202" s="1">
        <v>42079</v>
      </c>
      <c r="V202">
        <v>-163.63</v>
      </c>
      <c r="W202">
        <v>45</v>
      </c>
      <c r="X202">
        <v>9539.6</v>
      </c>
      <c r="Y202">
        <v>24193</v>
      </c>
    </row>
    <row r="203" spans="1:25" x14ac:dyDescent="0.35">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1">
        <v>42077</v>
      </c>
      <c r="U203" s="1">
        <v>42078</v>
      </c>
      <c r="V203">
        <v>-63.87</v>
      </c>
      <c r="W203">
        <v>24</v>
      </c>
      <c r="X203">
        <v>109.86</v>
      </c>
      <c r="Y203">
        <v>24193</v>
      </c>
    </row>
    <row r="204" spans="1:25" x14ac:dyDescent="0.35">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1">
        <v>42077</v>
      </c>
      <c r="U204" s="1">
        <v>42079</v>
      </c>
      <c r="V204">
        <v>-175.17500000000001</v>
      </c>
      <c r="W204">
        <v>19</v>
      </c>
      <c r="X204">
        <v>1426.51</v>
      </c>
      <c r="Y204">
        <v>24193</v>
      </c>
    </row>
    <row r="205" spans="1:25" x14ac:dyDescent="0.35">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1">
        <v>42077</v>
      </c>
      <c r="U205" s="1">
        <v>42079</v>
      </c>
      <c r="V205">
        <v>-224.94779999999997</v>
      </c>
      <c r="W205">
        <v>11</v>
      </c>
      <c r="X205">
        <v>2331.9</v>
      </c>
      <c r="Y205">
        <v>90917</v>
      </c>
    </row>
    <row r="206" spans="1:25" x14ac:dyDescent="0.35">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1">
        <v>42077</v>
      </c>
      <c r="U206" s="1">
        <v>42078</v>
      </c>
      <c r="V206">
        <v>196.79999999999998</v>
      </c>
      <c r="W206">
        <v>6</v>
      </c>
      <c r="X206">
        <v>27.47</v>
      </c>
      <c r="Y206">
        <v>90917</v>
      </c>
    </row>
    <row r="207" spans="1:25" x14ac:dyDescent="0.35">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1">
        <v>42111</v>
      </c>
      <c r="U207" s="1">
        <v>42111</v>
      </c>
      <c r="V207">
        <v>250.03759999999997</v>
      </c>
      <c r="W207">
        <v>17</v>
      </c>
      <c r="X207">
        <v>460.87</v>
      </c>
      <c r="Y207">
        <v>89579</v>
      </c>
    </row>
    <row r="208" spans="1:25" x14ac:dyDescent="0.35">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1">
        <v>42125</v>
      </c>
      <c r="U208" s="1">
        <v>42125</v>
      </c>
      <c r="V208">
        <v>-539.59</v>
      </c>
      <c r="W208">
        <v>1</v>
      </c>
      <c r="X208">
        <v>394.51</v>
      </c>
      <c r="Y208">
        <v>88929</v>
      </c>
    </row>
    <row r="209" spans="1:25" x14ac:dyDescent="0.35">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1">
        <v>42082</v>
      </c>
      <c r="U209" s="1">
        <v>42082</v>
      </c>
      <c r="V209">
        <v>-82.822999999999993</v>
      </c>
      <c r="W209">
        <v>7</v>
      </c>
      <c r="X209">
        <v>38.65</v>
      </c>
      <c r="Y209">
        <v>88928</v>
      </c>
    </row>
    <row r="210" spans="1:25" x14ac:dyDescent="0.35">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1">
        <v>42082</v>
      </c>
      <c r="U210" s="1">
        <v>42084</v>
      </c>
      <c r="V210">
        <v>107.08200000000001</v>
      </c>
      <c r="W210">
        <v>5</v>
      </c>
      <c r="X210">
        <v>279.83</v>
      </c>
      <c r="Y210">
        <v>88928</v>
      </c>
    </row>
    <row r="211" spans="1:25" x14ac:dyDescent="0.35">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1">
        <v>42167</v>
      </c>
      <c r="U211" s="1">
        <v>42169</v>
      </c>
      <c r="V211">
        <v>-27.283750000000001</v>
      </c>
      <c r="W211">
        <v>15</v>
      </c>
      <c r="X211">
        <v>126.9</v>
      </c>
      <c r="Y211">
        <v>90339</v>
      </c>
    </row>
    <row r="212" spans="1:25" x14ac:dyDescent="0.35">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1">
        <v>42007</v>
      </c>
      <c r="U212" s="1">
        <v>42009</v>
      </c>
      <c r="V212">
        <v>-51.559199999999997</v>
      </c>
      <c r="W212">
        <v>4</v>
      </c>
      <c r="X212">
        <v>22.82</v>
      </c>
      <c r="Y212">
        <v>90337</v>
      </c>
    </row>
    <row r="213" spans="1:25" x14ac:dyDescent="0.35">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1">
        <v>42007</v>
      </c>
      <c r="U213" s="1">
        <v>42010</v>
      </c>
      <c r="V213">
        <v>-263.56572</v>
      </c>
      <c r="W213">
        <v>2</v>
      </c>
      <c r="X213">
        <v>188.66</v>
      </c>
      <c r="Y213">
        <v>90337</v>
      </c>
    </row>
    <row r="214" spans="1:25" x14ac:dyDescent="0.35">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1">
        <v>42041</v>
      </c>
      <c r="U214" s="1">
        <v>42045</v>
      </c>
      <c r="V214">
        <v>1273.2086999999999</v>
      </c>
      <c r="W214">
        <v>11</v>
      </c>
      <c r="X214">
        <v>1845.23</v>
      </c>
      <c r="Y214">
        <v>90338</v>
      </c>
    </row>
    <row r="215" spans="1:25" x14ac:dyDescent="0.35">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1">
        <v>42068</v>
      </c>
      <c r="U215" s="1">
        <v>42070</v>
      </c>
      <c r="V215">
        <v>-159.68</v>
      </c>
      <c r="W215">
        <v>1</v>
      </c>
      <c r="X215">
        <v>37.159999999999997</v>
      </c>
      <c r="Y215">
        <v>86383</v>
      </c>
    </row>
    <row r="216" spans="1:25" x14ac:dyDescent="0.35">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1">
        <v>42068</v>
      </c>
      <c r="U216" s="1">
        <v>42071</v>
      </c>
      <c r="V216">
        <v>27.91</v>
      </c>
      <c r="W216">
        <v>2</v>
      </c>
      <c r="X216">
        <v>43.65</v>
      </c>
      <c r="Y216">
        <v>86383</v>
      </c>
    </row>
    <row r="217" spans="1:25" x14ac:dyDescent="0.35">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1">
        <v>42050</v>
      </c>
      <c r="U217" s="1">
        <v>42057</v>
      </c>
      <c r="V217">
        <v>-81.77</v>
      </c>
      <c r="W217">
        <v>3</v>
      </c>
      <c r="X217">
        <v>31.44</v>
      </c>
      <c r="Y217">
        <v>86382</v>
      </c>
    </row>
    <row r="218" spans="1:25" x14ac:dyDescent="0.35">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1">
        <v>42173</v>
      </c>
      <c r="U218" s="1">
        <v>42174</v>
      </c>
      <c r="V218">
        <v>-19.208000000000002</v>
      </c>
      <c r="W218">
        <v>4</v>
      </c>
      <c r="X218">
        <v>64.59</v>
      </c>
      <c r="Y218">
        <v>86384</v>
      </c>
    </row>
    <row r="219" spans="1:25" x14ac:dyDescent="0.35">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1">
        <v>42173</v>
      </c>
      <c r="U219" s="1">
        <v>42175</v>
      </c>
      <c r="V219">
        <v>7.4399999999999995</v>
      </c>
      <c r="W219">
        <v>20</v>
      </c>
      <c r="X219">
        <v>461.94</v>
      </c>
      <c r="Y219">
        <v>86384</v>
      </c>
    </row>
    <row r="220" spans="1:25" x14ac:dyDescent="0.35">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1">
        <v>42037</v>
      </c>
      <c r="U220" s="1">
        <v>42038</v>
      </c>
      <c r="V220">
        <v>-372.48597100000006</v>
      </c>
      <c r="W220">
        <v>8</v>
      </c>
      <c r="X220">
        <v>1216.32</v>
      </c>
      <c r="Y220">
        <v>89319</v>
      </c>
    </row>
    <row r="221" spans="1:25" x14ac:dyDescent="0.35">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1">
        <v>42147</v>
      </c>
      <c r="U221" s="1">
        <v>42149</v>
      </c>
      <c r="V221">
        <v>1372.6307999999999</v>
      </c>
      <c r="W221">
        <v>31</v>
      </c>
      <c r="X221">
        <v>1989.32</v>
      </c>
      <c r="Y221">
        <v>89320</v>
      </c>
    </row>
    <row r="222" spans="1:25" x14ac:dyDescent="0.35">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1">
        <v>42145</v>
      </c>
      <c r="U222" s="1">
        <v>42146</v>
      </c>
      <c r="V222">
        <v>50.2044</v>
      </c>
      <c r="W222">
        <v>15</v>
      </c>
      <c r="X222">
        <v>72.760000000000005</v>
      </c>
      <c r="Y222">
        <v>87804</v>
      </c>
    </row>
    <row r="223" spans="1:25" x14ac:dyDescent="0.35">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1">
        <v>42126</v>
      </c>
      <c r="U223" s="1">
        <v>42130</v>
      </c>
      <c r="V223">
        <v>236.2371</v>
      </c>
      <c r="W223">
        <v>14</v>
      </c>
      <c r="X223">
        <v>400.47</v>
      </c>
      <c r="Y223">
        <v>89639</v>
      </c>
    </row>
    <row r="224" spans="1:25" x14ac:dyDescent="0.35">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1">
        <v>42128</v>
      </c>
      <c r="U224" s="1">
        <v>42131</v>
      </c>
      <c r="V224">
        <v>943</v>
      </c>
      <c r="W224">
        <v>9</v>
      </c>
      <c r="X224">
        <v>1531.31</v>
      </c>
      <c r="Y224">
        <v>87905</v>
      </c>
    </row>
    <row r="225" spans="1:25" x14ac:dyDescent="0.35">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1">
        <v>42041</v>
      </c>
      <c r="U225" s="1">
        <v>42043</v>
      </c>
      <c r="V225">
        <v>-2531.4825000000001</v>
      </c>
      <c r="W225">
        <v>1</v>
      </c>
      <c r="X225">
        <v>919.09</v>
      </c>
      <c r="Y225">
        <v>87700</v>
      </c>
    </row>
    <row r="226" spans="1:25" x14ac:dyDescent="0.35">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1">
        <v>42019</v>
      </c>
      <c r="U226" s="1">
        <v>42020</v>
      </c>
      <c r="V226">
        <v>163.1574</v>
      </c>
      <c r="W226">
        <v>15</v>
      </c>
      <c r="X226">
        <v>236.46</v>
      </c>
      <c r="Y226">
        <v>88479</v>
      </c>
    </row>
    <row r="227" spans="1:25" x14ac:dyDescent="0.35">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1">
        <v>42019</v>
      </c>
      <c r="U227" s="1">
        <v>42020</v>
      </c>
      <c r="V227">
        <v>-302.22500000000002</v>
      </c>
      <c r="W227">
        <v>1</v>
      </c>
      <c r="X227">
        <v>73.819999999999993</v>
      </c>
      <c r="Y227">
        <v>88479</v>
      </c>
    </row>
    <row r="228" spans="1:25" x14ac:dyDescent="0.35">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1">
        <v>42066</v>
      </c>
      <c r="U228" s="1">
        <v>42068</v>
      </c>
      <c r="V228">
        <v>90.62</v>
      </c>
      <c r="W228">
        <v>22</v>
      </c>
      <c r="X228">
        <v>243.11</v>
      </c>
      <c r="Y228">
        <v>88480</v>
      </c>
    </row>
    <row r="229" spans="1:25" x14ac:dyDescent="0.35">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1">
        <v>42177</v>
      </c>
      <c r="U229" s="1">
        <v>42182</v>
      </c>
      <c r="V229">
        <v>427.11840000000001</v>
      </c>
      <c r="W229">
        <v>9</v>
      </c>
      <c r="X229">
        <v>952.26</v>
      </c>
      <c r="Y229">
        <v>90695</v>
      </c>
    </row>
    <row r="230" spans="1:25" x14ac:dyDescent="0.35">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1">
        <v>42149</v>
      </c>
      <c r="U230" s="1">
        <v>42152</v>
      </c>
      <c r="V230">
        <v>86.438000000000002</v>
      </c>
      <c r="W230">
        <v>43</v>
      </c>
      <c r="X230">
        <v>355.92</v>
      </c>
      <c r="Y230">
        <v>88085</v>
      </c>
    </row>
    <row r="231" spans="1:25" x14ac:dyDescent="0.35">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1">
        <v>42105</v>
      </c>
      <c r="U231" s="1">
        <v>42107</v>
      </c>
      <c r="V231">
        <v>-4.4599999999999937</v>
      </c>
      <c r="W231">
        <v>2</v>
      </c>
      <c r="X231">
        <v>101.71</v>
      </c>
      <c r="Y231">
        <v>88083</v>
      </c>
    </row>
    <row r="232" spans="1:25" x14ac:dyDescent="0.35">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1">
        <v>42178</v>
      </c>
      <c r="U232" s="1">
        <v>42179</v>
      </c>
      <c r="V232">
        <v>-512.87200000000007</v>
      </c>
      <c r="W232">
        <v>9</v>
      </c>
      <c r="X232">
        <v>1766.68</v>
      </c>
      <c r="Y232">
        <v>88084</v>
      </c>
    </row>
    <row r="233" spans="1:25" x14ac:dyDescent="0.35">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1">
        <v>42178</v>
      </c>
      <c r="U233" s="1">
        <v>42179</v>
      </c>
      <c r="V233">
        <v>-3.7840000000000003</v>
      </c>
      <c r="W233">
        <v>11</v>
      </c>
      <c r="X233">
        <v>29.02</v>
      </c>
      <c r="Y233">
        <v>88084</v>
      </c>
    </row>
    <row r="234" spans="1:25" x14ac:dyDescent="0.35">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1">
        <v>42180</v>
      </c>
      <c r="U234" s="1">
        <v>42183</v>
      </c>
      <c r="V234">
        <v>-82.903999999999996</v>
      </c>
      <c r="W234">
        <v>1</v>
      </c>
      <c r="X234">
        <v>159.51</v>
      </c>
      <c r="Y234">
        <v>90449</v>
      </c>
    </row>
    <row r="235" spans="1:25" x14ac:dyDescent="0.35">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1">
        <v>42180</v>
      </c>
      <c r="U235" s="1">
        <v>42180</v>
      </c>
      <c r="V235">
        <v>1268.8064999999999</v>
      </c>
      <c r="W235">
        <v>11</v>
      </c>
      <c r="X235">
        <v>1838.85</v>
      </c>
      <c r="Y235">
        <v>90449</v>
      </c>
    </row>
    <row r="236" spans="1:25" x14ac:dyDescent="0.35">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1">
        <v>42104</v>
      </c>
      <c r="U236" s="1">
        <v>42105</v>
      </c>
      <c r="V236">
        <v>-53.296199999999999</v>
      </c>
      <c r="W236">
        <v>2</v>
      </c>
      <c r="X236">
        <v>35.479999999999997</v>
      </c>
      <c r="Y236">
        <v>86010</v>
      </c>
    </row>
    <row r="237" spans="1:25" x14ac:dyDescent="0.35">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1">
        <v>42151</v>
      </c>
      <c r="U237" s="1">
        <v>42152</v>
      </c>
      <c r="V237">
        <v>299.6739</v>
      </c>
      <c r="W237">
        <v>12</v>
      </c>
      <c r="X237">
        <v>434.31</v>
      </c>
      <c r="Y237">
        <v>86012</v>
      </c>
    </row>
    <row r="238" spans="1:25" x14ac:dyDescent="0.35">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1">
        <v>42009</v>
      </c>
      <c r="U238" s="1">
        <v>42014</v>
      </c>
      <c r="V238">
        <v>-15.456</v>
      </c>
      <c r="W238">
        <v>2</v>
      </c>
      <c r="X238">
        <v>19.86</v>
      </c>
      <c r="Y238">
        <v>86013</v>
      </c>
    </row>
    <row r="239" spans="1:25" x14ac:dyDescent="0.35">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1">
        <v>42009</v>
      </c>
      <c r="U239" s="1">
        <v>42018</v>
      </c>
      <c r="V239">
        <v>16.049399999999999</v>
      </c>
      <c r="W239">
        <v>8</v>
      </c>
      <c r="X239">
        <v>23.26</v>
      </c>
      <c r="Y239">
        <v>86013</v>
      </c>
    </row>
    <row r="240" spans="1:25" x14ac:dyDescent="0.35">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1">
        <v>42151</v>
      </c>
      <c r="U240" s="1">
        <v>42152</v>
      </c>
      <c r="V240">
        <v>-235.89500000000001</v>
      </c>
      <c r="W240">
        <v>1</v>
      </c>
      <c r="X240">
        <v>51.83</v>
      </c>
      <c r="Y240">
        <v>86012</v>
      </c>
    </row>
    <row r="241" spans="1:25" x14ac:dyDescent="0.35">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1">
        <v>42132</v>
      </c>
      <c r="U241" s="1">
        <v>42134</v>
      </c>
      <c r="V241">
        <v>-41.32</v>
      </c>
      <c r="W241">
        <v>1</v>
      </c>
      <c r="X241">
        <v>32.4</v>
      </c>
      <c r="Y241">
        <v>86011</v>
      </c>
    </row>
    <row r="242" spans="1:25" x14ac:dyDescent="0.35">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1">
        <v>42147</v>
      </c>
      <c r="U242" s="1">
        <v>42154</v>
      </c>
      <c r="V242">
        <v>7.9000000000000057</v>
      </c>
      <c r="W242">
        <v>31</v>
      </c>
      <c r="X242">
        <v>492.9</v>
      </c>
      <c r="Y242">
        <v>86014</v>
      </c>
    </row>
    <row r="243" spans="1:25" x14ac:dyDescent="0.35">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1">
        <v>42018</v>
      </c>
      <c r="U243" s="1">
        <v>42020</v>
      </c>
      <c r="V243">
        <v>521.69000000000005</v>
      </c>
      <c r="W243">
        <v>7</v>
      </c>
      <c r="X243">
        <v>1081.54</v>
      </c>
      <c r="Y243">
        <v>88061</v>
      </c>
    </row>
    <row r="244" spans="1:25" x14ac:dyDescent="0.35">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1">
        <v>42015</v>
      </c>
      <c r="U244" s="1">
        <v>42015</v>
      </c>
      <c r="V244">
        <v>496.79679999999996</v>
      </c>
      <c r="W244">
        <v>5</v>
      </c>
      <c r="X244">
        <v>1132.8399999999999</v>
      </c>
      <c r="Y244">
        <v>88060</v>
      </c>
    </row>
    <row r="245" spans="1:25" x14ac:dyDescent="0.35">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1">
        <v>42015</v>
      </c>
      <c r="U245" s="1">
        <v>42016</v>
      </c>
      <c r="V245">
        <v>-556.80960000000005</v>
      </c>
      <c r="W245">
        <v>11</v>
      </c>
      <c r="X245">
        <v>143.63</v>
      </c>
      <c r="Y245">
        <v>88060</v>
      </c>
    </row>
    <row r="246" spans="1:25" x14ac:dyDescent="0.35">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1">
        <v>42015</v>
      </c>
      <c r="U246" s="1">
        <v>42016</v>
      </c>
      <c r="V246">
        <v>-27.738800000000001</v>
      </c>
      <c r="W246">
        <v>5</v>
      </c>
      <c r="X246">
        <v>73.040000000000006</v>
      </c>
      <c r="Y246">
        <v>88060</v>
      </c>
    </row>
    <row r="247" spans="1:25" x14ac:dyDescent="0.35">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1">
        <v>42015</v>
      </c>
      <c r="U247" s="1">
        <v>42017</v>
      </c>
      <c r="V247">
        <v>-128.68719999999999</v>
      </c>
      <c r="W247">
        <v>7</v>
      </c>
      <c r="X247">
        <v>33.35</v>
      </c>
      <c r="Y247">
        <v>88060</v>
      </c>
    </row>
    <row r="248" spans="1:25" x14ac:dyDescent="0.35">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1">
        <v>42015</v>
      </c>
      <c r="U248" s="1">
        <v>42015</v>
      </c>
      <c r="V248">
        <v>23.2028</v>
      </c>
      <c r="W248">
        <v>5</v>
      </c>
      <c r="X248">
        <v>60.24</v>
      </c>
      <c r="Y248">
        <v>88060</v>
      </c>
    </row>
    <row r="249" spans="1:25" x14ac:dyDescent="0.35">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1">
        <v>42043</v>
      </c>
      <c r="U249" s="1">
        <v>42043</v>
      </c>
      <c r="V249">
        <v>-568.53510000000006</v>
      </c>
      <c r="W249">
        <v>4</v>
      </c>
      <c r="X249">
        <v>718.03</v>
      </c>
      <c r="Y249">
        <v>3138</v>
      </c>
    </row>
    <row r="250" spans="1:25" x14ac:dyDescent="0.35">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1">
        <v>42043</v>
      </c>
      <c r="U250" s="1">
        <v>42043</v>
      </c>
      <c r="V250">
        <v>-427.47</v>
      </c>
      <c r="W250">
        <v>1</v>
      </c>
      <c r="X250">
        <v>179.51</v>
      </c>
      <c r="Y250">
        <v>88023</v>
      </c>
    </row>
    <row r="251" spans="1:25" x14ac:dyDescent="0.35">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1">
        <v>42031</v>
      </c>
      <c r="U251" s="1">
        <v>42032</v>
      </c>
      <c r="V251">
        <v>-18.190000000000001</v>
      </c>
      <c r="W251">
        <v>6</v>
      </c>
      <c r="X251">
        <v>73.180000000000007</v>
      </c>
      <c r="Y251">
        <v>90353</v>
      </c>
    </row>
    <row r="252" spans="1:25" x14ac:dyDescent="0.35">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1">
        <v>42117</v>
      </c>
      <c r="U252" s="1">
        <v>42118</v>
      </c>
      <c r="V252">
        <v>-24.057540000000003</v>
      </c>
      <c r="W252">
        <v>2</v>
      </c>
      <c r="X252">
        <v>8.82</v>
      </c>
      <c r="Y252">
        <v>90354</v>
      </c>
    </row>
    <row r="253" spans="1:25" x14ac:dyDescent="0.35">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1">
        <v>42117</v>
      </c>
      <c r="U253" s="1">
        <v>42119</v>
      </c>
      <c r="V253">
        <v>2583.5614799999998</v>
      </c>
      <c r="W253">
        <v>9</v>
      </c>
      <c r="X253">
        <v>5976.09</v>
      </c>
      <c r="Y253">
        <v>90354</v>
      </c>
    </row>
    <row r="254" spans="1:25" x14ac:dyDescent="0.35">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1">
        <v>42081</v>
      </c>
      <c r="U254" s="1">
        <v>42083</v>
      </c>
      <c r="V254">
        <v>6.0512999999999995</v>
      </c>
      <c r="W254">
        <v>3</v>
      </c>
      <c r="X254">
        <v>8.77</v>
      </c>
      <c r="Y254">
        <v>91062</v>
      </c>
    </row>
    <row r="255" spans="1:25" x14ac:dyDescent="0.35">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1">
        <v>42142</v>
      </c>
      <c r="U255" s="1">
        <v>42143</v>
      </c>
      <c r="V255">
        <v>-67.0565</v>
      </c>
      <c r="W255">
        <v>5</v>
      </c>
      <c r="X255">
        <v>20.87</v>
      </c>
      <c r="Y255">
        <v>91063</v>
      </c>
    </row>
    <row r="256" spans="1:25" x14ac:dyDescent="0.35">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1">
        <v>42142</v>
      </c>
      <c r="U256" s="1">
        <v>42144</v>
      </c>
      <c r="V256">
        <v>-7.94</v>
      </c>
      <c r="W256">
        <v>2</v>
      </c>
      <c r="X256">
        <v>25.7</v>
      </c>
      <c r="Y256">
        <v>91063</v>
      </c>
    </row>
    <row r="257" spans="1:25" x14ac:dyDescent="0.35">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1">
        <v>42142</v>
      </c>
      <c r="U257" s="1">
        <v>42142</v>
      </c>
      <c r="V257">
        <v>122.292</v>
      </c>
      <c r="W257">
        <v>14</v>
      </c>
      <c r="X257">
        <v>229.57</v>
      </c>
      <c r="Y257">
        <v>91063</v>
      </c>
    </row>
    <row r="258" spans="1:25" x14ac:dyDescent="0.35">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1">
        <v>42139</v>
      </c>
      <c r="U258" s="1">
        <v>42141</v>
      </c>
      <c r="V258">
        <v>-2.12</v>
      </c>
      <c r="W258">
        <v>23</v>
      </c>
      <c r="X258">
        <v>66.7</v>
      </c>
      <c r="Y258">
        <v>8353</v>
      </c>
    </row>
    <row r="259" spans="1:25" x14ac:dyDescent="0.35">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1">
        <v>42045</v>
      </c>
      <c r="U259" s="1">
        <v>42046</v>
      </c>
      <c r="V259">
        <v>-69.069999999999993</v>
      </c>
      <c r="W259">
        <v>41</v>
      </c>
      <c r="X259">
        <v>217</v>
      </c>
      <c r="Y259">
        <v>10464</v>
      </c>
    </row>
    <row r="260" spans="1:25" x14ac:dyDescent="0.35">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1">
        <v>42175</v>
      </c>
      <c r="U260" s="1">
        <v>42177</v>
      </c>
      <c r="V260">
        <v>2028.12</v>
      </c>
      <c r="W260">
        <v>22</v>
      </c>
      <c r="X260">
        <v>31670.6</v>
      </c>
      <c r="Y260">
        <v>6562</v>
      </c>
    </row>
    <row r="261" spans="1:25" x14ac:dyDescent="0.35">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1">
        <v>42175</v>
      </c>
      <c r="U261" s="1">
        <v>42177</v>
      </c>
      <c r="V261">
        <v>-63.51</v>
      </c>
      <c r="W261">
        <v>24</v>
      </c>
      <c r="X261">
        <v>239.82</v>
      </c>
      <c r="Y261">
        <v>42852</v>
      </c>
    </row>
    <row r="262" spans="1:25" x14ac:dyDescent="0.35">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1">
        <v>42024</v>
      </c>
      <c r="U262" s="1">
        <v>42026</v>
      </c>
      <c r="V262">
        <v>-92.05</v>
      </c>
      <c r="W262">
        <v>10</v>
      </c>
      <c r="X262">
        <v>66.709999999999994</v>
      </c>
      <c r="Y262">
        <v>88906</v>
      </c>
    </row>
    <row r="263" spans="1:25" x14ac:dyDescent="0.35">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1">
        <v>42024</v>
      </c>
      <c r="U263" s="1">
        <v>42025</v>
      </c>
      <c r="V263">
        <v>6.11</v>
      </c>
      <c r="W263">
        <v>5</v>
      </c>
      <c r="X263">
        <v>87.16</v>
      </c>
      <c r="Y263">
        <v>88906</v>
      </c>
    </row>
    <row r="264" spans="1:25" x14ac:dyDescent="0.35">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1">
        <v>42139</v>
      </c>
      <c r="U264" s="1">
        <v>42141</v>
      </c>
      <c r="V264">
        <v>-36.630000000000003</v>
      </c>
      <c r="W264">
        <v>12</v>
      </c>
      <c r="X264">
        <v>101.26</v>
      </c>
      <c r="Y264">
        <v>88905</v>
      </c>
    </row>
    <row r="265" spans="1:25" x14ac:dyDescent="0.35">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1">
        <v>42139</v>
      </c>
      <c r="U265" s="1">
        <v>42141</v>
      </c>
      <c r="V265">
        <v>-2.12</v>
      </c>
      <c r="W265">
        <v>6</v>
      </c>
      <c r="X265">
        <v>17.399999999999999</v>
      </c>
      <c r="Y265">
        <v>88905</v>
      </c>
    </row>
    <row r="266" spans="1:25" x14ac:dyDescent="0.35">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1">
        <v>42045</v>
      </c>
      <c r="U266" s="1">
        <v>42046</v>
      </c>
      <c r="V266">
        <v>-35.916399999999996</v>
      </c>
      <c r="W266">
        <v>10</v>
      </c>
      <c r="X266">
        <v>52.93</v>
      </c>
      <c r="Y266">
        <v>88907</v>
      </c>
    </row>
    <row r="267" spans="1:25" x14ac:dyDescent="0.35">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1">
        <v>42175</v>
      </c>
      <c r="U267" s="1">
        <v>42177</v>
      </c>
      <c r="V267">
        <v>3042.18</v>
      </c>
      <c r="W267">
        <v>6</v>
      </c>
      <c r="X267">
        <v>8637.44</v>
      </c>
      <c r="Y267">
        <v>88908</v>
      </c>
    </row>
    <row r="268" spans="1:25" x14ac:dyDescent="0.35">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1">
        <v>42175</v>
      </c>
      <c r="U268" s="1">
        <v>42177</v>
      </c>
      <c r="V268">
        <v>-31.754999999999999</v>
      </c>
      <c r="W268">
        <v>6</v>
      </c>
      <c r="X268">
        <v>59.95</v>
      </c>
      <c r="Y268">
        <v>88908</v>
      </c>
    </row>
    <row r="269" spans="1:25" x14ac:dyDescent="0.35">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1">
        <v>42138</v>
      </c>
      <c r="U269" s="1">
        <v>42140</v>
      </c>
      <c r="V269">
        <v>171.83879999999999</v>
      </c>
      <c r="W269">
        <v>35</v>
      </c>
      <c r="X269">
        <v>5062.49</v>
      </c>
      <c r="Y269">
        <v>90706</v>
      </c>
    </row>
    <row r="270" spans="1:25" x14ac:dyDescent="0.35">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1">
        <v>42112</v>
      </c>
      <c r="U270" s="1">
        <v>42114</v>
      </c>
      <c r="V270">
        <v>32.940899999999999</v>
      </c>
      <c r="W270">
        <v>11</v>
      </c>
      <c r="X270">
        <v>646.97</v>
      </c>
      <c r="Y270">
        <v>87357</v>
      </c>
    </row>
    <row r="271" spans="1:25" x14ac:dyDescent="0.35">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1">
        <v>42112</v>
      </c>
      <c r="U271" s="1">
        <v>42113</v>
      </c>
      <c r="V271">
        <v>131.334</v>
      </c>
      <c r="W271">
        <v>17</v>
      </c>
      <c r="X271">
        <v>946.29</v>
      </c>
      <c r="Y271">
        <v>87357</v>
      </c>
    </row>
    <row r="272" spans="1:25" x14ac:dyDescent="0.35">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1">
        <v>42058</v>
      </c>
      <c r="U272" s="1">
        <v>42058</v>
      </c>
      <c r="V272">
        <v>-282.08179999999999</v>
      </c>
      <c r="W272">
        <v>5</v>
      </c>
      <c r="X272">
        <v>123</v>
      </c>
      <c r="Y272">
        <v>87356</v>
      </c>
    </row>
    <row r="273" spans="1:25" x14ac:dyDescent="0.35">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1">
        <v>42112</v>
      </c>
      <c r="U273" s="1">
        <v>42115</v>
      </c>
      <c r="V273">
        <v>140.1354</v>
      </c>
      <c r="W273">
        <v>4</v>
      </c>
      <c r="X273">
        <v>554.08000000000004</v>
      </c>
      <c r="Y273">
        <v>87357</v>
      </c>
    </row>
    <row r="274" spans="1:25" x14ac:dyDescent="0.35">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1">
        <v>42017</v>
      </c>
      <c r="U274" s="1">
        <v>42017</v>
      </c>
      <c r="V274">
        <v>105.25259999999999</v>
      </c>
      <c r="W274">
        <v>3</v>
      </c>
      <c r="X274">
        <v>152.54</v>
      </c>
      <c r="Y274">
        <v>90058</v>
      </c>
    </row>
    <row r="275" spans="1:25" x14ac:dyDescent="0.35">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1">
        <v>42036</v>
      </c>
      <c r="U275" s="1">
        <v>42037</v>
      </c>
      <c r="V275">
        <v>-29.092700000000001</v>
      </c>
      <c r="W275">
        <v>14</v>
      </c>
      <c r="X275">
        <v>89.79</v>
      </c>
      <c r="Y275">
        <v>90059</v>
      </c>
    </row>
    <row r="276" spans="1:25" x14ac:dyDescent="0.35">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1">
        <v>42160</v>
      </c>
      <c r="U276" s="1">
        <v>42167</v>
      </c>
      <c r="V276">
        <v>113.41499999999999</v>
      </c>
      <c r="W276">
        <v>16</v>
      </c>
      <c r="X276">
        <v>199.76</v>
      </c>
      <c r="Y276">
        <v>90867</v>
      </c>
    </row>
    <row r="277" spans="1:25" x14ac:dyDescent="0.35">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1">
        <v>42177</v>
      </c>
      <c r="U277" s="1">
        <v>42179</v>
      </c>
      <c r="V277">
        <v>26.099999999999998</v>
      </c>
      <c r="W277">
        <v>3</v>
      </c>
      <c r="X277">
        <v>480.37</v>
      </c>
      <c r="Y277">
        <v>89327</v>
      </c>
    </row>
    <row r="278" spans="1:25" x14ac:dyDescent="0.35">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1">
        <v>42177</v>
      </c>
      <c r="U278" s="1">
        <v>42179</v>
      </c>
      <c r="V278">
        <v>-2.58</v>
      </c>
      <c r="W278">
        <v>1</v>
      </c>
      <c r="X278">
        <v>5.76</v>
      </c>
      <c r="Y278">
        <v>89327</v>
      </c>
    </row>
    <row r="279" spans="1:25" x14ac:dyDescent="0.35">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1">
        <v>42177</v>
      </c>
      <c r="U279" s="1">
        <v>42178</v>
      </c>
      <c r="V279">
        <v>2800.12</v>
      </c>
      <c r="W279">
        <v>21</v>
      </c>
      <c r="X279">
        <v>3112.13</v>
      </c>
      <c r="Y279">
        <v>89327</v>
      </c>
    </row>
    <row r="280" spans="1:25" x14ac:dyDescent="0.35">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1">
        <v>42024</v>
      </c>
      <c r="U280" s="1">
        <v>42026</v>
      </c>
      <c r="V280">
        <v>363.55199999999996</v>
      </c>
      <c r="W280">
        <v>2</v>
      </c>
      <c r="X280">
        <v>2589.0100000000002</v>
      </c>
      <c r="Y280">
        <v>91127</v>
      </c>
    </row>
    <row r="281" spans="1:25" x14ac:dyDescent="0.35">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1">
        <v>42024</v>
      </c>
      <c r="U281" s="1">
        <v>42026</v>
      </c>
      <c r="V281">
        <v>-11.536000000000001</v>
      </c>
      <c r="W281">
        <v>1</v>
      </c>
      <c r="X281">
        <v>1893.93</v>
      </c>
      <c r="Y281">
        <v>91127</v>
      </c>
    </row>
    <row r="282" spans="1:25" x14ac:dyDescent="0.35">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1">
        <v>42149</v>
      </c>
      <c r="U282" s="1">
        <v>42151</v>
      </c>
      <c r="V282">
        <v>-6.6120000000000108</v>
      </c>
      <c r="W282">
        <v>12</v>
      </c>
      <c r="X282">
        <v>211.13</v>
      </c>
      <c r="Y282">
        <v>90026</v>
      </c>
    </row>
    <row r="283" spans="1:25" x14ac:dyDescent="0.35">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1">
        <v>42021</v>
      </c>
      <c r="U283" s="1">
        <v>42022</v>
      </c>
      <c r="V283">
        <v>-15.5595</v>
      </c>
      <c r="W283">
        <v>13</v>
      </c>
      <c r="X283">
        <v>25.39</v>
      </c>
      <c r="Y283">
        <v>90027</v>
      </c>
    </row>
    <row r="284" spans="1:25" x14ac:dyDescent="0.35">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1">
        <v>42021</v>
      </c>
      <c r="U284" s="1">
        <v>42022</v>
      </c>
      <c r="V284">
        <v>-108.19</v>
      </c>
      <c r="W284">
        <v>15</v>
      </c>
      <c r="X284">
        <v>87.27</v>
      </c>
      <c r="Y284">
        <v>90027</v>
      </c>
    </row>
    <row r="285" spans="1:25" x14ac:dyDescent="0.35">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1">
        <v>42115</v>
      </c>
      <c r="U285" s="1">
        <v>42119</v>
      </c>
      <c r="V285">
        <v>46.488</v>
      </c>
      <c r="W285">
        <v>23</v>
      </c>
      <c r="X285">
        <v>403.25</v>
      </c>
      <c r="Y285">
        <v>88511</v>
      </c>
    </row>
    <row r="286" spans="1:25" x14ac:dyDescent="0.35">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1">
        <v>42138</v>
      </c>
      <c r="U286" s="1">
        <v>42139</v>
      </c>
      <c r="V286">
        <v>159.52970000000005</v>
      </c>
      <c r="W286">
        <v>7</v>
      </c>
      <c r="X286">
        <v>414.49</v>
      </c>
      <c r="Y286">
        <v>91174</v>
      </c>
    </row>
    <row r="287" spans="1:25" x14ac:dyDescent="0.35">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1">
        <v>42138</v>
      </c>
      <c r="U287" s="1">
        <v>42140</v>
      </c>
      <c r="V287">
        <v>15.371400000000008</v>
      </c>
      <c r="W287">
        <v>28</v>
      </c>
      <c r="X287">
        <v>469.69</v>
      </c>
      <c r="Y287">
        <v>91174</v>
      </c>
    </row>
    <row r="288" spans="1:25" x14ac:dyDescent="0.35">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1">
        <v>42147</v>
      </c>
      <c r="U288" s="1">
        <v>42149</v>
      </c>
      <c r="V288">
        <v>5924.1122999999998</v>
      </c>
      <c r="W288">
        <v>41</v>
      </c>
      <c r="X288">
        <v>8585.67</v>
      </c>
      <c r="Y288">
        <v>91175</v>
      </c>
    </row>
    <row r="289" spans="1:25" x14ac:dyDescent="0.35">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1">
        <v>42169</v>
      </c>
      <c r="U289" s="1">
        <v>42170</v>
      </c>
      <c r="V289">
        <v>39.585299999999997</v>
      </c>
      <c r="W289">
        <v>4</v>
      </c>
      <c r="X289">
        <v>57.37</v>
      </c>
      <c r="Y289">
        <v>86250</v>
      </c>
    </row>
    <row r="290" spans="1:25" x14ac:dyDescent="0.35">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1">
        <v>42024</v>
      </c>
      <c r="U290" s="1">
        <v>42024</v>
      </c>
      <c r="V290">
        <v>-66.378</v>
      </c>
      <c r="W290">
        <v>9</v>
      </c>
      <c r="X290">
        <v>66.319999999999993</v>
      </c>
      <c r="Y290">
        <v>90908</v>
      </c>
    </row>
    <row r="291" spans="1:25" x14ac:dyDescent="0.35">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1">
        <v>42034</v>
      </c>
      <c r="U291" s="1">
        <v>42035</v>
      </c>
      <c r="V291">
        <v>-33.340000000000003</v>
      </c>
      <c r="W291">
        <v>11</v>
      </c>
      <c r="X291">
        <v>18.75</v>
      </c>
      <c r="Y291">
        <v>90909</v>
      </c>
    </row>
    <row r="292" spans="1:25" x14ac:dyDescent="0.35">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1">
        <v>42034</v>
      </c>
      <c r="U292" s="1">
        <v>42036</v>
      </c>
      <c r="V292">
        <v>-201.27599999999998</v>
      </c>
      <c r="W292">
        <v>1</v>
      </c>
      <c r="X292">
        <v>188.51</v>
      </c>
      <c r="Y292">
        <v>90909</v>
      </c>
    </row>
    <row r="293" spans="1:25" x14ac:dyDescent="0.35">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1">
        <v>42167</v>
      </c>
      <c r="U293" s="1">
        <v>42168</v>
      </c>
      <c r="V293">
        <v>4637.4071999999996</v>
      </c>
      <c r="W293">
        <v>13</v>
      </c>
      <c r="X293">
        <v>6720.88</v>
      </c>
      <c r="Y293">
        <v>90910</v>
      </c>
    </row>
    <row r="294" spans="1:25" x14ac:dyDescent="0.35">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1">
        <v>42167</v>
      </c>
      <c r="U294" s="1">
        <v>42168</v>
      </c>
      <c r="V294">
        <v>-239.54149999999998</v>
      </c>
      <c r="W294">
        <v>1</v>
      </c>
      <c r="X294">
        <v>102.21</v>
      </c>
      <c r="Y294">
        <v>90910</v>
      </c>
    </row>
    <row r="295" spans="1:25" x14ac:dyDescent="0.35">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1">
        <v>42034</v>
      </c>
      <c r="U295" s="1">
        <v>42036</v>
      </c>
      <c r="V295">
        <v>21.514199999999999</v>
      </c>
      <c r="W295">
        <v>2</v>
      </c>
      <c r="X295">
        <v>31.18</v>
      </c>
      <c r="Y295">
        <v>90909</v>
      </c>
    </row>
    <row r="296" spans="1:25" x14ac:dyDescent="0.35">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1">
        <v>42032</v>
      </c>
      <c r="U296" s="1">
        <v>42033</v>
      </c>
      <c r="V296">
        <v>34.068000000000005</v>
      </c>
      <c r="W296">
        <v>36</v>
      </c>
      <c r="X296">
        <v>267.52999999999997</v>
      </c>
      <c r="Y296">
        <v>17155</v>
      </c>
    </row>
    <row r="297" spans="1:25" x14ac:dyDescent="0.35">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1">
        <v>42056</v>
      </c>
      <c r="U297" s="1">
        <v>42056</v>
      </c>
      <c r="V297">
        <v>4073.25</v>
      </c>
      <c r="W297">
        <v>25</v>
      </c>
      <c r="X297">
        <v>43046.2</v>
      </c>
      <c r="Y297">
        <v>2433</v>
      </c>
    </row>
    <row r="298" spans="1:25" x14ac:dyDescent="0.35">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1">
        <v>42109</v>
      </c>
      <c r="U298" s="1">
        <v>42118</v>
      </c>
      <c r="V298">
        <v>-179.59199999999998</v>
      </c>
      <c r="W298">
        <v>63</v>
      </c>
      <c r="X298">
        <v>330.21</v>
      </c>
      <c r="Y298">
        <v>8165</v>
      </c>
    </row>
    <row r="299" spans="1:25" x14ac:dyDescent="0.35">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1">
        <v>42173</v>
      </c>
      <c r="U299" s="1">
        <v>42174</v>
      </c>
      <c r="V299">
        <v>-500.38</v>
      </c>
      <c r="W299">
        <v>56</v>
      </c>
      <c r="X299">
        <v>6831.37</v>
      </c>
      <c r="Y299">
        <v>359</v>
      </c>
    </row>
    <row r="300" spans="1:25" x14ac:dyDescent="0.35">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1">
        <v>42056</v>
      </c>
      <c r="U300" s="1">
        <v>42056</v>
      </c>
      <c r="V300">
        <v>6028.41</v>
      </c>
      <c r="W300">
        <v>6</v>
      </c>
      <c r="X300">
        <v>10331.09</v>
      </c>
      <c r="Y300">
        <v>86190</v>
      </c>
    </row>
    <row r="301" spans="1:25" x14ac:dyDescent="0.35">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1">
        <v>42109</v>
      </c>
      <c r="U301" s="1">
        <v>42118</v>
      </c>
      <c r="V301">
        <v>-161.6328</v>
      </c>
      <c r="W301">
        <v>16</v>
      </c>
      <c r="X301">
        <v>83.86</v>
      </c>
      <c r="Y301">
        <v>86191</v>
      </c>
    </row>
    <row r="302" spans="1:25" x14ac:dyDescent="0.35">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1">
        <v>42173</v>
      </c>
      <c r="U302" s="1">
        <v>42174</v>
      </c>
      <c r="V302">
        <v>-250.19</v>
      </c>
      <c r="W302">
        <v>14</v>
      </c>
      <c r="X302">
        <v>1707.84</v>
      </c>
      <c r="Y302">
        <v>86192</v>
      </c>
    </row>
    <row r="303" spans="1:25" x14ac:dyDescent="0.35">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1">
        <v>42032</v>
      </c>
      <c r="U303" s="1">
        <v>42033</v>
      </c>
      <c r="V303">
        <v>46.147199999999991</v>
      </c>
      <c r="W303">
        <v>9</v>
      </c>
      <c r="X303">
        <v>66.88</v>
      </c>
      <c r="Y303">
        <v>86189</v>
      </c>
    </row>
    <row r="304" spans="1:25" x14ac:dyDescent="0.35">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1">
        <v>42032</v>
      </c>
      <c r="U304" s="1">
        <v>42032</v>
      </c>
      <c r="V304">
        <v>-1116.3348000000001</v>
      </c>
      <c r="W304">
        <v>8</v>
      </c>
      <c r="X304">
        <v>274.91000000000003</v>
      </c>
      <c r="Y304">
        <v>86189</v>
      </c>
    </row>
    <row r="305" spans="1:25" x14ac:dyDescent="0.35">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1">
        <v>42067</v>
      </c>
      <c r="U305" s="1">
        <v>42068</v>
      </c>
      <c r="V305">
        <v>1141.7939999999999</v>
      </c>
      <c r="W305">
        <v>4</v>
      </c>
      <c r="X305">
        <v>1128.74</v>
      </c>
      <c r="Y305">
        <v>88879</v>
      </c>
    </row>
    <row r="306" spans="1:25" x14ac:dyDescent="0.35">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1">
        <v>42109</v>
      </c>
      <c r="U306" s="1">
        <v>42109</v>
      </c>
      <c r="V306">
        <v>-99.568000000000012</v>
      </c>
      <c r="W306">
        <v>12</v>
      </c>
      <c r="X306">
        <v>805.99</v>
      </c>
      <c r="Y306">
        <v>88880</v>
      </c>
    </row>
    <row r="307" spans="1:25" x14ac:dyDescent="0.35">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1">
        <v>42095</v>
      </c>
      <c r="U307" s="1">
        <v>42097</v>
      </c>
      <c r="V307">
        <v>224.85059999999999</v>
      </c>
      <c r="W307">
        <v>16</v>
      </c>
      <c r="X307">
        <v>1066.54</v>
      </c>
      <c r="Y307">
        <v>88882</v>
      </c>
    </row>
    <row r="308" spans="1:25" x14ac:dyDescent="0.35">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1">
        <v>42017</v>
      </c>
      <c r="U308" s="1">
        <v>42017</v>
      </c>
      <c r="V308">
        <v>-122.13300000000001</v>
      </c>
      <c r="W308">
        <v>10</v>
      </c>
      <c r="X308">
        <v>65.739999999999995</v>
      </c>
      <c r="Y308">
        <v>88881</v>
      </c>
    </row>
    <row r="309" spans="1:25" x14ac:dyDescent="0.35">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1">
        <v>42076</v>
      </c>
      <c r="U309" s="1">
        <v>42077</v>
      </c>
      <c r="V309">
        <v>-12.1555</v>
      </c>
      <c r="W309">
        <v>1</v>
      </c>
      <c r="X309">
        <v>5.84</v>
      </c>
      <c r="Y309">
        <v>86555</v>
      </c>
    </row>
    <row r="310" spans="1:25" x14ac:dyDescent="0.35">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1">
        <v>42061</v>
      </c>
      <c r="U310" s="1">
        <v>42062</v>
      </c>
      <c r="V310">
        <v>-269.08440000000002</v>
      </c>
      <c r="W310">
        <v>1</v>
      </c>
      <c r="X310">
        <v>405.57</v>
      </c>
      <c r="Y310">
        <v>86556</v>
      </c>
    </row>
    <row r="311" spans="1:25" x14ac:dyDescent="0.35">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1">
        <v>42017</v>
      </c>
      <c r="U311" s="1">
        <v>42021</v>
      </c>
      <c r="V311">
        <v>-566</v>
      </c>
      <c r="W311">
        <v>4</v>
      </c>
      <c r="X311">
        <v>32.6</v>
      </c>
      <c r="Y311">
        <v>88645</v>
      </c>
    </row>
    <row r="312" spans="1:25" x14ac:dyDescent="0.35">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1">
        <v>42137</v>
      </c>
      <c r="U312" s="1">
        <v>42138</v>
      </c>
      <c r="V312">
        <v>293.14</v>
      </c>
      <c r="W312">
        <v>3</v>
      </c>
      <c r="X312">
        <v>515.88</v>
      </c>
      <c r="Y312">
        <v>88644</v>
      </c>
    </row>
    <row r="313" spans="1:25" x14ac:dyDescent="0.35">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1">
        <v>42137</v>
      </c>
      <c r="U313" s="1">
        <v>42139</v>
      </c>
      <c r="V313">
        <v>-6.61</v>
      </c>
      <c r="W313">
        <v>2</v>
      </c>
      <c r="X313">
        <v>25.06</v>
      </c>
      <c r="Y313">
        <v>88644</v>
      </c>
    </row>
    <row r="314" spans="1:25" x14ac:dyDescent="0.35">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1">
        <v>42137</v>
      </c>
      <c r="U314" s="1">
        <v>42138</v>
      </c>
      <c r="V314">
        <v>-57.541000000000004</v>
      </c>
      <c r="W314">
        <v>12</v>
      </c>
      <c r="X314">
        <v>578.24</v>
      </c>
      <c r="Y314">
        <v>88644</v>
      </c>
    </row>
    <row r="315" spans="1:25" x14ac:dyDescent="0.35">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1">
        <v>42025</v>
      </c>
      <c r="U315" s="1">
        <v>42027</v>
      </c>
      <c r="V315">
        <v>-266.22000000000003</v>
      </c>
      <c r="W315">
        <v>7</v>
      </c>
      <c r="X315">
        <v>116.93</v>
      </c>
      <c r="Y315">
        <v>88646</v>
      </c>
    </row>
    <row r="316" spans="1:25" x14ac:dyDescent="0.35">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1">
        <v>42137</v>
      </c>
      <c r="U316" s="1">
        <v>42138</v>
      </c>
      <c r="V316">
        <v>-67.59</v>
      </c>
      <c r="W316">
        <v>12</v>
      </c>
      <c r="X316">
        <v>170.45</v>
      </c>
      <c r="Y316">
        <v>88644</v>
      </c>
    </row>
    <row r="317" spans="1:25" x14ac:dyDescent="0.35">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1">
        <v>42021</v>
      </c>
      <c r="U317" s="1">
        <v>42021</v>
      </c>
      <c r="V317">
        <v>-239.8656</v>
      </c>
      <c r="W317">
        <v>10</v>
      </c>
      <c r="X317">
        <v>285.87</v>
      </c>
      <c r="Y317">
        <v>86307</v>
      </c>
    </row>
    <row r="318" spans="1:25" x14ac:dyDescent="0.35">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1">
        <v>42021</v>
      </c>
      <c r="U318" s="1">
        <v>42023</v>
      </c>
      <c r="V318">
        <v>-53.444000000000003</v>
      </c>
      <c r="W318">
        <v>12</v>
      </c>
      <c r="X318">
        <v>20.37</v>
      </c>
      <c r="Y318">
        <v>86307</v>
      </c>
    </row>
    <row r="319" spans="1:25" x14ac:dyDescent="0.35">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1">
        <v>42078</v>
      </c>
      <c r="U319" s="1">
        <v>42080</v>
      </c>
      <c r="V319">
        <v>-22.12</v>
      </c>
      <c r="W319">
        <v>1</v>
      </c>
      <c r="X319">
        <v>17.440000000000001</v>
      </c>
      <c r="Y319">
        <v>86309</v>
      </c>
    </row>
    <row r="320" spans="1:25" x14ac:dyDescent="0.35">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1">
        <v>42174</v>
      </c>
      <c r="U320" s="1">
        <v>42177</v>
      </c>
      <c r="V320">
        <v>484.84919999999994</v>
      </c>
      <c r="W320">
        <v>18</v>
      </c>
      <c r="X320">
        <v>702.68</v>
      </c>
      <c r="Y320">
        <v>86311</v>
      </c>
    </row>
    <row r="321" spans="1:25" x14ac:dyDescent="0.35">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1">
        <v>42174</v>
      </c>
      <c r="U321" s="1">
        <v>42175</v>
      </c>
      <c r="V321">
        <v>18</v>
      </c>
      <c r="W321">
        <v>18</v>
      </c>
      <c r="X321">
        <v>67.239999999999995</v>
      </c>
      <c r="Y321">
        <v>86311</v>
      </c>
    </row>
    <row r="322" spans="1:25" x14ac:dyDescent="0.35">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1">
        <v>42050</v>
      </c>
      <c r="U322" s="1">
        <v>42052</v>
      </c>
      <c r="V322">
        <v>15.2745</v>
      </c>
      <c r="W322">
        <v>6</v>
      </c>
      <c r="X322">
        <v>24.27</v>
      </c>
      <c r="Y322">
        <v>86308</v>
      </c>
    </row>
    <row r="323" spans="1:25" x14ac:dyDescent="0.35">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1">
        <v>42050</v>
      </c>
      <c r="U323" s="1">
        <v>42052</v>
      </c>
      <c r="V323">
        <v>26.585699999999999</v>
      </c>
      <c r="W323">
        <v>5</v>
      </c>
      <c r="X323">
        <v>38.53</v>
      </c>
      <c r="Y323">
        <v>86308</v>
      </c>
    </row>
    <row r="324" spans="1:25" x14ac:dyDescent="0.35">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1">
        <v>42050</v>
      </c>
      <c r="U324" s="1">
        <v>42051</v>
      </c>
      <c r="V324">
        <v>-575.35199999999998</v>
      </c>
      <c r="W324">
        <v>12</v>
      </c>
      <c r="X324">
        <v>4910.72</v>
      </c>
      <c r="Y324">
        <v>86308</v>
      </c>
    </row>
    <row r="325" spans="1:25" x14ac:dyDescent="0.35">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1">
        <v>42165</v>
      </c>
      <c r="U325" s="1">
        <v>42165</v>
      </c>
      <c r="V325">
        <v>-51.634999999999998</v>
      </c>
      <c r="W325">
        <v>19</v>
      </c>
      <c r="X325">
        <v>116.8</v>
      </c>
      <c r="Y325">
        <v>86310</v>
      </c>
    </row>
    <row r="326" spans="1:25" x14ac:dyDescent="0.35">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1">
        <v>42076</v>
      </c>
      <c r="U326" s="1">
        <v>42077</v>
      </c>
      <c r="V326">
        <v>-75.44</v>
      </c>
      <c r="W326">
        <v>5</v>
      </c>
      <c r="X326">
        <v>32.39</v>
      </c>
      <c r="Y326">
        <v>87579</v>
      </c>
    </row>
    <row r="327" spans="1:25" x14ac:dyDescent="0.35">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1">
        <v>42038</v>
      </c>
      <c r="U327" s="1">
        <v>42040</v>
      </c>
      <c r="V327">
        <v>-120.934</v>
      </c>
      <c r="W327">
        <v>7</v>
      </c>
      <c r="X327">
        <v>227.79</v>
      </c>
      <c r="Y327">
        <v>87020</v>
      </c>
    </row>
    <row r="328" spans="1:25" x14ac:dyDescent="0.35">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1">
        <v>42077</v>
      </c>
      <c r="U328" s="1">
        <v>42078</v>
      </c>
      <c r="V328">
        <v>-1763.7477000000003</v>
      </c>
      <c r="W328">
        <v>38</v>
      </c>
      <c r="X328">
        <v>5679.59</v>
      </c>
      <c r="Y328">
        <v>28647</v>
      </c>
    </row>
    <row r="329" spans="1:25" x14ac:dyDescent="0.35">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1">
        <v>42028</v>
      </c>
      <c r="U329" s="1">
        <v>42029</v>
      </c>
      <c r="V329">
        <v>-15.099500000000001</v>
      </c>
      <c r="W329">
        <v>52</v>
      </c>
      <c r="X329">
        <v>102.32</v>
      </c>
      <c r="Y329">
        <v>34882</v>
      </c>
    </row>
    <row r="330" spans="1:25" x14ac:dyDescent="0.35">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1">
        <v>42077</v>
      </c>
      <c r="U330" s="1">
        <v>42078</v>
      </c>
      <c r="V330">
        <v>-1763.7477000000003</v>
      </c>
      <c r="W330">
        <v>10</v>
      </c>
      <c r="X330">
        <v>1494.63</v>
      </c>
      <c r="Y330">
        <v>91144</v>
      </c>
    </row>
    <row r="331" spans="1:25" x14ac:dyDescent="0.35">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1">
        <v>42123</v>
      </c>
      <c r="U331" s="1">
        <v>42124</v>
      </c>
      <c r="V331">
        <v>23.5428</v>
      </c>
      <c r="W331">
        <v>3</v>
      </c>
      <c r="X331">
        <v>46.23</v>
      </c>
      <c r="Y331">
        <v>88198</v>
      </c>
    </row>
    <row r="332" spans="1:25" x14ac:dyDescent="0.35">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1">
        <v>42123</v>
      </c>
      <c r="U332" s="1">
        <v>42124</v>
      </c>
      <c r="V332">
        <v>-276.11279999999999</v>
      </c>
      <c r="W332">
        <v>13</v>
      </c>
      <c r="X332">
        <v>279.27999999999997</v>
      </c>
      <c r="Y332">
        <v>88198</v>
      </c>
    </row>
    <row r="333" spans="1:25" x14ac:dyDescent="0.35">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1">
        <v>42087</v>
      </c>
      <c r="U333" s="1">
        <v>42088</v>
      </c>
      <c r="V333">
        <v>-78.13</v>
      </c>
      <c r="W333">
        <v>4</v>
      </c>
      <c r="X333">
        <v>70.06</v>
      </c>
      <c r="Y333">
        <v>88197</v>
      </c>
    </row>
    <row r="334" spans="1:25" x14ac:dyDescent="0.35">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1">
        <v>42123</v>
      </c>
      <c r="U334" s="1">
        <v>42124</v>
      </c>
      <c r="V334">
        <v>-64.670940000000002</v>
      </c>
      <c r="W334">
        <v>14</v>
      </c>
      <c r="X334">
        <v>81.819999999999993</v>
      </c>
      <c r="Y334">
        <v>88198</v>
      </c>
    </row>
    <row r="335" spans="1:25" x14ac:dyDescent="0.35">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1">
        <v>42123</v>
      </c>
      <c r="U335" s="1">
        <v>42124</v>
      </c>
      <c r="V335">
        <v>-11.113199999999999</v>
      </c>
      <c r="W335">
        <v>1</v>
      </c>
      <c r="X335">
        <v>13.16</v>
      </c>
      <c r="Y335">
        <v>88198</v>
      </c>
    </row>
    <row r="336" spans="1:25" x14ac:dyDescent="0.35">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1">
        <v>42011</v>
      </c>
      <c r="U336" s="1">
        <v>42012</v>
      </c>
      <c r="V336">
        <v>107.02</v>
      </c>
      <c r="W336">
        <v>14</v>
      </c>
      <c r="X336">
        <v>205.98</v>
      </c>
      <c r="Y336">
        <v>88196</v>
      </c>
    </row>
    <row r="337" spans="1:25" x14ac:dyDescent="0.35">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1">
        <v>42061</v>
      </c>
      <c r="U337" s="1">
        <v>42062</v>
      </c>
      <c r="V337">
        <v>18.420000000000002</v>
      </c>
      <c r="W337">
        <v>5</v>
      </c>
      <c r="X337">
        <v>31.46</v>
      </c>
      <c r="Y337">
        <v>91432</v>
      </c>
    </row>
    <row r="338" spans="1:25" x14ac:dyDescent="0.35">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1">
        <v>42061</v>
      </c>
      <c r="U338" s="1">
        <v>42063</v>
      </c>
      <c r="V338">
        <v>349.47</v>
      </c>
      <c r="W338">
        <v>6</v>
      </c>
      <c r="X338">
        <v>948.97</v>
      </c>
      <c r="Y338">
        <v>91432</v>
      </c>
    </row>
    <row r="339" spans="1:25" x14ac:dyDescent="0.35">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1">
        <v>42095</v>
      </c>
      <c r="U339" s="1">
        <v>42097</v>
      </c>
      <c r="V339">
        <v>-226.34640000000002</v>
      </c>
      <c r="W339">
        <v>21</v>
      </c>
      <c r="X339">
        <v>136.99</v>
      </c>
      <c r="Y339">
        <v>91433</v>
      </c>
    </row>
    <row r="340" spans="1:25" x14ac:dyDescent="0.35">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1">
        <v>42095</v>
      </c>
      <c r="U340" s="1">
        <v>42095</v>
      </c>
      <c r="V340">
        <v>-281.17583999999999</v>
      </c>
      <c r="W340">
        <v>2</v>
      </c>
      <c r="X340">
        <v>99.36</v>
      </c>
      <c r="Y340">
        <v>91433</v>
      </c>
    </row>
    <row r="341" spans="1:25" x14ac:dyDescent="0.35">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1">
        <v>42115</v>
      </c>
      <c r="U341" s="1">
        <v>42116</v>
      </c>
      <c r="V341">
        <v>6610.2</v>
      </c>
      <c r="W341">
        <v>22</v>
      </c>
      <c r="X341">
        <v>9580</v>
      </c>
      <c r="Y341">
        <v>90469</v>
      </c>
    </row>
    <row r="342" spans="1:25" x14ac:dyDescent="0.35">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1">
        <v>42099</v>
      </c>
      <c r="U342" s="1">
        <v>42099</v>
      </c>
      <c r="V342">
        <v>-103.7124</v>
      </c>
      <c r="W342">
        <v>12</v>
      </c>
      <c r="X342">
        <v>28.32</v>
      </c>
      <c r="Y342">
        <v>89284</v>
      </c>
    </row>
    <row r="343" spans="1:25" x14ac:dyDescent="0.35">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1">
        <v>42099</v>
      </c>
      <c r="U343" s="1">
        <v>42100</v>
      </c>
      <c r="V343">
        <v>-124.2864</v>
      </c>
      <c r="W343">
        <v>6</v>
      </c>
      <c r="X343">
        <v>2309.4899999999998</v>
      </c>
      <c r="Y343">
        <v>89284</v>
      </c>
    </row>
    <row r="344" spans="1:25" x14ac:dyDescent="0.35">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1">
        <v>42083</v>
      </c>
      <c r="U344" s="1">
        <v>42087</v>
      </c>
      <c r="V344">
        <v>-229.68</v>
      </c>
      <c r="W344">
        <v>8</v>
      </c>
      <c r="X344">
        <v>1232.01</v>
      </c>
      <c r="Y344">
        <v>87953</v>
      </c>
    </row>
    <row r="345" spans="1:25" x14ac:dyDescent="0.35">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1">
        <v>42124</v>
      </c>
      <c r="U345" s="1">
        <v>42125</v>
      </c>
      <c r="V345">
        <v>288.08999999999997</v>
      </c>
      <c r="W345">
        <v>9</v>
      </c>
      <c r="X345">
        <v>506.38</v>
      </c>
      <c r="Y345">
        <v>87954</v>
      </c>
    </row>
    <row r="346" spans="1:25" x14ac:dyDescent="0.35">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1">
        <v>42124</v>
      </c>
      <c r="U346" s="1">
        <v>42126</v>
      </c>
      <c r="V346">
        <v>719.47679999999991</v>
      </c>
      <c r="W346">
        <v>6</v>
      </c>
      <c r="X346">
        <v>1042.72</v>
      </c>
      <c r="Y346">
        <v>87954</v>
      </c>
    </row>
    <row r="347" spans="1:25" x14ac:dyDescent="0.35">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1">
        <v>42049</v>
      </c>
      <c r="U347" s="1">
        <v>42050</v>
      </c>
      <c r="V347">
        <v>1192.04</v>
      </c>
      <c r="W347">
        <v>9</v>
      </c>
      <c r="X347">
        <v>1769.91</v>
      </c>
      <c r="Y347">
        <v>87952</v>
      </c>
    </row>
    <row r="348" spans="1:25" x14ac:dyDescent="0.35">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1">
        <v>42049</v>
      </c>
      <c r="U348" s="1">
        <v>42050</v>
      </c>
      <c r="V348">
        <v>1192.04</v>
      </c>
      <c r="W348">
        <v>34</v>
      </c>
      <c r="X348">
        <v>6686.34</v>
      </c>
      <c r="Y348">
        <v>56452</v>
      </c>
    </row>
    <row r="349" spans="1:25" x14ac:dyDescent="0.35">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1">
        <v>42083</v>
      </c>
      <c r="U349" s="1">
        <v>42087</v>
      </c>
      <c r="V349">
        <v>-229.68</v>
      </c>
      <c r="W349">
        <v>30</v>
      </c>
      <c r="X349">
        <v>4620.05</v>
      </c>
      <c r="Y349">
        <v>11077</v>
      </c>
    </row>
    <row r="350" spans="1:25" x14ac:dyDescent="0.35">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1">
        <v>42124</v>
      </c>
      <c r="U350" s="1">
        <v>42125</v>
      </c>
      <c r="V350">
        <v>288.08999999999997</v>
      </c>
      <c r="W350">
        <v>34</v>
      </c>
      <c r="X350">
        <v>1912.98</v>
      </c>
      <c r="Y350">
        <v>45380</v>
      </c>
    </row>
    <row r="351" spans="1:25" x14ac:dyDescent="0.35">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1">
        <v>42124</v>
      </c>
      <c r="U351" s="1">
        <v>42126</v>
      </c>
      <c r="V351">
        <v>1030.509</v>
      </c>
      <c r="W351">
        <v>24</v>
      </c>
      <c r="X351">
        <v>4170.87</v>
      </c>
      <c r="Y351">
        <v>45380</v>
      </c>
    </row>
    <row r="352" spans="1:25" x14ac:dyDescent="0.35">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1">
        <v>42172</v>
      </c>
      <c r="U352" s="1">
        <v>42177</v>
      </c>
      <c r="V352">
        <v>261.44400000000002</v>
      </c>
      <c r="W352">
        <v>16</v>
      </c>
      <c r="X352">
        <v>818.81</v>
      </c>
      <c r="Y352">
        <v>90735</v>
      </c>
    </row>
    <row r="353" spans="1:25" x14ac:dyDescent="0.35">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1">
        <v>42176</v>
      </c>
      <c r="U353" s="1">
        <v>42177</v>
      </c>
      <c r="V353">
        <v>-10.36</v>
      </c>
      <c r="W353">
        <v>1</v>
      </c>
      <c r="X353">
        <v>34.11</v>
      </c>
      <c r="Y353">
        <v>91365</v>
      </c>
    </row>
    <row r="354" spans="1:25" x14ac:dyDescent="0.35">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1">
        <v>42153</v>
      </c>
      <c r="U354" s="1">
        <v>42154</v>
      </c>
      <c r="V354">
        <v>106.7499</v>
      </c>
      <c r="W354">
        <v>40</v>
      </c>
      <c r="X354">
        <v>154.71</v>
      </c>
      <c r="Y354">
        <v>91366</v>
      </c>
    </row>
    <row r="355" spans="1:25" x14ac:dyDescent="0.35">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1">
        <v>42011</v>
      </c>
      <c r="U355" s="1">
        <v>42012</v>
      </c>
      <c r="V355">
        <v>-246.92615999999998</v>
      </c>
      <c r="W355">
        <v>12</v>
      </c>
      <c r="X355">
        <v>192.33</v>
      </c>
      <c r="Y355">
        <v>91575</v>
      </c>
    </row>
    <row r="356" spans="1:25" x14ac:dyDescent="0.35">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1">
        <v>42050</v>
      </c>
      <c r="U356" s="1">
        <v>42054</v>
      </c>
      <c r="V356">
        <v>4233.2587999999996</v>
      </c>
      <c r="W356">
        <v>8</v>
      </c>
      <c r="X356">
        <v>6901.25</v>
      </c>
      <c r="Y356">
        <v>91576</v>
      </c>
    </row>
    <row r="357" spans="1:25" x14ac:dyDescent="0.35">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1">
        <v>42050</v>
      </c>
      <c r="U357" s="1">
        <v>42055</v>
      </c>
      <c r="V357">
        <v>102.76859999999999</v>
      </c>
      <c r="W357">
        <v>11</v>
      </c>
      <c r="X357">
        <v>148.94</v>
      </c>
      <c r="Y357">
        <v>91576</v>
      </c>
    </row>
    <row r="358" spans="1:25" x14ac:dyDescent="0.35">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1">
        <v>42050</v>
      </c>
      <c r="U358" s="1">
        <v>42057</v>
      </c>
      <c r="V358">
        <v>-36.671543999999997</v>
      </c>
      <c r="W358">
        <v>12</v>
      </c>
      <c r="X358">
        <v>200.68</v>
      </c>
      <c r="Y358">
        <v>91576</v>
      </c>
    </row>
    <row r="359" spans="1:25" x14ac:dyDescent="0.35">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1">
        <v>42110</v>
      </c>
      <c r="U359" s="1">
        <v>42111</v>
      </c>
      <c r="V359">
        <v>20.6448</v>
      </c>
      <c r="W359">
        <v>9</v>
      </c>
      <c r="X359">
        <v>29.92</v>
      </c>
      <c r="Y359">
        <v>91213</v>
      </c>
    </row>
    <row r="360" spans="1:25" x14ac:dyDescent="0.35">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1">
        <v>42023</v>
      </c>
      <c r="U360" s="1">
        <v>42025</v>
      </c>
      <c r="V360">
        <v>-24.204799999999999</v>
      </c>
      <c r="W360">
        <v>1</v>
      </c>
      <c r="X360">
        <v>19.73</v>
      </c>
      <c r="Y360">
        <v>91212</v>
      </c>
    </row>
    <row r="361" spans="1:25" x14ac:dyDescent="0.35">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1">
        <v>42023</v>
      </c>
      <c r="U361" s="1">
        <v>42024</v>
      </c>
      <c r="V361">
        <v>-126.05777999999999</v>
      </c>
      <c r="W361">
        <v>5</v>
      </c>
      <c r="X361">
        <v>615.54</v>
      </c>
      <c r="Y361">
        <v>91212</v>
      </c>
    </row>
    <row r="362" spans="1:25" x14ac:dyDescent="0.35">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1">
        <v>42153</v>
      </c>
      <c r="U362" s="1">
        <v>42156</v>
      </c>
      <c r="V362">
        <v>10.802000000000001</v>
      </c>
      <c r="W362">
        <v>17</v>
      </c>
      <c r="X362">
        <v>261.33999999999997</v>
      </c>
      <c r="Y362">
        <v>90922</v>
      </c>
    </row>
    <row r="363" spans="1:25" x14ac:dyDescent="0.35">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1">
        <v>42020</v>
      </c>
      <c r="U363" s="1">
        <v>42024</v>
      </c>
      <c r="V363">
        <v>-678.49599999999998</v>
      </c>
      <c r="W363">
        <v>9</v>
      </c>
      <c r="X363">
        <v>202.41</v>
      </c>
      <c r="Y363">
        <v>88677</v>
      </c>
    </row>
    <row r="364" spans="1:25" x14ac:dyDescent="0.35">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1">
        <v>42112</v>
      </c>
      <c r="U364" s="1">
        <v>42113</v>
      </c>
      <c r="V364">
        <v>90.762</v>
      </c>
      <c r="W364">
        <v>6</v>
      </c>
      <c r="X364">
        <v>793.39</v>
      </c>
      <c r="Y364">
        <v>88678</v>
      </c>
    </row>
    <row r="365" spans="1:25" x14ac:dyDescent="0.35">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1">
        <v>42116</v>
      </c>
      <c r="U365" s="1">
        <v>42120</v>
      </c>
      <c r="V365">
        <v>-352.81399999999996</v>
      </c>
      <c r="W365">
        <v>11</v>
      </c>
      <c r="X365">
        <v>54.04</v>
      </c>
      <c r="Y365">
        <v>88679</v>
      </c>
    </row>
    <row r="366" spans="1:25" x14ac:dyDescent="0.35">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1">
        <v>42020</v>
      </c>
      <c r="U366" s="1">
        <v>42024</v>
      </c>
      <c r="V366">
        <v>70.028000000000006</v>
      </c>
      <c r="W366">
        <v>37</v>
      </c>
      <c r="X366">
        <v>832.14</v>
      </c>
      <c r="Y366">
        <v>22147</v>
      </c>
    </row>
    <row r="367" spans="1:25" x14ac:dyDescent="0.35">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1">
        <v>42116</v>
      </c>
      <c r="U367" s="1">
        <v>42120</v>
      </c>
      <c r="V367">
        <v>-124.28049999999999</v>
      </c>
      <c r="W367">
        <v>45</v>
      </c>
      <c r="X367">
        <v>221.06</v>
      </c>
      <c r="Y367">
        <v>48257</v>
      </c>
    </row>
    <row r="368" spans="1:25" x14ac:dyDescent="0.35">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1">
        <v>42083</v>
      </c>
      <c r="U368" s="1">
        <v>42085</v>
      </c>
      <c r="V368">
        <v>40.482299999999995</v>
      </c>
      <c r="W368">
        <v>22</v>
      </c>
      <c r="X368">
        <v>58.67</v>
      </c>
      <c r="Y368">
        <v>88475</v>
      </c>
    </row>
    <row r="369" spans="1:25" x14ac:dyDescent="0.35">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1">
        <v>42083</v>
      </c>
      <c r="U369" s="1">
        <v>42084</v>
      </c>
      <c r="V369">
        <v>32.86</v>
      </c>
      <c r="W369">
        <v>2</v>
      </c>
      <c r="X369">
        <v>101.06</v>
      </c>
      <c r="Y369">
        <v>88475</v>
      </c>
    </row>
    <row r="370" spans="1:25" x14ac:dyDescent="0.35">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1">
        <v>42068</v>
      </c>
      <c r="U370" s="1">
        <v>42075</v>
      </c>
      <c r="V370">
        <v>-187.22199999999998</v>
      </c>
      <c r="W370">
        <v>5</v>
      </c>
      <c r="X370">
        <v>1429.81</v>
      </c>
      <c r="Y370">
        <v>88474</v>
      </c>
    </row>
    <row r="371" spans="1:25" x14ac:dyDescent="0.35">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1">
        <v>42040</v>
      </c>
      <c r="U371" s="1">
        <v>42044</v>
      </c>
      <c r="V371">
        <v>9.59</v>
      </c>
      <c r="W371">
        <v>12</v>
      </c>
      <c r="X371">
        <v>34.97</v>
      </c>
      <c r="Y371">
        <v>88173</v>
      </c>
    </row>
    <row r="372" spans="1:25" x14ac:dyDescent="0.35">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1">
        <v>42040</v>
      </c>
      <c r="U372" s="1">
        <v>42047</v>
      </c>
      <c r="V372">
        <v>-655.42399999999998</v>
      </c>
      <c r="W372">
        <v>2</v>
      </c>
      <c r="X372">
        <v>308.86</v>
      </c>
      <c r="Y372">
        <v>88173</v>
      </c>
    </row>
    <row r="373" spans="1:25" x14ac:dyDescent="0.35">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1">
        <v>42006</v>
      </c>
      <c r="U373" s="1">
        <v>42007</v>
      </c>
      <c r="V373">
        <v>-7.5800000000000409</v>
      </c>
      <c r="W373">
        <v>3</v>
      </c>
      <c r="X373">
        <v>485.01</v>
      </c>
      <c r="Y373">
        <v>88174</v>
      </c>
    </row>
    <row r="374" spans="1:25" x14ac:dyDescent="0.35">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1">
        <v>42116</v>
      </c>
      <c r="U374" s="1">
        <v>42117</v>
      </c>
      <c r="V374">
        <v>-109.70400000000001</v>
      </c>
      <c r="W374">
        <v>5</v>
      </c>
      <c r="X374">
        <v>81.14</v>
      </c>
      <c r="Y374">
        <v>88889</v>
      </c>
    </row>
    <row r="375" spans="1:25" x14ac:dyDescent="0.35">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1">
        <v>42067</v>
      </c>
      <c r="U375" s="1">
        <v>42068</v>
      </c>
      <c r="V375">
        <v>-19.93</v>
      </c>
      <c r="W375">
        <v>2</v>
      </c>
      <c r="X375">
        <v>10.11</v>
      </c>
      <c r="Y375">
        <v>88890</v>
      </c>
    </row>
    <row r="376" spans="1:25" x14ac:dyDescent="0.35">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1">
        <v>42067</v>
      </c>
      <c r="U376" s="1">
        <v>42068</v>
      </c>
      <c r="V376">
        <v>4568.6072999999997</v>
      </c>
      <c r="W376">
        <v>17</v>
      </c>
      <c r="X376">
        <v>6621.17</v>
      </c>
      <c r="Y376">
        <v>88890</v>
      </c>
    </row>
    <row r="377" spans="1:25" x14ac:dyDescent="0.35">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1">
        <v>42067</v>
      </c>
      <c r="U377" s="1">
        <v>42069</v>
      </c>
      <c r="V377">
        <v>-258.22500000000002</v>
      </c>
      <c r="W377">
        <v>3</v>
      </c>
      <c r="X377">
        <v>253.78</v>
      </c>
      <c r="Y377">
        <v>88890</v>
      </c>
    </row>
    <row r="378" spans="1:25" x14ac:dyDescent="0.35">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1">
        <v>42101</v>
      </c>
      <c r="U378" s="1">
        <v>42102</v>
      </c>
      <c r="V378">
        <v>38.06</v>
      </c>
      <c r="W378">
        <v>4</v>
      </c>
      <c r="X378">
        <v>69.959999999999994</v>
      </c>
      <c r="Y378">
        <v>87765</v>
      </c>
    </row>
    <row r="379" spans="1:25" x14ac:dyDescent="0.35">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1">
        <v>42140</v>
      </c>
      <c r="U379" s="1">
        <v>42140</v>
      </c>
      <c r="V379">
        <v>-207.28</v>
      </c>
      <c r="W379">
        <v>10</v>
      </c>
      <c r="X379">
        <v>2716.09</v>
      </c>
      <c r="Y379">
        <v>88503</v>
      </c>
    </row>
    <row r="380" spans="1:25" x14ac:dyDescent="0.35">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1">
        <v>42069</v>
      </c>
      <c r="U380" s="1">
        <v>42071</v>
      </c>
      <c r="V380">
        <v>-12.719000000000001</v>
      </c>
      <c r="W380">
        <v>5</v>
      </c>
      <c r="X380">
        <v>21.34</v>
      </c>
      <c r="Y380">
        <v>88504</v>
      </c>
    </row>
    <row r="381" spans="1:25" x14ac:dyDescent="0.35">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1">
        <v>42039</v>
      </c>
      <c r="U381" s="1">
        <v>42040</v>
      </c>
      <c r="V381">
        <v>-51.42</v>
      </c>
      <c r="W381">
        <v>10</v>
      </c>
      <c r="X381">
        <v>17.420000000000002</v>
      </c>
      <c r="Y381">
        <v>88502</v>
      </c>
    </row>
    <row r="382" spans="1:25" x14ac:dyDescent="0.35">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1">
        <v>42084</v>
      </c>
      <c r="U382" s="1">
        <v>42085</v>
      </c>
      <c r="V382">
        <v>-88.6</v>
      </c>
      <c r="W382">
        <v>8</v>
      </c>
      <c r="X382">
        <v>49.81</v>
      </c>
      <c r="Y382">
        <v>89915</v>
      </c>
    </row>
    <row r="383" spans="1:25" x14ac:dyDescent="0.35">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1">
        <v>42088</v>
      </c>
      <c r="U383" s="1">
        <v>42088</v>
      </c>
      <c r="V383">
        <v>2568.4628999999995</v>
      </c>
      <c r="W383">
        <v>7</v>
      </c>
      <c r="X383">
        <v>3722.41</v>
      </c>
      <c r="Y383">
        <v>87811</v>
      </c>
    </row>
    <row r="384" spans="1:25" x14ac:dyDescent="0.35">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1">
        <v>42071</v>
      </c>
      <c r="U384" s="1">
        <v>42078</v>
      </c>
      <c r="V384">
        <v>9.4860000000000007</v>
      </c>
      <c r="W384">
        <v>17</v>
      </c>
      <c r="X384">
        <v>95.1</v>
      </c>
      <c r="Y384">
        <v>87812</v>
      </c>
    </row>
    <row r="385" spans="1:25" x14ac:dyDescent="0.35">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1">
        <v>42071</v>
      </c>
      <c r="U385" s="1">
        <v>42078</v>
      </c>
      <c r="V385">
        <v>-263.64999999999998</v>
      </c>
      <c r="W385">
        <v>5</v>
      </c>
      <c r="X385">
        <v>734.74</v>
      </c>
      <c r="Y385">
        <v>87812</v>
      </c>
    </row>
    <row r="386" spans="1:25" x14ac:dyDescent="0.35">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1">
        <v>42071</v>
      </c>
      <c r="U386" s="1">
        <v>42078</v>
      </c>
      <c r="V386">
        <v>890.18100000000004</v>
      </c>
      <c r="W386">
        <v>11</v>
      </c>
      <c r="X386">
        <v>1882.87</v>
      </c>
      <c r="Y386">
        <v>87812</v>
      </c>
    </row>
    <row r="387" spans="1:25" x14ac:dyDescent="0.35">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1">
        <v>42129</v>
      </c>
      <c r="U387" s="1">
        <v>42131</v>
      </c>
      <c r="V387">
        <v>6095.8601999999992</v>
      </c>
      <c r="W387">
        <v>36</v>
      </c>
      <c r="X387">
        <v>8834.58</v>
      </c>
      <c r="Y387">
        <v>87813</v>
      </c>
    </row>
    <row r="388" spans="1:25" x14ac:dyDescent="0.35">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1">
        <v>42090</v>
      </c>
      <c r="U388" s="1">
        <v>42091</v>
      </c>
      <c r="V388">
        <v>-82.83</v>
      </c>
      <c r="W388">
        <v>10</v>
      </c>
      <c r="X388">
        <v>78.540000000000006</v>
      </c>
      <c r="Y388">
        <v>89847</v>
      </c>
    </row>
    <row r="389" spans="1:25" x14ac:dyDescent="0.35">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1">
        <v>42090</v>
      </c>
      <c r="U389" s="1">
        <v>42091</v>
      </c>
      <c r="V389">
        <v>25.04</v>
      </c>
      <c r="W389">
        <v>12</v>
      </c>
      <c r="X389">
        <v>605.1</v>
      </c>
      <c r="Y389">
        <v>89847</v>
      </c>
    </row>
    <row r="390" spans="1:25" x14ac:dyDescent="0.35">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1">
        <v>42101</v>
      </c>
      <c r="U390" s="1">
        <v>42103</v>
      </c>
      <c r="V390">
        <v>-580.32000000000005</v>
      </c>
      <c r="W390">
        <v>9</v>
      </c>
      <c r="X390">
        <v>355.84</v>
      </c>
      <c r="Y390">
        <v>89848</v>
      </c>
    </row>
    <row r="391" spans="1:25" x14ac:dyDescent="0.35">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1">
        <v>42090</v>
      </c>
      <c r="U391" s="1">
        <v>42091</v>
      </c>
      <c r="V391">
        <v>928.96079999999984</v>
      </c>
      <c r="W391">
        <v>10</v>
      </c>
      <c r="X391">
        <v>1346.32</v>
      </c>
      <c r="Y391">
        <v>89847</v>
      </c>
    </row>
    <row r="392" spans="1:25" x14ac:dyDescent="0.35">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1">
        <v>42042</v>
      </c>
      <c r="U392" s="1">
        <v>42044</v>
      </c>
      <c r="V392">
        <v>-131.61720000000003</v>
      </c>
      <c r="W392">
        <v>20</v>
      </c>
      <c r="X392">
        <v>292.18</v>
      </c>
      <c r="Y392">
        <v>89849</v>
      </c>
    </row>
    <row r="393" spans="1:25" x14ac:dyDescent="0.35">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1">
        <v>42090</v>
      </c>
      <c r="U393" s="1">
        <v>42091</v>
      </c>
      <c r="V393">
        <v>-82.83</v>
      </c>
      <c r="W393">
        <v>41</v>
      </c>
      <c r="X393">
        <v>322.02999999999997</v>
      </c>
      <c r="Y393">
        <v>32869</v>
      </c>
    </row>
    <row r="394" spans="1:25" x14ac:dyDescent="0.35">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1">
        <v>42090</v>
      </c>
      <c r="U394" s="1">
        <v>42091</v>
      </c>
      <c r="V394">
        <v>25.04</v>
      </c>
      <c r="W394">
        <v>49</v>
      </c>
      <c r="X394">
        <v>2470.84</v>
      </c>
      <c r="Y394">
        <v>32869</v>
      </c>
    </row>
    <row r="395" spans="1:25" x14ac:dyDescent="0.35">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1">
        <v>42090</v>
      </c>
      <c r="U395" s="1">
        <v>42091</v>
      </c>
      <c r="V395">
        <v>930.98700000000008</v>
      </c>
      <c r="W395">
        <v>39</v>
      </c>
      <c r="X395">
        <v>5250.66</v>
      </c>
      <c r="Y395">
        <v>32869</v>
      </c>
    </row>
    <row r="396" spans="1:25" x14ac:dyDescent="0.35">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1">
        <v>42101</v>
      </c>
      <c r="U396" s="1">
        <v>42103</v>
      </c>
      <c r="V396">
        <v>-580.32000000000005</v>
      </c>
      <c r="W396">
        <v>36</v>
      </c>
      <c r="X396">
        <v>1423.35</v>
      </c>
      <c r="Y396">
        <v>8994</v>
      </c>
    </row>
    <row r="397" spans="1:25" x14ac:dyDescent="0.35">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1">
        <v>42042</v>
      </c>
      <c r="U397" s="1">
        <v>42044</v>
      </c>
      <c r="V397">
        <v>-253.11</v>
      </c>
      <c r="W397">
        <v>79</v>
      </c>
      <c r="X397">
        <v>1154.1199999999999</v>
      </c>
      <c r="Y397">
        <v>53410</v>
      </c>
    </row>
    <row r="398" spans="1:25" x14ac:dyDescent="0.35">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1">
        <v>42117</v>
      </c>
      <c r="U398" s="1">
        <v>42118</v>
      </c>
      <c r="V398">
        <v>-16.670000000000002</v>
      </c>
      <c r="W398">
        <v>5</v>
      </c>
      <c r="X398">
        <v>32.5</v>
      </c>
      <c r="Y398">
        <v>44517</v>
      </c>
    </row>
    <row r="399" spans="1:25" x14ac:dyDescent="0.35">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1">
        <v>42161</v>
      </c>
      <c r="U399" s="1">
        <v>42162</v>
      </c>
      <c r="V399">
        <v>40.200000000000003</v>
      </c>
      <c r="W399">
        <v>30</v>
      </c>
      <c r="X399">
        <v>193.95</v>
      </c>
      <c r="Y399">
        <v>55392</v>
      </c>
    </row>
    <row r="400" spans="1:25" x14ac:dyDescent="0.35">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1">
        <v>42161</v>
      </c>
      <c r="U400" s="1">
        <v>42163</v>
      </c>
      <c r="V400">
        <v>3.21</v>
      </c>
      <c r="W400">
        <v>59</v>
      </c>
      <c r="X400">
        <v>158.80000000000001</v>
      </c>
      <c r="Y400">
        <v>55392</v>
      </c>
    </row>
    <row r="401" spans="1:25" x14ac:dyDescent="0.35">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1">
        <v>42185</v>
      </c>
      <c r="U401" s="1">
        <v>42186</v>
      </c>
      <c r="V401">
        <v>38.700000000000003</v>
      </c>
      <c r="W401">
        <v>32</v>
      </c>
      <c r="X401">
        <v>274.26</v>
      </c>
      <c r="Y401">
        <v>36647</v>
      </c>
    </row>
    <row r="402" spans="1:25" x14ac:dyDescent="0.35">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1">
        <v>42185</v>
      </c>
      <c r="U402" s="1">
        <v>42186</v>
      </c>
      <c r="V402">
        <v>-21.91</v>
      </c>
      <c r="W402">
        <v>24</v>
      </c>
      <c r="X402">
        <v>83.16</v>
      </c>
      <c r="Y402">
        <v>36647</v>
      </c>
    </row>
    <row r="403" spans="1:25" x14ac:dyDescent="0.35">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1">
        <v>42185</v>
      </c>
      <c r="U403" s="1">
        <v>42188</v>
      </c>
      <c r="V403">
        <v>-119.77</v>
      </c>
      <c r="W403">
        <v>27</v>
      </c>
      <c r="X403">
        <v>261.93</v>
      </c>
      <c r="Y403">
        <v>36647</v>
      </c>
    </row>
    <row r="404" spans="1:25" x14ac:dyDescent="0.35">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1">
        <v>42033</v>
      </c>
      <c r="U404" s="1">
        <v>42035</v>
      </c>
      <c r="V404">
        <v>-168.72</v>
      </c>
      <c r="W404">
        <v>42</v>
      </c>
      <c r="X404">
        <v>210.1</v>
      </c>
      <c r="Y404">
        <v>32420</v>
      </c>
    </row>
    <row r="405" spans="1:25" x14ac:dyDescent="0.35">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1">
        <v>42033</v>
      </c>
      <c r="U405" s="1">
        <v>42035</v>
      </c>
      <c r="V405">
        <v>-439.62</v>
      </c>
      <c r="W405">
        <v>23</v>
      </c>
      <c r="X405">
        <v>6499.87</v>
      </c>
      <c r="Y405">
        <v>32420</v>
      </c>
    </row>
    <row r="406" spans="1:25" x14ac:dyDescent="0.35">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1">
        <v>42144</v>
      </c>
      <c r="U406" s="1">
        <v>42145</v>
      </c>
      <c r="V406">
        <v>15.42</v>
      </c>
      <c r="W406">
        <v>88</v>
      </c>
      <c r="X406">
        <v>351.56</v>
      </c>
      <c r="Y406">
        <v>3042</v>
      </c>
    </row>
    <row r="407" spans="1:25" x14ac:dyDescent="0.35">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1">
        <v>42144</v>
      </c>
      <c r="U407" s="1">
        <v>42145</v>
      </c>
      <c r="V407">
        <v>33.923999999999999</v>
      </c>
      <c r="W407">
        <v>22</v>
      </c>
      <c r="X407">
        <v>87.89</v>
      </c>
      <c r="Y407">
        <v>87980</v>
      </c>
    </row>
    <row r="408" spans="1:25" x14ac:dyDescent="0.35">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1">
        <v>42117</v>
      </c>
      <c r="U408" s="1">
        <v>42118</v>
      </c>
      <c r="V408">
        <v>-16.670000000000002</v>
      </c>
      <c r="W408">
        <v>1</v>
      </c>
      <c r="X408">
        <v>6.5</v>
      </c>
      <c r="Y408">
        <v>87977</v>
      </c>
    </row>
    <row r="409" spans="1:25" x14ac:dyDescent="0.35">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1">
        <v>42185</v>
      </c>
      <c r="U409" s="1">
        <v>42186</v>
      </c>
      <c r="V409">
        <v>46.440000000000005</v>
      </c>
      <c r="W409">
        <v>8</v>
      </c>
      <c r="X409">
        <v>68.56</v>
      </c>
      <c r="Y409">
        <v>87979</v>
      </c>
    </row>
    <row r="410" spans="1:25" x14ac:dyDescent="0.35">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1">
        <v>42185</v>
      </c>
      <c r="U410" s="1">
        <v>42186</v>
      </c>
      <c r="V410">
        <v>-17.527999999999999</v>
      </c>
      <c r="W410">
        <v>6</v>
      </c>
      <c r="X410">
        <v>20.79</v>
      </c>
      <c r="Y410">
        <v>87979</v>
      </c>
    </row>
    <row r="411" spans="1:25" x14ac:dyDescent="0.35">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1">
        <v>42185</v>
      </c>
      <c r="U411" s="1">
        <v>42188</v>
      </c>
      <c r="V411">
        <v>-95.816000000000003</v>
      </c>
      <c r="W411">
        <v>7</v>
      </c>
      <c r="X411">
        <v>67.91</v>
      </c>
      <c r="Y411">
        <v>87979</v>
      </c>
    </row>
    <row r="412" spans="1:25" x14ac:dyDescent="0.35">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1">
        <v>42161</v>
      </c>
      <c r="U412" s="1">
        <v>42163</v>
      </c>
      <c r="V412">
        <v>3.8519999999999999</v>
      </c>
      <c r="W412">
        <v>15</v>
      </c>
      <c r="X412">
        <v>40.369999999999997</v>
      </c>
      <c r="Y412">
        <v>87978</v>
      </c>
    </row>
    <row r="413" spans="1:25" x14ac:dyDescent="0.35">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1">
        <v>42063</v>
      </c>
      <c r="U413" s="1">
        <v>42065</v>
      </c>
      <c r="V413">
        <v>71.735600000000005</v>
      </c>
      <c r="W413">
        <v>14</v>
      </c>
      <c r="X413">
        <v>122.25</v>
      </c>
      <c r="Y413">
        <v>89344</v>
      </c>
    </row>
    <row r="414" spans="1:25" x14ac:dyDescent="0.35">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1">
        <v>42063</v>
      </c>
      <c r="U414" s="1">
        <v>42065</v>
      </c>
      <c r="V414">
        <v>-79.320800000000006</v>
      </c>
      <c r="W414">
        <v>2</v>
      </c>
      <c r="X414">
        <v>206.09</v>
      </c>
      <c r="Y414">
        <v>89344</v>
      </c>
    </row>
    <row r="415" spans="1:25" x14ac:dyDescent="0.35">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1">
        <v>42179</v>
      </c>
      <c r="U415" s="1">
        <v>42180</v>
      </c>
      <c r="V415">
        <v>24.095999999999997</v>
      </c>
      <c r="W415">
        <v>6</v>
      </c>
      <c r="X415">
        <v>66.900000000000006</v>
      </c>
      <c r="Y415">
        <v>91053</v>
      </c>
    </row>
    <row r="416" spans="1:25" x14ac:dyDescent="0.35">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1">
        <v>42179</v>
      </c>
      <c r="U416" s="1">
        <v>42181</v>
      </c>
      <c r="V416">
        <v>6.9719999999999995</v>
      </c>
      <c r="W416">
        <v>15</v>
      </c>
      <c r="X416">
        <v>43.13</v>
      </c>
      <c r="Y416">
        <v>91053</v>
      </c>
    </row>
    <row r="417" spans="1:25" x14ac:dyDescent="0.35">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1">
        <v>42105</v>
      </c>
      <c r="U417" s="1">
        <v>42107</v>
      </c>
      <c r="V417">
        <v>-24.245999999999999</v>
      </c>
      <c r="W417">
        <v>1</v>
      </c>
      <c r="X417">
        <v>11.21</v>
      </c>
      <c r="Y417">
        <v>91054</v>
      </c>
    </row>
    <row r="418" spans="1:25" x14ac:dyDescent="0.35">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1">
        <v>42078</v>
      </c>
      <c r="U418" s="1">
        <v>42079</v>
      </c>
      <c r="V418">
        <v>-605.37400000000002</v>
      </c>
      <c r="W418">
        <v>1</v>
      </c>
      <c r="X418">
        <v>100.38</v>
      </c>
      <c r="Y418">
        <v>90359</v>
      </c>
    </row>
    <row r="419" spans="1:25" x14ac:dyDescent="0.35">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1">
        <v>42078</v>
      </c>
      <c r="U419" s="1">
        <v>42079</v>
      </c>
      <c r="V419">
        <v>-99.55</v>
      </c>
      <c r="W419">
        <v>4</v>
      </c>
      <c r="X419">
        <v>66.319999999999993</v>
      </c>
      <c r="Y419">
        <v>90359</v>
      </c>
    </row>
    <row r="420" spans="1:25" x14ac:dyDescent="0.35">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1">
        <v>42120</v>
      </c>
      <c r="U420" s="1">
        <v>42121</v>
      </c>
      <c r="V420">
        <v>-801.15479999999991</v>
      </c>
      <c r="W420">
        <v>12</v>
      </c>
      <c r="X420">
        <v>1178.32</v>
      </c>
      <c r="Y420">
        <v>90362</v>
      </c>
    </row>
    <row r="421" spans="1:25" x14ac:dyDescent="0.35">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1">
        <v>42170</v>
      </c>
      <c r="U421" s="1">
        <v>42172</v>
      </c>
      <c r="V421">
        <v>797.85599999999999</v>
      </c>
      <c r="W421">
        <v>6</v>
      </c>
      <c r="X421">
        <v>2016.32</v>
      </c>
      <c r="Y421">
        <v>90361</v>
      </c>
    </row>
    <row r="422" spans="1:25" x14ac:dyDescent="0.35">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1">
        <v>42162</v>
      </c>
      <c r="U422" s="1">
        <v>42169</v>
      </c>
      <c r="V422">
        <v>422.45249999999999</v>
      </c>
      <c r="W422">
        <v>12</v>
      </c>
      <c r="X422">
        <v>612.25</v>
      </c>
      <c r="Y422">
        <v>90360</v>
      </c>
    </row>
    <row r="423" spans="1:25" x14ac:dyDescent="0.35">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1">
        <v>42170</v>
      </c>
      <c r="U423" s="1">
        <v>42171</v>
      </c>
      <c r="V423">
        <v>-178.21600000000001</v>
      </c>
      <c r="W423">
        <v>4</v>
      </c>
      <c r="X423">
        <v>313.63</v>
      </c>
      <c r="Y423">
        <v>90361</v>
      </c>
    </row>
    <row r="424" spans="1:25" x14ac:dyDescent="0.35">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1">
        <v>42170</v>
      </c>
      <c r="U424" s="1">
        <v>42172</v>
      </c>
      <c r="V424">
        <v>-26.655999999999999</v>
      </c>
      <c r="W424">
        <v>15</v>
      </c>
      <c r="X424">
        <v>397.17</v>
      </c>
      <c r="Y424">
        <v>90361</v>
      </c>
    </row>
    <row r="425" spans="1:25" x14ac:dyDescent="0.35">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1">
        <v>42032</v>
      </c>
      <c r="U425" s="1">
        <v>42041</v>
      </c>
      <c r="V425">
        <v>-54.622</v>
      </c>
      <c r="W425">
        <v>1</v>
      </c>
      <c r="X425">
        <v>63.48</v>
      </c>
      <c r="Y425">
        <v>87725</v>
      </c>
    </row>
    <row r="426" spans="1:25" x14ac:dyDescent="0.35">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1">
        <v>42032</v>
      </c>
      <c r="U426" s="1">
        <v>42036</v>
      </c>
      <c r="V426">
        <v>-126.81418000000001</v>
      </c>
      <c r="W426">
        <v>9</v>
      </c>
      <c r="X426">
        <v>47.64</v>
      </c>
      <c r="Y426">
        <v>87725</v>
      </c>
    </row>
    <row r="427" spans="1:25" x14ac:dyDescent="0.35">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1">
        <v>42021</v>
      </c>
      <c r="U427" s="1">
        <v>42023</v>
      </c>
      <c r="V427">
        <v>1400.1</v>
      </c>
      <c r="W427">
        <v>13</v>
      </c>
      <c r="X427">
        <v>1545.58</v>
      </c>
      <c r="Y427">
        <v>87726</v>
      </c>
    </row>
    <row r="428" spans="1:25" x14ac:dyDescent="0.35">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1">
        <v>42149</v>
      </c>
      <c r="U428" s="1">
        <v>42157</v>
      </c>
      <c r="V428">
        <v>916.68060000000014</v>
      </c>
      <c r="W428">
        <v>20</v>
      </c>
      <c r="X428">
        <v>2104.9899999999998</v>
      </c>
      <c r="Y428">
        <v>87727</v>
      </c>
    </row>
    <row r="429" spans="1:25" x14ac:dyDescent="0.35">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1">
        <v>42021</v>
      </c>
      <c r="U429" s="1">
        <v>42023</v>
      </c>
      <c r="V429">
        <v>67.599999999999923</v>
      </c>
      <c r="W429">
        <v>3</v>
      </c>
      <c r="X429">
        <v>353.1</v>
      </c>
      <c r="Y429">
        <v>87726</v>
      </c>
    </row>
    <row r="430" spans="1:25" x14ac:dyDescent="0.35">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1">
        <v>42016</v>
      </c>
      <c r="U430" s="1">
        <v>42017</v>
      </c>
      <c r="V430">
        <v>-224.64400000000001</v>
      </c>
      <c r="W430">
        <v>10</v>
      </c>
      <c r="X430">
        <v>257.52</v>
      </c>
      <c r="Y430">
        <v>91200</v>
      </c>
    </row>
    <row r="431" spans="1:25" x14ac:dyDescent="0.35">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1">
        <v>42062</v>
      </c>
      <c r="U431" s="1">
        <v>42069</v>
      </c>
      <c r="V431">
        <v>14.76</v>
      </c>
      <c r="W431">
        <v>3</v>
      </c>
      <c r="X431">
        <v>411.64</v>
      </c>
      <c r="Y431">
        <v>91201</v>
      </c>
    </row>
    <row r="432" spans="1:25" x14ac:dyDescent="0.35">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1">
        <v>42074</v>
      </c>
      <c r="U432" s="1">
        <v>42074</v>
      </c>
      <c r="V432">
        <v>10.85</v>
      </c>
      <c r="W432">
        <v>1</v>
      </c>
      <c r="X432">
        <v>17.59</v>
      </c>
      <c r="Y432">
        <v>90438</v>
      </c>
    </row>
    <row r="433" spans="1:25" x14ac:dyDescent="0.35">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1">
        <v>42074</v>
      </c>
      <c r="U433" s="1">
        <v>42076</v>
      </c>
      <c r="V433">
        <v>97.662599999999983</v>
      </c>
      <c r="W433">
        <v>22</v>
      </c>
      <c r="X433">
        <v>141.54</v>
      </c>
      <c r="Y433">
        <v>90438</v>
      </c>
    </row>
    <row r="434" spans="1:25" x14ac:dyDescent="0.35">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1">
        <v>42159</v>
      </c>
      <c r="U434" s="1">
        <v>42160</v>
      </c>
      <c r="V434">
        <v>-453.2</v>
      </c>
      <c r="W434">
        <v>4</v>
      </c>
      <c r="X434">
        <v>905.4</v>
      </c>
      <c r="Y434">
        <v>90437</v>
      </c>
    </row>
    <row r="435" spans="1:25" x14ac:dyDescent="0.35">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1">
        <v>42106</v>
      </c>
      <c r="U435" s="1">
        <v>42113</v>
      </c>
      <c r="V435">
        <v>-207.679788</v>
      </c>
      <c r="W435">
        <v>2</v>
      </c>
      <c r="X435">
        <v>243.86</v>
      </c>
      <c r="Y435">
        <v>90439</v>
      </c>
    </row>
    <row r="436" spans="1:25" x14ac:dyDescent="0.35">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1">
        <v>42046</v>
      </c>
      <c r="U436" s="1">
        <v>42048</v>
      </c>
      <c r="V436">
        <v>-7.5244000000000009</v>
      </c>
      <c r="W436">
        <v>1</v>
      </c>
      <c r="X436">
        <v>39.97</v>
      </c>
      <c r="Y436">
        <v>90258</v>
      </c>
    </row>
    <row r="437" spans="1:25" x14ac:dyDescent="0.35">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1">
        <v>42153</v>
      </c>
      <c r="U437" s="1">
        <v>42160</v>
      </c>
      <c r="V437">
        <v>-92.961000000000013</v>
      </c>
      <c r="W437">
        <v>5</v>
      </c>
      <c r="X437">
        <v>92.96</v>
      </c>
      <c r="Y437">
        <v>86639</v>
      </c>
    </row>
    <row r="438" spans="1:25" x14ac:dyDescent="0.35">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1">
        <v>42121</v>
      </c>
      <c r="U438" s="1">
        <v>42123</v>
      </c>
      <c r="V438">
        <v>613.89576</v>
      </c>
      <c r="W438">
        <v>12</v>
      </c>
      <c r="X438">
        <v>1362.2</v>
      </c>
      <c r="Y438">
        <v>87525</v>
      </c>
    </row>
    <row r="439" spans="1:25" x14ac:dyDescent="0.35">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1">
        <v>42034</v>
      </c>
      <c r="U439" s="1">
        <v>42036</v>
      </c>
      <c r="V439">
        <v>232.28159999999997</v>
      </c>
      <c r="W439">
        <v>11</v>
      </c>
      <c r="X439">
        <v>336.64</v>
      </c>
      <c r="Y439">
        <v>86279</v>
      </c>
    </row>
    <row r="440" spans="1:25" x14ac:dyDescent="0.35">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1">
        <v>42082</v>
      </c>
      <c r="U440" s="1">
        <v>42082</v>
      </c>
      <c r="V440">
        <v>-45.07</v>
      </c>
      <c r="W440">
        <v>14</v>
      </c>
      <c r="X440">
        <v>429.33</v>
      </c>
      <c r="Y440">
        <v>88667</v>
      </c>
    </row>
    <row r="441" spans="1:25" x14ac:dyDescent="0.35">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1">
        <v>42082</v>
      </c>
      <c r="U441" s="1">
        <v>42084</v>
      </c>
      <c r="V441">
        <v>-8.5299999999999994</v>
      </c>
      <c r="W441">
        <v>3</v>
      </c>
      <c r="X441">
        <v>44.66</v>
      </c>
      <c r="Y441">
        <v>88667</v>
      </c>
    </row>
    <row r="442" spans="1:25" x14ac:dyDescent="0.35">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1">
        <v>42082</v>
      </c>
      <c r="U442" s="1">
        <v>42084</v>
      </c>
      <c r="V442">
        <v>285.95</v>
      </c>
      <c r="W442">
        <v>5</v>
      </c>
      <c r="X442">
        <v>1619.95</v>
      </c>
      <c r="Y442">
        <v>88667</v>
      </c>
    </row>
    <row r="443" spans="1:25" x14ac:dyDescent="0.35">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1">
        <v>42018</v>
      </c>
      <c r="U443" s="1">
        <v>42020</v>
      </c>
      <c r="V443">
        <v>-209.25</v>
      </c>
      <c r="W443">
        <v>7</v>
      </c>
      <c r="X443">
        <v>56.44</v>
      </c>
      <c r="Y443">
        <v>88666</v>
      </c>
    </row>
    <row r="444" spans="1:25" x14ac:dyDescent="0.35">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1">
        <v>42018</v>
      </c>
      <c r="U444" s="1">
        <v>42020</v>
      </c>
      <c r="V444">
        <v>-9.1635999999999989</v>
      </c>
      <c r="W444">
        <v>3</v>
      </c>
      <c r="X444">
        <v>56.73</v>
      </c>
      <c r="Y444">
        <v>88666</v>
      </c>
    </row>
    <row r="445" spans="1:25" x14ac:dyDescent="0.35">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1">
        <v>42141</v>
      </c>
      <c r="U445" s="1">
        <v>42145</v>
      </c>
      <c r="V445">
        <v>12.706000000000017</v>
      </c>
      <c r="W445">
        <v>12</v>
      </c>
      <c r="X445">
        <v>64.41</v>
      </c>
      <c r="Y445">
        <v>88668</v>
      </c>
    </row>
    <row r="446" spans="1:25" x14ac:dyDescent="0.35">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1">
        <v>42141</v>
      </c>
      <c r="U446" s="1">
        <v>42145</v>
      </c>
      <c r="V446">
        <v>7.7151600000000045</v>
      </c>
      <c r="W446">
        <v>37</v>
      </c>
      <c r="X446">
        <v>344.57</v>
      </c>
      <c r="Y446">
        <v>88668</v>
      </c>
    </row>
    <row r="447" spans="1:25" x14ac:dyDescent="0.35">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1">
        <v>42123</v>
      </c>
      <c r="U447" s="1">
        <v>42124</v>
      </c>
      <c r="V447">
        <v>192.51689999999999</v>
      </c>
      <c r="W447">
        <v>8</v>
      </c>
      <c r="X447">
        <v>279.01</v>
      </c>
      <c r="Y447">
        <v>90962</v>
      </c>
    </row>
    <row r="448" spans="1:25" x14ac:dyDescent="0.35">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1">
        <v>42010</v>
      </c>
      <c r="U448" s="1">
        <v>42010</v>
      </c>
      <c r="V448">
        <v>-134.91200000000001</v>
      </c>
      <c r="W448">
        <v>6</v>
      </c>
      <c r="X448">
        <v>614.99</v>
      </c>
      <c r="Y448">
        <v>90961</v>
      </c>
    </row>
    <row r="449" spans="1:25" x14ac:dyDescent="0.35">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1">
        <v>42100</v>
      </c>
      <c r="U449" s="1">
        <v>42101</v>
      </c>
      <c r="V449">
        <v>-5.05</v>
      </c>
      <c r="W449">
        <v>9</v>
      </c>
      <c r="X449">
        <v>76.23</v>
      </c>
      <c r="Y449">
        <v>91513</v>
      </c>
    </row>
    <row r="450" spans="1:25" x14ac:dyDescent="0.35">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1">
        <v>42176</v>
      </c>
      <c r="U450" s="1">
        <v>42177</v>
      </c>
      <c r="V450">
        <v>-204.16</v>
      </c>
      <c r="W450">
        <v>16</v>
      </c>
      <c r="X450">
        <v>99.92</v>
      </c>
      <c r="Y450">
        <v>88753</v>
      </c>
    </row>
    <row r="451" spans="1:25" x14ac:dyDescent="0.35">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1">
        <v>42074</v>
      </c>
      <c r="U451" s="1">
        <v>42075</v>
      </c>
      <c r="V451">
        <v>-46.115000000000002</v>
      </c>
      <c r="W451">
        <v>9</v>
      </c>
      <c r="X451">
        <v>79.400000000000006</v>
      </c>
      <c r="Y451">
        <v>86867</v>
      </c>
    </row>
    <row r="452" spans="1:25" x14ac:dyDescent="0.35">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1">
        <v>42174</v>
      </c>
      <c r="U452" s="1">
        <v>42177</v>
      </c>
      <c r="V452">
        <v>-20.103999999999999</v>
      </c>
      <c r="W452">
        <v>1</v>
      </c>
      <c r="X452">
        <v>15.49</v>
      </c>
      <c r="Y452">
        <v>86869</v>
      </c>
    </row>
    <row r="453" spans="1:25" x14ac:dyDescent="0.35">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1">
        <v>42156</v>
      </c>
      <c r="U453" s="1">
        <v>42159</v>
      </c>
      <c r="V453">
        <v>-3.496</v>
      </c>
      <c r="W453">
        <v>2</v>
      </c>
      <c r="X453">
        <v>18.59</v>
      </c>
      <c r="Y453">
        <v>86868</v>
      </c>
    </row>
    <row r="454" spans="1:25" x14ac:dyDescent="0.35">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1">
        <v>42156</v>
      </c>
      <c r="U454" s="1">
        <v>42158</v>
      </c>
      <c r="V454">
        <v>-717.072</v>
      </c>
      <c r="W454">
        <v>13</v>
      </c>
      <c r="X454">
        <v>834.08</v>
      </c>
      <c r="Y454">
        <v>86868</v>
      </c>
    </row>
    <row r="455" spans="1:25" x14ac:dyDescent="0.35">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1">
        <v>42069</v>
      </c>
      <c r="U455" s="1">
        <v>42071</v>
      </c>
      <c r="V455">
        <v>-62.23</v>
      </c>
      <c r="W455">
        <v>8</v>
      </c>
      <c r="X455">
        <v>50.88</v>
      </c>
      <c r="Y455">
        <v>86870</v>
      </c>
    </row>
    <row r="456" spans="1:25" x14ac:dyDescent="0.35">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1">
        <v>42010</v>
      </c>
      <c r="U456" s="1">
        <v>42012</v>
      </c>
      <c r="V456">
        <v>131.38200000000001</v>
      </c>
      <c r="W456">
        <v>6</v>
      </c>
      <c r="X456">
        <v>958.46</v>
      </c>
      <c r="Y456">
        <v>89909</v>
      </c>
    </row>
    <row r="457" spans="1:25" x14ac:dyDescent="0.35">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1">
        <v>42010</v>
      </c>
      <c r="U457" s="1">
        <v>42012</v>
      </c>
      <c r="V457">
        <v>-89.292000000000002</v>
      </c>
      <c r="W457">
        <v>12</v>
      </c>
      <c r="X457">
        <v>368.84</v>
      </c>
      <c r="Y457">
        <v>89909</v>
      </c>
    </row>
    <row r="458" spans="1:25" x14ac:dyDescent="0.35">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1">
        <v>42010</v>
      </c>
      <c r="U458" s="1">
        <v>42011</v>
      </c>
      <c r="V458">
        <v>-211.036</v>
      </c>
      <c r="W458">
        <v>1</v>
      </c>
      <c r="X458">
        <v>30.86</v>
      </c>
      <c r="Y458">
        <v>89909</v>
      </c>
    </row>
    <row r="459" spans="1:25" x14ac:dyDescent="0.35">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1">
        <v>42091</v>
      </c>
      <c r="U459" s="1">
        <v>42097</v>
      </c>
      <c r="V459">
        <v>-13.28</v>
      </c>
      <c r="W459">
        <v>11</v>
      </c>
      <c r="X459">
        <v>568.25</v>
      </c>
      <c r="Y459">
        <v>89910</v>
      </c>
    </row>
    <row r="460" spans="1:25" x14ac:dyDescent="0.35">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1">
        <v>42091</v>
      </c>
      <c r="U460" s="1">
        <v>42093</v>
      </c>
      <c r="V460">
        <v>-48.68</v>
      </c>
      <c r="W460">
        <v>19</v>
      </c>
      <c r="X460">
        <v>126.66</v>
      </c>
      <c r="Y460">
        <v>89910</v>
      </c>
    </row>
    <row r="461" spans="1:25" x14ac:dyDescent="0.35">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1">
        <v>42123</v>
      </c>
      <c r="U461" s="1">
        <v>42124</v>
      </c>
      <c r="V461">
        <v>-184.548</v>
      </c>
      <c r="W461">
        <v>3</v>
      </c>
      <c r="X461">
        <v>93.82</v>
      </c>
      <c r="Y461">
        <v>90048</v>
      </c>
    </row>
    <row r="462" spans="1:25" x14ac:dyDescent="0.35">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1">
        <v>42013</v>
      </c>
      <c r="U462" s="1">
        <v>42015</v>
      </c>
      <c r="V462">
        <v>1220.03784</v>
      </c>
      <c r="W462">
        <v>54</v>
      </c>
      <c r="X462">
        <v>8332.91</v>
      </c>
      <c r="Y462">
        <v>40547</v>
      </c>
    </row>
    <row r="463" spans="1:25" x14ac:dyDescent="0.35">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1">
        <v>42145</v>
      </c>
      <c r="U463" s="1">
        <v>42149</v>
      </c>
      <c r="V463">
        <v>-2.87</v>
      </c>
      <c r="W463">
        <v>1</v>
      </c>
      <c r="X463">
        <v>5.9</v>
      </c>
      <c r="Y463">
        <v>90244</v>
      </c>
    </row>
    <row r="464" spans="1:25" x14ac:dyDescent="0.35">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1">
        <v>42016</v>
      </c>
      <c r="U464" s="1">
        <v>42021</v>
      </c>
      <c r="V464">
        <v>4.3808999999999996</v>
      </c>
      <c r="W464">
        <v>13</v>
      </c>
      <c r="X464">
        <v>80.23</v>
      </c>
      <c r="Y464">
        <v>89257</v>
      </c>
    </row>
    <row r="465" spans="1:25" x14ac:dyDescent="0.35">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1">
        <v>42016</v>
      </c>
      <c r="U465" s="1">
        <v>42023</v>
      </c>
      <c r="V465">
        <v>-100.744</v>
      </c>
      <c r="W465">
        <v>8</v>
      </c>
      <c r="X465">
        <v>2044.9</v>
      </c>
      <c r="Y465">
        <v>89257</v>
      </c>
    </row>
    <row r="466" spans="1:25" x14ac:dyDescent="0.35">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1">
        <v>42145</v>
      </c>
      <c r="U466" s="1">
        <v>42148</v>
      </c>
      <c r="V466">
        <v>3.3840000000000039</v>
      </c>
      <c r="W466">
        <v>4</v>
      </c>
      <c r="X466">
        <v>53.3</v>
      </c>
      <c r="Y466">
        <v>89258</v>
      </c>
    </row>
    <row r="467" spans="1:25" x14ac:dyDescent="0.35">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1">
        <v>42149</v>
      </c>
      <c r="U467" s="1">
        <v>42150</v>
      </c>
      <c r="V467">
        <v>0.34600000000000009</v>
      </c>
      <c r="W467">
        <v>3</v>
      </c>
      <c r="X467">
        <v>21.93</v>
      </c>
      <c r="Y467">
        <v>89259</v>
      </c>
    </row>
    <row r="468" spans="1:25" x14ac:dyDescent="0.35">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1">
        <v>42057</v>
      </c>
      <c r="U468" s="1">
        <v>42059</v>
      </c>
      <c r="V468">
        <v>-17.654</v>
      </c>
      <c r="W468">
        <v>5</v>
      </c>
      <c r="X468">
        <v>28.46</v>
      </c>
      <c r="Y468">
        <v>90271</v>
      </c>
    </row>
    <row r="469" spans="1:25" x14ac:dyDescent="0.35">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1">
        <v>42028</v>
      </c>
      <c r="U469" s="1">
        <v>42028</v>
      </c>
      <c r="V469">
        <v>-13.826000000000001</v>
      </c>
      <c r="W469">
        <v>6</v>
      </c>
      <c r="X469">
        <v>89.91</v>
      </c>
      <c r="Y469">
        <v>90270</v>
      </c>
    </row>
    <row r="470" spans="1:25" x14ac:dyDescent="0.35">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1">
        <v>42013</v>
      </c>
      <c r="U470" s="1">
        <v>42015</v>
      </c>
      <c r="V470">
        <v>-203.67000000000002</v>
      </c>
      <c r="W470">
        <v>11</v>
      </c>
      <c r="X470">
        <v>138.51</v>
      </c>
      <c r="Y470">
        <v>89770</v>
      </c>
    </row>
    <row r="471" spans="1:25" x14ac:dyDescent="0.35">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1">
        <v>42070</v>
      </c>
      <c r="U471" s="1">
        <v>42071</v>
      </c>
      <c r="V471">
        <v>19.57</v>
      </c>
      <c r="W471">
        <v>7</v>
      </c>
      <c r="X471">
        <v>41.96</v>
      </c>
      <c r="Y471">
        <v>88569</v>
      </c>
    </row>
    <row r="472" spans="1:25" x14ac:dyDescent="0.35">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1">
        <v>42060</v>
      </c>
      <c r="U472" s="1">
        <v>42062</v>
      </c>
      <c r="V472">
        <v>98.12</v>
      </c>
      <c r="W472">
        <v>6</v>
      </c>
      <c r="X472">
        <v>300.63</v>
      </c>
      <c r="Y472">
        <v>88568</v>
      </c>
    </row>
    <row r="473" spans="1:25" x14ac:dyDescent="0.35">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1">
        <v>42070</v>
      </c>
      <c r="U473" s="1">
        <v>42072</v>
      </c>
      <c r="V473">
        <v>107.11</v>
      </c>
      <c r="W473">
        <v>13</v>
      </c>
      <c r="X473">
        <v>240.46</v>
      </c>
      <c r="Y473">
        <v>88569</v>
      </c>
    </row>
    <row r="474" spans="1:25" x14ac:dyDescent="0.35">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1">
        <v>42070</v>
      </c>
      <c r="U474" s="1">
        <v>42072</v>
      </c>
      <c r="V474">
        <v>-216.154</v>
      </c>
      <c r="W474">
        <v>21</v>
      </c>
      <c r="X474">
        <v>74.08</v>
      </c>
      <c r="Y474">
        <v>88569</v>
      </c>
    </row>
    <row r="475" spans="1:25" x14ac:dyDescent="0.35">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1">
        <v>42124</v>
      </c>
      <c r="U475" s="1">
        <v>42124</v>
      </c>
      <c r="V475">
        <v>-6.6096000000000004</v>
      </c>
      <c r="W475">
        <v>4</v>
      </c>
      <c r="X475">
        <v>5.28</v>
      </c>
      <c r="Y475">
        <v>88571</v>
      </c>
    </row>
    <row r="476" spans="1:25" x14ac:dyDescent="0.35">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1">
        <v>42079</v>
      </c>
      <c r="U476" s="1">
        <v>42081</v>
      </c>
      <c r="V476">
        <v>-89.216999999999999</v>
      </c>
      <c r="W476">
        <v>12</v>
      </c>
      <c r="X476">
        <v>50.83</v>
      </c>
      <c r="Y476">
        <v>88570</v>
      </c>
    </row>
    <row r="477" spans="1:25" x14ac:dyDescent="0.35">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1">
        <v>42124</v>
      </c>
      <c r="U477" s="1">
        <v>42126</v>
      </c>
      <c r="V477">
        <v>1.2236</v>
      </c>
      <c r="W477">
        <v>22</v>
      </c>
      <c r="X477">
        <v>39.26</v>
      </c>
      <c r="Y477">
        <v>88571</v>
      </c>
    </row>
    <row r="478" spans="1:25" x14ac:dyDescent="0.35">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1">
        <v>42124</v>
      </c>
      <c r="U478" s="1">
        <v>42125</v>
      </c>
      <c r="V478">
        <v>4.3148</v>
      </c>
      <c r="W478">
        <v>23</v>
      </c>
      <c r="X478">
        <v>606.51</v>
      </c>
      <c r="Y478">
        <v>88571</v>
      </c>
    </row>
    <row r="479" spans="1:25" x14ac:dyDescent="0.35">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1">
        <v>42124</v>
      </c>
      <c r="U479" s="1">
        <v>42126</v>
      </c>
      <c r="V479">
        <v>-125.83296</v>
      </c>
      <c r="W479">
        <v>2</v>
      </c>
      <c r="X479">
        <v>64.89</v>
      </c>
      <c r="Y479">
        <v>88571</v>
      </c>
    </row>
    <row r="480" spans="1:25" x14ac:dyDescent="0.35">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1">
        <v>42151</v>
      </c>
      <c r="U480" s="1">
        <v>42152</v>
      </c>
      <c r="V480">
        <v>122.21</v>
      </c>
      <c r="W480">
        <v>18</v>
      </c>
      <c r="X480">
        <v>267.2</v>
      </c>
      <c r="Y480">
        <v>90674</v>
      </c>
    </row>
    <row r="481" spans="1:25" x14ac:dyDescent="0.35">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1">
        <v>42061</v>
      </c>
      <c r="U481" s="1">
        <v>42065</v>
      </c>
      <c r="V481">
        <v>-11.1332</v>
      </c>
      <c r="W481">
        <v>12</v>
      </c>
      <c r="X481">
        <v>86.79</v>
      </c>
      <c r="Y481">
        <v>90675</v>
      </c>
    </row>
    <row r="482" spans="1:25" x14ac:dyDescent="0.35">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1">
        <v>42060</v>
      </c>
      <c r="U482" s="1">
        <v>42062</v>
      </c>
      <c r="V482">
        <v>201.7353</v>
      </c>
      <c r="W482">
        <v>10</v>
      </c>
      <c r="X482">
        <v>292.37</v>
      </c>
      <c r="Y482">
        <v>91194</v>
      </c>
    </row>
    <row r="483" spans="1:25" x14ac:dyDescent="0.35">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1">
        <v>42060</v>
      </c>
      <c r="U483" s="1">
        <v>42062</v>
      </c>
      <c r="V483">
        <v>-684.78</v>
      </c>
      <c r="W483">
        <v>8</v>
      </c>
      <c r="X483">
        <v>682.79</v>
      </c>
      <c r="Y483">
        <v>91194</v>
      </c>
    </row>
    <row r="484" spans="1:25" x14ac:dyDescent="0.35">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1">
        <v>42069</v>
      </c>
      <c r="U484" s="1">
        <v>42070</v>
      </c>
      <c r="V484">
        <v>-237.47</v>
      </c>
      <c r="W484">
        <v>20</v>
      </c>
      <c r="X484">
        <v>125.77</v>
      </c>
      <c r="Y484">
        <v>91195</v>
      </c>
    </row>
    <row r="485" spans="1:25" x14ac:dyDescent="0.35">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1">
        <v>42069</v>
      </c>
      <c r="U485" s="1">
        <v>42070</v>
      </c>
      <c r="V485">
        <v>-2946.0509999999999</v>
      </c>
      <c r="W485">
        <v>12</v>
      </c>
      <c r="X485">
        <v>3918.98</v>
      </c>
      <c r="Y485">
        <v>91195</v>
      </c>
    </row>
    <row r="486" spans="1:25" x14ac:dyDescent="0.35">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1">
        <v>42078</v>
      </c>
      <c r="U486" s="1">
        <v>42080</v>
      </c>
      <c r="V486">
        <v>21.555599999999998</v>
      </c>
      <c r="W486">
        <v>2</v>
      </c>
      <c r="X486">
        <v>31.24</v>
      </c>
      <c r="Y486">
        <v>90577</v>
      </c>
    </row>
    <row r="487" spans="1:25" x14ac:dyDescent="0.35">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1">
        <v>42144</v>
      </c>
      <c r="U487" s="1">
        <v>42147</v>
      </c>
      <c r="V487">
        <v>-239.315</v>
      </c>
      <c r="W487">
        <v>12</v>
      </c>
      <c r="X487">
        <v>74.77</v>
      </c>
      <c r="Y487">
        <v>90578</v>
      </c>
    </row>
    <row r="488" spans="1:25" x14ac:dyDescent="0.35">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1">
        <v>42144</v>
      </c>
      <c r="U488" s="1">
        <v>42146</v>
      </c>
      <c r="V488">
        <v>-33.31</v>
      </c>
      <c r="W488">
        <v>18</v>
      </c>
      <c r="X488">
        <v>127.81</v>
      </c>
      <c r="Y488">
        <v>90578</v>
      </c>
    </row>
    <row r="489" spans="1:25" x14ac:dyDescent="0.35">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1">
        <v>42056</v>
      </c>
      <c r="U489" s="1">
        <v>42057</v>
      </c>
      <c r="V489">
        <v>-74.479599999999991</v>
      </c>
      <c r="W489">
        <v>18</v>
      </c>
      <c r="X489">
        <v>78.59</v>
      </c>
      <c r="Y489">
        <v>89059</v>
      </c>
    </row>
    <row r="490" spans="1:25" x14ac:dyDescent="0.35">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1">
        <v>42056</v>
      </c>
      <c r="U490" s="1">
        <v>42058</v>
      </c>
      <c r="V490">
        <v>-232.22056000000003</v>
      </c>
      <c r="W490">
        <v>4</v>
      </c>
      <c r="X490">
        <v>497.11</v>
      </c>
      <c r="Y490">
        <v>89059</v>
      </c>
    </row>
    <row r="491" spans="1:25" x14ac:dyDescent="0.35">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1">
        <v>42088</v>
      </c>
      <c r="U491" s="1">
        <v>42090</v>
      </c>
      <c r="V491">
        <v>18.643799999999999</v>
      </c>
      <c r="W491">
        <v>5</v>
      </c>
      <c r="X491">
        <v>27.02</v>
      </c>
      <c r="Y491">
        <v>86153</v>
      </c>
    </row>
    <row r="492" spans="1:25" x14ac:dyDescent="0.35">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1">
        <v>42088</v>
      </c>
      <c r="U492" s="1">
        <v>42090</v>
      </c>
      <c r="V492">
        <v>-31.24</v>
      </c>
      <c r="W492">
        <v>1</v>
      </c>
      <c r="X492">
        <v>27.67</v>
      </c>
      <c r="Y492">
        <v>86153</v>
      </c>
    </row>
    <row r="493" spans="1:25" x14ac:dyDescent="0.35">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1">
        <v>42148</v>
      </c>
      <c r="U493" s="1">
        <v>42149</v>
      </c>
      <c r="V493">
        <v>55.888000000000034</v>
      </c>
      <c r="W493">
        <v>41</v>
      </c>
      <c r="X493">
        <v>1033.56</v>
      </c>
      <c r="Y493">
        <v>89537</v>
      </c>
    </row>
    <row r="494" spans="1:25" x14ac:dyDescent="0.35">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1">
        <v>42009</v>
      </c>
      <c r="U494" s="1">
        <v>42010</v>
      </c>
      <c r="V494">
        <v>1.3224</v>
      </c>
      <c r="W494">
        <v>11</v>
      </c>
      <c r="X494">
        <v>19.97</v>
      </c>
      <c r="Y494">
        <v>89536</v>
      </c>
    </row>
    <row r="495" spans="1:25" x14ac:dyDescent="0.35">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1">
        <v>42009</v>
      </c>
      <c r="U495" s="1">
        <v>42009</v>
      </c>
      <c r="V495">
        <v>455.42069999999995</v>
      </c>
      <c r="W495">
        <v>6</v>
      </c>
      <c r="X495">
        <v>660.03</v>
      </c>
      <c r="Y495">
        <v>89536</v>
      </c>
    </row>
    <row r="496" spans="1:25" x14ac:dyDescent="0.35">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1">
        <v>42014</v>
      </c>
      <c r="U496" s="1">
        <v>42016</v>
      </c>
      <c r="V496">
        <v>29.332000000000001</v>
      </c>
      <c r="W496">
        <v>24</v>
      </c>
      <c r="X496">
        <v>199.12</v>
      </c>
      <c r="Y496">
        <v>14596</v>
      </c>
    </row>
    <row r="497" spans="1:25" x14ac:dyDescent="0.35">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1">
        <v>42014</v>
      </c>
      <c r="U497" s="1">
        <v>42015</v>
      </c>
      <c r="V497">
        <v>-86</v>
      </c>
      <c r="W497">
        <v>19</v>
      </c>
      <c r="X497">
        <v>63.14</v>
      </c>
      <c r="Y497">
        <v>14596</v>
      </c>
    </row>
    <row r="498" spans="1:25" x14ac:dyDescent="0.35">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1">
        <v>42037</v>
      </c>
      <c r="U498" s="1">
        <v>42037</v>
      </c>
      <c r="V498">
        <v>-0.49</v>
      </c>
      <c r="W498">
        <v>38</v>
      </c>
      <c r="X498">
        <v>44.85</v>
      </c>
      <c r="Y498">
        <v>38529</v>
      </c>
    </row>
    <row r="499" spans="1:25" x14ac:dyDescent="0.35">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1">
        <v>42014</v>
      </c>
      <c r="U499" s="1">
        <v>42016</v>
      </c>
      <c r="V499">
        <v>34.348199999999999</v>
      </c>
      <c r="W499">
        <v>6</v>
      </c>
      <c r="X499">
        <v>49.78</v>
      </c>
      <c r="Y499">
        <v>90166</v>
      </c>
    </row>
    <row r="500" spans="1:25" x14ac:dyDescent="0.35">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1">
        <v>42014</v>
      </c>
      <c r="U500" s="1">
        <v>42015</v>
      </c>
      <c r="V500">
        <v>-66.650000000000006</v>
      </c>
      <c r="W500">
        <v>5</v>
      </c>
      <c r="X500">
        <v>16.62</v>
      </c>
      <c r="Y500">
        <v>90166</v>
      </c>
    </row>
    <row r="501" spans="1:25" x14ac:dyDescent="0.35">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1">
        <v>42175</v>
      </c>
      <c r="U501" s="1">
        <v>42177</v>
      </c>
      <c r="V501">
        <v>35.954999999999998</v>
      </c>
      <c r="W501">
        <v>11</v>
      </c>
      <c r="X501">
        <v>517.67999999999995</v>
      </c>
      <c r="Y501">
        <v>90167</v>
      </c>
    </row>
    <row r="502" spans="1:25" x14ac:dyDescent="0.35">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1">
        <v>42016</v>
      </c>
      <c r="U502" s="1">
        <v>42017</v>
      </c>
      <c r="V502">
        <v>-173.09520000000001</v>
      </c>
      <c r="W502">
        <v>6</v>
      </c>
      <c r="X502">
        <v>573.30999999999995</v>
      </c>
      <c r="Y502">
        <v>33635</v>
      </c>
    </row>
    <row r="503" spans="1:25" x14ac:dyDescent="0.35">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1">
        <v>42016</v>
      </c>
      <c r="U503" s="1">
        <v>42017</v>
      </c>
      <c r="V503">
        <v>-96.16</v>
      </c>
      <c r="W503">
        <v>5</v>
      </c>
      <c r="X503">
        <v>140.22999999999999</v>
      </c>
      <c r="Y503">
        <v>33635</v>
      </c>
    </row>
    <row r="504" spans="1:25" x14ac:dyDescent="0.35">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1">
        <v>42031</v>
      </c>
      <c r="U504" s="1">
        <v>42031</v>
      </c>
      <c r="V504">
        <v>263.39999999999998</v>
      </c>
      <c r="W504">
        <v>47</v>
      </c>
      <c r="X504">
        <v>594.44000000000005</v>
      </c>
      <c r="Y504">
        <v>9606</v>
      </c>
    </row>
    <row r="505" spans="1:25" x14ac:dyDescent="0.35">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1">
        <v>42031</v>
      </c>
      <c r="U505" s="1">
        <v>42033</v>
      </c>
      <c r="V505">
        <v>37.31</v>
      </c>
      <c r="W505">
        <v>44</v>
      </c>
      <c r="X505">
        <v>228.5</v>
      </c>
      <c r="Y505">
        <v>9606</v>
      </c>
    </row>
    <row r="506" spans="1:25" x14ac:dyDescent="0.35">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1">
        <v>42016</v>
      </c>
      <c r="U506" s="1">
        <v>42017</v>
      </c>
      <c r="V506">
        <v>-173.09520000000001</v>
      </c>
      <c r="W506">
        <v>2</v>
      </c>
      <c r="X506">
        <v>191.1</v>
      </c>
      <c r="Y506">
        <v>86263</v>
      </c>
    </row>
    <row r="507" spans="1:25" x14ac:dyDescent="0.35">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1">
        <v>42016</v>
      </c>
      <c r="U507" s="1">
        <v>42017</v>
      </c>
      <c r="V507">
        <v>-96.16</v>
      </c>
      <c r="W507">
        <v>1</v>
      </c>
      <c r="X507">
        <v>28.05</v>
      </c>
      <c r="Y507">
        <v>86263</v>
      </c>
    </row>
    <row r="508" spans="1:25" x14ac:dyDescent="0.35">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1">
        <v>42031</v>
      </c>
      <c r="U508" s="1">
        <v>42031</v>
      </c>
      <c r="V508">
        <v>104.7213</v>
      </c>
      <c r="W508">
        <v>12</v>
      </c>
      <c r="X508">
        <v>151.77000000000001</v>
      </c>
      <c r="Y508">
        <v>86264</v>
      </c>
    </row>
    <row r="509" spans="1:25" x14ac:dyDescent="0.35">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1">
        <v>42031</v>
      </c>
      <c r="U509" s="1">
        <v>42033</v>
      </c>
      <c r="V509">
        <v>37.31</v>
      </c>
      <c r="W509">
        <v>11</v>
      </c>
      <c r="X509">
        <v>57.13</v>
      </c>
      <c r="Y509">
        <v>86264</v>
      </c>
    </row>
    <row r="510" spans="1:25" x14ac:dyDescent="0.35">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1">
        <v>42075</v>
      </c>
      <c r="U510" s="1">
        <v>42077</v>
      </c>
      <c r="V510">
        <v>80.674799999999991</v>
      </c>
      <c r="W510">
        <v>18</v>
      </c>
      <c r="X510">
        <v>116.92</v>
      </c>
      <c r="Y510">
        <v>90806</v>
      </c>
    </row>
    <row r="511" spans="1:25" x14ac:dyDescent="0.35">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1">
        <v>42061</v>
      </c>
      <c r="U511" s="1">
        <v>42062</v>
      </c>
      <c r="V511">
        <v>114.3165</v>
      </c>
      <c r="W511">
        <v>5</v>
      </c>
      <c r="X511">
        <v>151.6</v>
      </c>
      <c r="Y511">
        <v>86459</v>
      </c>
    </row>
    <row r="512" spans="1:25" x14ac:dyDescent="0.35">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1">
        <v>42172</v>
      </c>
      <c r="U512" s="1">
        <v>42174</v>
      </c>
      <c r="V512">
        <v>1107.4079999999999</v>
      </c>
      <c r="W512">
        <v>12</v>
      </c>
      <c r="X512">
        <v>31.73</v>
      </c>
      <c r="Y512">
        <v>86460</v>
      </c>
    </row>
    <row r="513" spans="1:25" x14ac:dyDescent="0.35">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1">
        <v>42138</v>
      </c>
      <c r="U513" s="1">
        <v>42138</v>
      </c>
      <c r="V513">
        <v>-149.21199999999999</v>
      </c>
      <c r="W513">
        <v>15</v>
      </c>
      <c r="X513">
        <v>85.26</v>
      </c>
      <c r="Y513">
        <v>90187</v>
      </c>
    </row>
    <row r="514" spans="1:25" x14ac:dyDescent="0.35">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1">
        <v>42035</v>
      </c>
      <c r="U514" s="1">
        <v>42037</v>
      </c>
      <c r="V514">
        <v>-21.018000000000001</v>
      </c>
      <c r="W514">
        <v>2</v>
      </c>
      <c r="X514">
        <v>16.600000000000001</v>
      </c>
      <c r="Y514">
        <v>90185</v>
      </c>
    </row>
    <row r="515" spans="1:25" x14ac:dyDescent="0.35">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1">
        <v>42035</v>
      </c>
      <c r="U515" s="1">
        <v>42036</v>
      </c>
      <c r="V515">
        <v>-655.52987500000006</v>
      </c>
      <c r="W515">
        <v>10</v>
      </c>
      <c r="X515">
        <v>2285.41</v>
      </c>
      <c r="Y515">
        <v>90185</v>
      </c>
    </row>
    <row r="516" spans="1:25" x14ac:dyDescent="0.35">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1">
        <v>42098</v>
      </c>
      <c r="U516" s="1">
        <v>42100</v>
      </c>
      <c r="V516">
        <v>354.32879999999994</v>
      </c>
      <c r="W516">
        <v>8</v>
      </c>
      <c r="X516">
        <v>513.52</v>
      </c>
      <c r="Y516">
        <v>90186</v>
      </c>
    </row>
    <row r="517" spans="1:25" x14ac:dyDescent="0.35">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1">
        <v>42008</v>
      </c>
      <c r="U517" s="1">
        <v>42009</v>
      </c>
      <c r="V517">
        <v>-489.41559999999998</v>
      </c>
      <c r="W517">
        <v>1</v>
      </c>
      <c r="X517">
        <v>346.52</v>
      </c>
      <c r="Y517">
        <v>86356</v>
      </c>
    </row>
    <row r="518" spans="1:25" x14ac:dyDescent="0.35">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1">
        <v>42008</v>
      </c>
      <c r="U518" s="1">
        <v>42015</v>
      </c>
      <c r="V518">
        <v>35.31</v>
      </c>
      <c r="W518">
        <v>3</v>
      </c>
      <c r="X518">
        <v>499.31</v>
      </c>
      <c r="Y518">
        <v>86357</v>
      </c>
    </row>
    <row r="519" spans="1:25" x14ac:dyDescent="0.35">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1">
        <v>42106</v>
      </c>
      <c r="U519" s="1">
        <v>42108</v>
      </c>
      <c r="V519">
        <v>6.11</v>
      </c>
      <c r="W519">
        <v>2</v>
      </c>
      <c r="X519">
        <v>73.099999999999994</v>
      </c>
      <c r="Y519">
        <v>90492</v>
      </c>
    </row>
    <row r="520" spans="1:25" x14ac:dyDescent="0.35">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1">
        <v>42144</v>
      </c>
      <c r="U520" s="1">
        <v>42145</v>
      </c>
      <c r="V520">
        <v>187.41200000000026</v>
      </c>
      <c r="W520">
        <v>39</v>
      </c>
      <c r="X520">
        <v>2115.06</v>
      </c>
      <c r="Y520">
        <v>90493</v>
      </c>
    </row>
    <row r="521" spans="1:25" x14ac:dyDescent="0.35">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1">
        <v>42106</v>
      </c>
      <c r="U521" s="1">
        <v>42106</v>
      </c>
      <c r="V521">
        <v>-6.34</v>
      </c>
      <c r="W521">
        <v>6</v>
      </c>
      <c r="X521">
        <v>47.95</v>
      </c>
      <c r="Y521">
        <v>90492</v>
      </c>
    </row>
    <row r="522" spans="1:25" x14ac:dyDescent="0.35">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1">
        <v>42090</v>
      </c>
      <c r="U522" s="1">
        <v>42095</v>
      </c>
      <c r="V522">
        <v>92.722199999999987</v>
      </c>
      <c r="W522">
        <v>9</v>
      </c>
      <c r="X522">
        <v>134.38</v>
      </c>
      <c r="Y522">
        <v>90491</v>
      </c>
    </row>
    <row r="523" spans="1:25" x14ac:dyDescent="0.35">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1">
        <v>42106</v>
      </c>
      <c r="U523" s="1">
        <v>42108</v>
      </c>
      <c r="V523">
        <v>-160.27549999999999</v>
      </c>
      <c r="W523">
        <v>9</v>
      </c>
      <c r="X523">
        <v>76.77</v>
      </c>
      <c r="Y523">
        <v>90492</v>
      </c>
    </row>
    <row r="524" spans="1:25" x14ac:dyDescent="0.35">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1">
        <v>42144</v>
      </c>
      <c r="U524" s="1">
        <v>42145</v>
      </c>
      <c r="V524">
        <v>396.97199999999998</v>
      </c>
      <c r="W524">
        <v>14</v>
      </c>
      <c r="X524">
        <v>782</v>
      </c>
      <c r="Y524">
        <v>87135</v>
      </c>
    </row>
    <row r="525" spans="1:25" x14ac:dyDescent="0.35">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1">
        <v>42100</v>
      </c>
      <c r="U525" s="1">
        <v>42100</v>
      </c>
      <c r="V525">
        <v>-7.04</v>
      </c>
      <c r="W525">
        <v>7</v>
      </c>
      <c r="X525">
        <v>15.73</v>
      </c>
      <c r="Y525">
        <v>87134</v>
      </c>
    </row>
    <row r="526" spans="1:25" x14ac:dyDescent="0.35">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1">
        <v>42100</v>
      </c>
      <c r="U526" s="1">
        <v>42102</v>
      </c>
      <c r="V526">
        <v>538.52</v>
      </c>
      <c r="W526">
        <v>10</v>
      </c>
      <c r="X526">
        <v>1719.07</v>
      </c>
      <c r="Y526">
        <v>87134</v>
      </c>
    </row>
    <row r="527" spans="1:25" x14ac:dyDescent="0.35">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1">
        <v>42052</v>
      </c>
      <c r="U527" s="1">
        <v>42054</v>
      </c>
      <c r="V527">
        <v>-4.1399999999999997</v>
      </c>
      <c r="W527">
        <v>1</v>
      </c>
      <c r="X527">
        <v>8.41</v>
      </c>
      <c r="Y527">
        <v>90588</v>
      </c>
    </row>
    <row r="528" spans="1:25" x14ac:dyDescent="0.35">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1">
        <v>42182</v>
      </c>
      <c r="U528" s="1">
        <v>42182</v>
      </c>
      <c r="V528">
        <v>-31.885000000000002</v>
      </c>
      <c r="W528">
        <v>17</v>
      </c>
      <c r="X528">
        <v>104.95</v>
      </c>
      <c r="Y528">
        <v>90589</v>
      </c>
    </row>
    <row r="529" spans="1:25" x14ac:dyDescent="0.35">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1">
        <v>42182</v>
      </c>
      <c r="U529" s="1">
        <v>42183</v>
      </c>
      <c r="V529">
        <v>-95.21050000000001</v>
      </c>
      <c r="W529">
        <v>3</v>
      </c>
      <c r="X529">
        <v>166.59</v>
      </c>
      <c r="Y529">
        <v>90589</v>
      </c>
    </row>
    <row r="530" spans="1:25" x14ac:dyDescent="0.35">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1">
        <v>42108</v>
      </c>
      <c r="U530" s="1">
        <v>42113</v>
      </c>
      <c r="V530">
        <v>-193.58</v>
      </c>
      <c r="W530">
        <v>4</v>
      </c>
      <c r="X530">
        <v>396.19</v>
      </c>
      <c r="Y530">
        <v>90844</v>
      </c>
    </row>
    <row r="531" spans="1:25" x14ac:dyDescent="0.35">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1">
        <v>42069</v>
      </c>
      <c r="U531" s="1">
        <v>42069</v>
      </c>
      <c r="V531">
        <v>-4.3009999999999939</v>
      </c>
      <c r="W531">
        <v>3</v>
      </c>
      <c r="X531">
        <v>98.7</v>
      </c>
      <c r="Y531">
        <v>86567</v>
      </c>
    </row>
    <row r="532" spans="1:25" x14ac:dyDescent="0.35">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1">
        <v>42064</v>
      </c>
      <c r="U532" s="1">
        <v>42065</v>
      </c>
      <c r="V532">
        <v>-1570.32</v>
      </c>
      <c r="W532">
        <v>20</v>
      </c>
      <c r="X532">
        <v>1782.44</v>
      </c>
      <c r="Y532">
        <v>86566</v>
      </c>
    </row>
    <row r="533" spans="1:25" x14ac:dyDescent="0.35">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1">
        <v>42015</v>
      </c>
      <c r="U533" s="1">
        <v>42017</v>
      </c>
      <c r="V533">
        <v>27.23</v>
      </c>
      <c r="W533">
        <v>5</v>
      </c>
      <c r="X533">
        <v>72.11</v>
      </c>
      <c r="Y533">
        <v>86565</v>
      </c>
    </row>
    <row r="534" spans="1:25" x14ac:dyDescent="0.35">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1">
        <v>42006</v>
      </c>
      <c r="U534" s="1">
        <v>42008</v>
      </c>
      <c r="V534">
        <v>-19.099200000000003</v>
      </c>
      <c r="W534">
        <v>3</v>
      </c>
      <c r="X534">
        <v>124.81</v>
      </c>
      <c r="Y534">
        <v>9285</v>
      </c>
    </row>
    <row r="535" spans="1:25" x14ac:dyDescent="0.35">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1">
        <v>42085</v>
      </c>
      <c r="U535" s="1">
        <v>42089</v>
      </c>
      <c r="V535">
        <v>373.67</v>
      </c>
      <c r="W535">
        <v>18</v>
      </c>
      <c r="X535">
        <v>881.32</v>
      </c>
      <c r="Y535">
        <v>8257</v>
      </c>
    </row>
    <row r="536" spans="1:25" x14ac:dyDescent="0.35">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1">
        <v>42006</v>
      </c>
      <c r="U536" s="1">
        <v>42008</v>
      </c>
      <c r="V536">
        <v>-14.801880000000001</v>
      </c>
      <c r="W536">
        <v>1</v>
      </c>
      <c r="X536">
        <v>41.6</v>
      </c>
      <c r="Y536">
        <v>89083</v>
      </c>
    </row>
    <row r="537" spans="1:25" x14ac:dyDescent="0.35">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1">
        <v>42085</v>
      </c>
      <c r="U537" s="1">
        <v>42085</v>
      </c>
      <c r="V537">
        <v>-2561.3235</v>
      </c>
      <c r="W537">
        <v>1</v>
      </c>
      <c r="X537">
        <v>1497.22</v>
      </c>
      <c r="Y537">
        <v>89084</v>
      </c>
    </row>
    <row r="538" spans="1:25" x14ac:dyDescent="0.35">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1">
        <v>42085</v>
      </c>
      <c r="U538" s="1">
        <v>42089</v>
      </c>
      <c r="V538">
        <v>168.91889999999998</v>
      </c>
      <c r="W538">
        <v>5</v>
      </c>
      <c r="X538">
        <v>244.81</v>
      </c>
      <c r="Y538">
        <v>89084</v>
      </c>
    </row>
    <row r="539" spans="1:25" x14ac:dyDescent="0.35">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1">
        <v>42085</v>
      </c>
      <c r="U539" s="1">
        <v>42092</v>
      </c>
      <c r="V539">
        <v>-6.2</v>
      </c>
      <c r="W539">
        <v>1</v>
      </c>
      <c r="X539">
        <v>4.55</v>
      </c>
      <c r="Y539">
        <v>89084</v>
      </c>
    </row>
    <row r="540" spans="1:25" x14ac:dyDescent="0.35">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1">
        <v>42047</v>
      </c>
      <c r="U540" s="1">
        <v>42056</v>
      </c>
      <c r="V540">
        <v>19.064699999999998</v>
      </c>
      <c r="W540">
        <v>4</v>
      </c>
      <c r="X540">
        <v>27.63</v>
      </c>
      <c r="Y540">
        <v>90771</v>
      </c>
    </row>
    <row r="541" spans="1:25" x14ac:dyDescent="0.35">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1">
        <v>42047</v>
      </c>
      <c r="U541" s="1">
        <v>42047</v>
      </c>
      <c r="V541">
        <v>10.56</v>
      </c>
      <c r="W541">
        <v>5</v>
      </c>
      <c r="X541">
        <v>31.21</v>
      </c>
      <c r="Y541">
        <v>90771</v>
      </c>
    </row>
    <row r="542" spans="1:25" x14ac:dyDescent="0.35">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1">
        <v>42085</v>
      </c>
      <c r="U542" s="1">
        <v>42086</v>
      </c>
      <c r="V542">
        <v>837.68069999999989</v>
      </c>
      <c r="W542">
        <v>8</v>
      </c>
      <c r="X542">
        <v>1214.03</v>
      </c>
      <c r="Y542">
        <v>91581</v>
      </c>
    </row>
    <row r="543" spans="1:25" x14ac:dyDescent="0.35">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1">
        <v>42039</v>
      </c>
      <c r="U543" s="1">
        <v>42043</v>
      </c>
      <c r="V543">
        <v>-4.2</v>
      </c>
      <c r="W543">
        <v>1</v>
      </c>
      <c r="X543">
        <v>3.51</v>
      </c>
      <c r="Y543">
        <v>89401</v>
      </c>
    </row>
    <row r="544" spans="1:25" x14ac:dyDescent="0.35">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1">
        <v>42059</v>
      </c>
      <c r="U544" s="1">
        <v>42059</v>
      </c>
      <c r="V544">
        <v>-44.163600000000002</v>
      </c>
      <c r="W544">
        <v>1</v>
      </c>
      <c r="X544">
        <v>120.12</v>
      </c>
      <c r="Y544">
        <v>89402</v>
      </c>
    </row>
    <row r="545" spans="1:25" x14ac:dyDescent="0.35">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1">
        <v>42039</v>
      </c>
      <c r="U545" s="1">
        <v>42043</v>
      </c>
      <c r="V545">
        <v>-4.2</v>
      </c>
      <c r="W545">
        <v>2</v>
      </c>
      <c r="X545">
        <v>7.01</v>
      </c>
      <c r="Y545">
        <v>17636</v>
      </c>
    </row>
    <row r="546" spans="1:25" x14ac:dyDescent="0.35">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1">
        <v>42114</v>
      </c>
      <c r="U546" s="1">
        <v>42115</v>
      </c>
      <c r="V546">
        <v>-102.66200000000001</v>
      </c>
      <c r="W546">
        <v>8</v>
      </c>
      <c r="X546">
        <v>1452.18</v>
      </c>
      <c r="Y546">
        <v>86173</v>
      </c>
    </row>
    <row r="547" spans="1:25" x14ac:dyDescent="0.35">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1">
        <v>42063</v>
      </c>
      <c r="U547" s="1">
        <v>42068</v>
      </c>
      <c r="V547">
        <v>-116.584</v>
      </c>
      <c r="W547">
        <v>2</v>
      </c>
      <c r="X547">
        <v>619.38</v>
      </c>
      <c r="Y547">
        <v>87259</v>
      </c>
    </row>
    <row r="548" spans="1:25" x14ac:dyDescent="0.35">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1">
        <v>42063</v>
      </c>
      <c r="U548" s="1">
        <v>42063</v>
      </c>
      <c r="V548">
        <v>12.896100000000001</v>
      </c>
      <c r="W548">
        <v>1</v>
      </c>
      <c r="X548">
        <v>18.690000000000001</v>
      </c>
      <c r="Y548">
        <v>87259</v>
      </c>
    </row>
    <row r="549" spans="1:25" x14ac:dyDescent="0.35">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1">
        <v>42098</v>
      </c>
      <c r="U549" s="1">
        <v>42103</v>
      </c>
      <c r="V549">
        <v>-21.319199999999999</v>
      </c>
      <c r="W549">
        <v>3</v>
      </c>
      <c r="X549">
        <v>8.8000000000000007</v>
      </c>
      <c r="Y549">
        <v>87260</v>
      </c>
    </row>
    <row r="550" spans="1:25" x14ac:dyDescent="0.35">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1">
        <v>42040</v>
      </c>
      <c r="U550" s="1">
        <v>42041</v>
      </c>
      <c r="V550">
        <v>93.846800000000002</v>
      </c>
      <c r="W550">
        <v>12</v>
      </c>
      <c r="X550">
        <v>477.2</v>
      </c>
      <c r="Y550">
        <v>87258</v>
      </c>
    </row>
    <row r="551" spans="1:25" x14ac:dyDescent="0.35">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1">
        <v>42121</v>
      </c>
      <c r="U551" s="1">
        <v>42121</v>
      </c>
      <c r="V551">
        <v>17.771999999999998</v>
      </c>
      <c r="W551">
        <v>10</v>
      </c>
      <c r="X551">
        <v>2848.38</v>
      </c>
      <c r="Y551">
        <v>90201</v>
      </c>
    </row>
    <row r="552" spans="1:25" x14ac:dyDescent="0.35">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1">
        <v>42054</v>
      </c>
      <c r="U552" s="1">
        <v>42054</v>
      </c>
      <c r="V552">
        <v>-104.57</v>
      </c>
      <c r="W552">
        <v>9</v>
      </c>
      <c r="X552">
        <v>38.58</v>
      </c>
      <c r="Y552">
        <v>89432</v>
      </c>
    </row>
    <row r="553" spans="1:25" x14ac:dyDescent="0.35">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1">
        <v>42077</v>
      </c>
      <c r="U553" s="1">
        <v>42078</v>
      </c>
      <c r="V553">
        <v>-969.0483660000001</v>
      </c>
      <c r="W553">
        <v>2</v>
      </c>
      <c r="X553">
        <v>810.47</v>
      </c>
      <c r="Y553">
        <v>89433</v>
      </c>
    </row>
    <row r="554" spans="1:25" x14ac:dyDescent="0.35">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1">
        <v>42134</v>
      </c>
      <c r="U554" s="1">
        <v>42139</v>
      </c>
      <c r="V554">
        <v>4.0320000000000036</v>
      </c>
      <c r="W554">
        <v>9</v>
      </c>
      <c r="X554">
        <v>72.83</v>
      </c>
      <c r="Y554">
        <v>89434</v>
      </c>
    </row>
    <row r="555" spans="1:25" x14ac:dyDescent="0.35">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1">
        <v>42028</v>
      </c>
      <c r="U555" s="1">
        <v>42033</v>
      </c>
      <c r="V555">
        <v>-23.634399999999999</v>
      </c>
      <c r="W555">
        <v>1</v>
      </c>
      <c r="X555">
        <v>63.66</v>
      </c>
      <c r="Y555">
        <v>89431</v>
      </c>
    </row>
    <row r="556" spans="1:25" x14ac:dyDescent="0.35">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1">
        <v>42077</v>
      </c>
      <c r="U556" s="1">
        <v>42078</v>
      </c>
      <c r="V556">
        <v>-71.83</v>
      </c>
      <c r="W556">
        <v>3</v>
      </c>
      <c r="X556">
        <v>127.22</v>
      </c>
      <c r="Y556">
        <v>89433</v>
      </c>
    </row>
    <row r="557" spans="1:25" x14ac:dyDescent="0.35">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1">
        <v>42077</v>
      </c>
      <c r="U557" s="1">
        <v>42078</v>
      </c>
      <c r="V557">
        <v>-0.74000000000000909</v>
      </c>
      <c r="W557">
        <v>12</v>
      </c>
      <c r="X557">
        <v>432.44</v>
      </c>
      <c r="Y557">
        <v>89433</v>
      </c>
    </row>
    <row r="558" spans="1:25" x14ac:dyDescent="0.35">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1">
        <v>42067</v>
      </c>
      <c r="U558" s="1">
        <v>42067</v>
      </c>
      <c r="V558">
        <v>-3.88</v>
      </c>
      <c r="W558">
        <v>1</v>
      </c>
      <c r="X558">
        <v>12.18</v>
      </c>
      <c r="Y558">
        <v>90043</v>
      </c>
    </row>
    <row r="559" spans="1:25" x14ac:dyDescent="0.35">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1">
        <v>42062</v>
      </c>
      <c r="U559" s="1">
        <v>42063</v>
      </c>
      <c r="V559">
        <v>551.09280000000001</v>
      </c>
      <c r="W559">
        <v>23</v>
      </c>
      <c r="X559">
        <v>950.43</v>
      </c>
      <c r="Y559">
        <v>90044</v>
      </c>
    </row>
    <row r="560" spans="1:25" x14ac:dyDescent="0.35">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1">
        <v>42149</v>
      </c>
      <c r="U560" s="1">
        <v>42151</v>
      </c>
      <c r="V560">
        <v>17.505299999999998</v>
      </c>
      <c r="W560">
        <v>8</v>
      </c>
      <c r="X560">
        <v>25.37</v>
      </c>
      <c r="Y560">
        <v>88371</v>
      </c>
    </row>
    <row r="561" spans="1:25" x14ac:dyDescent="0.35">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1">
        <v>42174</v>
      </c>
      <c r="U561" s="1">
        <v>42176</v>
      </c>
      <c r="V561">
        <v>818.54617499999995</v>
      </c>
      <c r="W561">
        <v>14</v>
      </c>
      <c r="X561">
        <v>6963.67</v>
      </c>
      <c r="Y561">
        <v>88372</v>
      </c>
    </row>
    <row r="562" spans="1:25" x14ac:dyDescent="0.35">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1">
        <v>42064</v>
      </c>
      <c r="U562" s="1">
        <v>42065</v>
      </c>
      <c r="V562">
        <v>-17.149999999999999</v>
      </c>
      <c r="W562">
        <v>6</v>
      </c>
      <c r="X562">
        <v>160.16999999999999</v>
      </c>
      <c r="Y562">
        <v>88387</v>
      </c>
    </row>
    <row r="563" spans="1:25" x14ac:dyDescent="0.35">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1">
        <v>42064</v>
      </c>
      <c r="U563" s="1">
        <v>42066</v>
      </c>
      <c r="V563">
        <v>-29.540000000000003</v>
      </c>
      <c r="W563">
        <v>3</v>
      </c>
      <c r="X563">
        <v>7.47</v>
      </c>
      <c r="Y563">
        <v>88387</v>
      </c>
    </row>
    <row r="564" spans="1:25" x14ac:dyDescent="0.35">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1">
        <v>42064</v>
      </c>
      <c r="U564" s="1">
        <v>42065</v>
      </c>
      <c r="V564">
        <v>-329.78399999999999</v>
      </c>
      <c r="W564">
        <v>10</v>
      </c>
      <c r="X564">
        <v>370.81</v>
      </c>
      <c r="Y564">
        <v>88387</v>
      </c>
    </row>
    <row r="565" spans="1:25" x14ac:dyDescent="0.35">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1">
        <v>42068</v>
      </c>
      <c r="U565" s="1">
        <v>42069</v>
      </c>
      <c r="V565">
        <v>-2.1</v>
      </c>
      <c r="W565">
        <v>11</v>
      </c>
      <c r="X565">
        <v>119.99</v>
      </c>
      <c r="Y565">
        <v>88388</v>
      </c>
    </row>
    <row r="566" spans="1:25" x14ac:dyDescent="0.35">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1">
        <v>42081</v>
      </c>
      <c r="U566" s="1">
        <v>42081</v>
      </c>
      <c r="V566">
        <v>829.46699999999998</v>
      </c>
      <c r="W566">
        <v>14</v>
      </c>
      <c r="X566">
        <v>650.70000000000005</v>
      </c>
      <c r="Y566">
        <v>88390</v>
      </c>
    </row>
    <row r="567" spans="1:25" x14ac:dyDescent="0.35">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1">
        <v>42167</v>
      </c>
      <c r="U567" s="1">
        <v>42168</v>
      </c>
      <c r="V567">
        <v>111.22199999999999</v>
      </c>
      <c r="W567">
        <v>1</v>
      </c>
      <c r="X567">
        <v>11.41</v>
      </c>
      <c r="Y567">
        <v>88389</v>
      </c>
    </row>
    <row r="568" spans="1:25" x14ac:dyDescent="0.35">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1">
        <v>42102</v>
      </c>
      <c r="U568" s="1">
        <v>42103</v>
      </c>
      <c r="V568">
        <v>22.866</v>
      </c>
      <c r="W568">
        <v>19</v>
      </c>
      <c r="X568">
        <v>680.39</v>
      </c>
      <c r="Y568">
        <v>88391</v>
      </c>
    </row>
    <row r="569" spans="1:25" x14ac:dyDescent="0.35">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1">
        <v>42102</v>
      </c>
      <c r="U569" s="1">
        <v>42102</v>
      </c>
      <c r="V569">
        <v>115.72799999999999</v>
      </c>
      <c r="W569">
        <v>6</v>
      </c>
      <c r="X569">
        <v>75.52</v>
      </c>
      <c r="Y569">
        <v>88391</v>
      </c>
    </row>
    <row r="570" spans="1:25" x14ac:dyDescent="0.35">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1">
        <v>42070</v>
      </c>
      <c r="U570" s="1">
        <v>42070</v>
      </c>
      <c r="V570">
        <v>909.36</v>
      </c>
      <c r="W570">
        <v>5</v>
      </c>
      <c r="X570">
        <v>2354.54</v>
      </c>
      <c r="Y570">
        <v>88632</v>
      </c>
    </row>
    <row r="571" spans="1:25" x14ac:dyDescent="0.35">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1">
        <v>42041</v>
      </c>
      <c r="U571" s="1">
        <v>42042</v>
      </c>
      <c r="V571">
        <v>-76.424400000000006</v>
      </c>
      <c r="W571">
        <v>20</v>
      </c>
      <c r="X571">
        <v>79.06</v>
      </c>
      <c r="Y571">
        <v>88634</v>
      </c>
    </row>
    <row r="572" spans="1:25" x14ac:dyDescent="0.35">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1">
        <v>42041</v>
      </c>
      <c r="U572" s="1">
        <v>42043</v>
      </c>
      <c r="V572">
        <v>8.7319999999999993</v>
      </c>
      <c r="W572">
        <v>14</v>
      </c>
      <c r="X572">
        <v>65.14</v>
      </c>
      <c r="Y572">
        <v>88634</v>
      </c>
    </row>
    <row r="573" spans="1:25" x14ac:dyDescent="0.35">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1">
        <v>42139</v>
      </c>
      <c r="U573" s="1">
        <v>42139</v>
      </c>
      <c r="V573">
        <v>442.0899</v>
      </c>
      <c r="W573">
        <v>16</v>
      </c>
      <c r="X573">
        <v>640.71</v>
      </c>
      <c r="Y573">
        <v>88633</v>
      </c>
    </row>
    <row r="574" spans="1:25" x14ac:dyDescent="0.35">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1">
        <v>42139</v>
      </c>
      <c r="U574" s="1">
        <v>42140</v>
      </c>
      <c r="V574">
        <v>455.12399999999997</v>
      </c>
      <c r="W574">
        <v>18</v>
      </c>
      <c r="X574">
        <v>659.6</v>
      </c>
      <c r="Y574">
        <v>88633</v>
      </c>
    </row>
    <row r="575" spans="1:25" x14ac:dyDescent="0.35">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1">
        <v>42042</v>
      </c>
      <c r="U575" s="1">
        <v>42042</v>
      </c>
      <c r="V575">
        <v>624.40163999999993</v>
      </c>
      <c r="W575">
        <v>22</v>
      </c>
      <c r="X575">
        <v>1137.5999999999999</v>
      </c>
      <c r="Y575">
        <v>89005</v>
      </c>
    </row>
    <row r="576" spans="1:25" x14ac:dyDescent="0.35">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1">
        <v>42153</v>
      </c>
      <c r="U576" s="1">
        <v>42154</v>
      </c>
      <c r="V576">
        <v>18.922000000000011</v>
      </c>
      <c r="W576">
        <v>26</v>
      </c>
      <c r="X576">
        <v>151.55000000000001</v>
      </c>
      <c r="Y576">
        <v>89008</v>
      </c>
    </row>
    <row r="577" spans="1:25" x14ac:dyDescent="0.35">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1">
        <v>42153</v>
      </c>
      <c r="U577" s="1">
        <v>42156</v>
      </c>
      <c r="V577">
        <v>39.350699999999996</v>
      </c>
      <c r="W577">
        <v>22</v>
      </c>
      <c r="X577">
        <v>57.03</v>
      </c>
      <c r="Y577">
        <v>89008</v>
      </c>
    </row>
    <row r="578" spans="1:25" x14ac:dyDescent="0.35">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1">
        <v>42075</v>
      </c>
      <c r="U578" s="1">
        <v>42076</v>
      </c>
      <c r="V578">
        <v>-229.87</v>
      </c>
      <c r="W578">
        <v>5</v>
      </c>
      <c r="X578">
        <v>347.23</v>
      </c>
      <c r="Y578">
        <v>89004</v>
      </c>
    </row>
    <row r="579" spans="1:25" x14ac:dyDescent="0.35">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1">
        <v>42075</v>
      </c>
      <c r="U579" s="1">
        <v>42076</v>
      </c>
      <c r="V579">
        <v>329.9787</v>
      </c>
      <c r="W579">
        <v>9</v>
      </c>
      <c r="X579">
        <v>478.23</v>
      </c>
      <c r="Y579">
        <v>89004</v>
      </c>
    </row>
    <row r="580" spans="1:25" x14ac:dyDescent="0.35">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1">
        <v>42092</v>
      </c>
      <c r="U580" s="1">
        <v>42093</v>
      </c>
      <c r="V580">
        <v>30.49</v>
      </c>
      <c r="W580">
        <v>13</v>
      </c>
      <c r="X580">
        <v>93.82</v>
      </c>
      <c r="Y580">
        <v>89006</v>
      </c>
    </row>
    <row r="581" spans="1:25" x14ac:dyDescent="0.35">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1">
        <v>42132</v>
      </c>
      <c r="U581" s="1">
        <v>42133</v>
      </c>
      <c r="V581">
        <v>1152.5276999999999</v>
      </c>
      <c r="W581">
        <v>20</v>
      </c>
      <c r="X581">
        <v>1670.33</v>
      </c>
      <c r="Y581">
        <v>89007</v>
      </c>
    </row>
    <row r="582" spans="1:25" x14ac:dyDescent="0.35">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1">
        <v>42076</v>
      </c>
      <c r="U582" s="1">
        <v>42076</v>
      </c>
      <c r="V582">
        <v>-604.40600000000006</v>
      </c>
      <c r="W582">
        <v>1</v>
      </c>
      <c r="X582">
        <v>100.59</v>
      </c>
      <c r="Y582">
        <v>90710</v>
      </c>
    </row>
    <row r="583" spans="1:25" x14ac:dyDescent="0.35">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1">
        <v>42076</v>
      </c>
      <c r="U583" s="1">
        <v>42077</v>
      </c>
      <c r="V583">
        <v>293.66000000000003</v>
      </c>
      <c r="W583">
        <v>6</v>
      </c>
      <c r="X583">
        <v>598.38</v>
      </c>
      <c r="Y583">
        <v>90710</v>
      </c>
    </row>
    <row r="584" spans="1:25" x14ac:dyDescent="0.35">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1">
        <v>42171</v>
      </c>
      <c r="U584" s="1">
        <v>42172</v>
      </c>
      <c r="V584">
        <v>-403.18739999999997</v>
      </c>
      <c r="W584">
        <v>5</v>
      </c>
      <c r="X584">
        <v>39.36</v>
      </c>
      <c r="Y584">
        <v>90641</v>
      </c>
    </row>
    <row r="585" spans="1:25" x14ac:dyDescent="0.35">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1">
        <v>42111</v>
      </c>
      <c r="U585" s="1">
        <v>42112</v>
      </c>
      <c r="V585">
        <v>-13.77</v>
      </c>
      <c r="W585">
        <v>6</v>
      </c>
      <c r="X585">
        <v>322.77</v>
      </c>
      <c r="Y585">
        <v>87846</v>
      </c>
    </row>
    <row r="586" spans="1:25" x14ac:dyDescent="0.35">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1">
        <v>42111</v>
      </c>
      <c r="U586" s="1">
        <v>42111</v>
      </c>
      <c r="V586">
        <v>44.912100000000002</v>
      </c>
      <c r="W586">
        <v>11</v>
      </c>
      <c r="X586">
        <v>65.09</v>
      </c>
      <c r="Y586">
        <v>87846</v>
      </c>
    </row>
    <row r="587" spans="1:25" x14ac:dyDescent="0.35">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1">
        <v>42140</v>
      </c>
      <c r="U587" s="1">
        <v>42141</v>
      </c>
      <c r="V587">
        <v>9.33</v>
      </c>
      <c r="W587">
        <v>6</v>
      </c>
      <c r="X587">
        <v>98.96</v>
      </c>
      <c r="Y587">
        <v>87847</v>
      </c>
    </row>
    <row r="588" spans="1:25" x14ac:dyDescent="0.35">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1">
        <v>42169</v>
      </c>
      <c r="U588" s="1">
        <v>42169</v>
      </c>
      <c r="V588">
        <v>2593.14</v>
      </c>
      <c r="W588">
        <v>62</v>
      </c>
      <c r="X588">
        <v>13546.94</v>
      </c>
      <c r="Y588">
        <v>28001</v>
      </c>
    </row>
    <row r="589" spans="1:25" x14ac:dyDescent="0.35">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1">
        <v>42169</v>
      </c>
      <c r="U589" s="1">
        <v>42171</v>
      </c>
      <c r="V589">
        <v>1162.76</v>
      </c>
      <c r="W589">
        <v>32</v>
      </c>
      <c r="X589">
        <v>6401.65</v>
      </c>
      <c r="Y589">
        <v>28001</v>
      </c>
    </row>
    <row r="590" spans="1:25" x14ac:dyDescent="0.35">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1">
        <v>42062</v>
      </c>
      <c r="U590" s="1">
        <v>42063</v>
      </c>
      <c r="V590">
        <v>-76.94</v>
      </c>
      <c r="W590">
        <v>90</v>
      </c>
      <c r="X590">
        <v>617.4</v>
      </c>
      <c r="Y590">
        <v>47813</v>
      </c>
    </row>
    <row r="591" spans="1:25" x14ac:dyDescent="0.35">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1">
        <v>42062</v>
      </c>
      <c r="U591" s="1">
        <v>42063</v>
      </c>
      <c r="V591">
        <v>-40.008800000000001</v>
      </c>
      <c r="W591">
        <v>23</v>
      </c>
      <c r="X591">
        <v>157.78</v>
      </c>
      <c r="Y591">
        <v>89389</v>
      </c>
    </row>
    <row r="592" spans="1:25" x14ac:dyDescent="0.35">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1">
        <v>42149</v>
      </c>
      <c r="U592" s="1">
        <v>42151</v>
      </c>
      <c r="V592">
        <v>-51.704000000000001</v>
      </c>
      <c r="W592">
        <v>4</v>
      </c>
      <c r="X592">
        <v>26.31</v>
      </c>
      <c r="Y592">
        <v>90069</v>
      </c>
    </row>
    <row r="593" spans="1:25" x14ac:dyDescent="0.35">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1">
        <v>42149</v>
      </c>
      <c r="U593" s="1">
        <v>42150</v>
      </c>
      <c r="V593">
        <v>144.7482</v>
      </c>
      <c r="W593">
        <v>8</v>
      </c>
      <c r="X593">
        <v>209.78</v>
      </c>
      <c r="Y593">
        <v>90069</v>
      </c>
    </row>
    <row r="594" spans="1:25" x14ac:dyDescent="0.35">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1">
        <v>42149</v>
      </c>
      <c r="U594" s="1">
        <v>42151</v>
      </c>
      <c r="V594">
        <v>-112.18899999999999</v>
      </c>
      <c r="W594">
        <v>1</v>
      </c>
      <c r="X594">
        <v>17.829999999999998</v>
      </c>
      <c r="Y594">
        <v>90069</v>
      </c>
    </row>
    <row r="595" spans="1:25" x14ac:dyDescent="0.35">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1">
        <v>42087</v>
      </c>
      <c r="U595" s="1">
        <v>42088</v>
      </c>
      <c r="V595">
        <v>-445.97177625000006</v>
      </c>
      <c r="W595">
        <v>23</v>
      </c>
      <c r="X595">
        <v>2527.79</v>
      </c>
      <c r="Y595">
        <v>58628</v>
      </c>
    </row>
    <row r="596" spans="1:25" x14ac:dyDescent="0.35">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1">
        <v>42154</v>
      </c>
      <c r="U596" s="1">
        <v>42154</v>
      </c>
      <c r="V596">
        <v>4.1673999999999998</v>
      </c>
      <c r="W596">
        <v>20</v>
      </c>
      <c r="X596">
        <v>121.87</v>
      </c>
      <c r="Y596">
        <v>57061</v>
      </c>
    </row>
    <row r="597" spans="1:25" x14ac:dyDescent="0.35">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1">
        <v>42087</v>
      </c>
      <c r="U597" s="1">
        <v>42088</v>
      </c>
      <c r="V597">
        <v>-335.31712500000003</v>
      </c>
      <c r="W597">
        <v>6</v>
      </c>
      <c r="X597">
        <v>659.42</v>
      </c>
      <c r="Y597">
        <v>91354</v>
      </c>
    </row>
    <row r="598" spans="1:25" x14ac:dyDescent="0.35">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1">
        <v>42154</v>
      </c>
      <c r="U598" s="1">
        <v>42162</v>
      </c>
      <c r="V598">
        <v>16.021800000000013</v>
      </c>
      <c r="W598">
        <v>18</v>
      </c>
      <c r="X598">
        <v>403.53</v>
      </c>
      <c r="Y598">
        <v>91355</v>
      </c>
    </row>
    <row r="599" spans="1:25" x14ac:dyDescent="0.35">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1">
        <v>42154</v>
      </c>
      <c r="U599" s="1">
        <v>42157</v>
      </c>
      <c r="V599">
        <v>38.067299999999996</v>
      </c>
      <c r="W599">
        <v>3</v>
      </c>
      <c r="X599">
        <v>55.17</v>
      </c>
      <c r="Y599">
        <v>91355</v>
      </c>
    </row>
    <row r="600" spans="1:25" x14ac:dyDescent="0.35">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1">
        <v>42053</v>
      </c>
      <c r="U600" s="1">
        <v>42055</v>
      </c>
      <c r="V600">
        <v>-99.435440000000014</v>
      </c>
      <c r="W600">
        <v>23</v>
      </c>
      <c r="X600">
        <v>377.44</v>
      </c>
      <c r="Y600">
        <v>88899</v>
      </c>
    </row>
    <row r="601" spans="1:25" x14ac:dyDescent="0.35">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1">
        <v>42079</v>
      </c>
      <c r="U601" s="1">
        <v>42079</v>
      </c>
      <c r="V601">
        <v>-97.28</v>
      </c>
      <c r="W601">
        <v>12</v>
      </c>
      <c r="X601">
        <v>286.39999999999998</v>
      </c>
      <c r="Y601">
        <v>87109</v>
      </c>
    </row>
    <row r="602" spans="1:25" x14ac:dyDescent="0.35">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1">
        <v>42138</v>
      </c>
      <c r="U602" s="1">
        <v>42139</v>
      </c>
      <c r="V602">
        <v>139.61200000000002</v>
      </c>
      <c r="W602">
        <v>41</v>
      </c>
      <c r="X602">
        <v>664.34</v>
      </c>
      <c r="Y602">
        <v>87110</v>
      </c>
    </row>
    <row r="603" spans="1:25" x14ac:dyDescent="0.35">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1">
        <v>42090</v>
      </c>
      <c r="U603" s="1">
        <v>42093</v>
      </c>
      <c r="V603">
        <v>-505.76</v>
      </c>
      <c r="W603">
        <v>3</v>
      </c>
      <c r="X603">
        <v>473.53</v>
      </c>
      <c r="Y603">
        <v>89631</v>
      </c>
    </row>
    <row r="604" spans="1:25" x14ac:dyDescent="0.35">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1">
        <v>42072</v>
      </c>
      <c r="U604" s="1">
        <v>42073</v>
      </c>
      <c r="V604">
        <v>152.43479999999997</v>
      </c>
      <c r="W604">
        <v>11</v>
      </c>
      <c r="X604">
        <v>220.92</v>
      </c>
      <c r="Y604">
        <v>86422</v>
      </c>
    </row>
    <row r="605" spans="1:25" x14ac:dyDescent="0.35">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1">
        <v>42132</v>
      </c>
      <c r="U605" s="1">
        <v>42133</v>
      </c>
      <c r="V605">
        <v>9.862000000000009</v>
      </c>
      <c r="W605">
        <v>14</v>
      </c>
      <c r="X605">
        <v>196.41</v>
      </c>
      <c r="Y605">
        <v>88461</v>
      </c>
    </row>
    <row r="606" spans="1:25" x14ac:dyDescent="0.35">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1">
        <v>42094</v>
      </c>
      <c r="U606" s="1">
        <v>42096</v>
      </c>
      <c r="V606">
        <v>-232.99100000000001</v>
      </c>
      <c r="W606">
        <v>1</v>
      </c>
      <c r="X606">
        <v>54.08</v>
      </c>
      <c r="Y606">
        <v>88460</v>
      </c>
    </row>
    <row r="607" spans="1:25" x14ac:dyDescent="0.35">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1">
        <v>42009</v>
      </c>
      <c r="U607" s="1">
        <v>42010</v>
      </c>
      <c r="V607">
        <v>-40.275199999999998</v>
      </c>
      <c r="W607">
        <v>6</v>
      </c>
      <c r="X607">
        <v>47.18</v>
      </c>
      <c r="Y607">
        <v>86122</v>
      </c>
    </row>
    <row r="608" spans="1:25" x14ac:dyDescent="0.35">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1">
        <v>42118</v>
      </c>
      <c r="U608" s="1">
        <v>42119</v>
      </c>
      <c r="V608">
        <v>-53.25</v>
      </c>
      <c r="W608">
        <v>3</v>
      </c>
      <c r="X608">
        <v>30.87</v>
      </c>
      <c r="Y608">
        <v>86123</v>
      </c>
    </row>
    <row r="609" spans="1:25" x14ac:dyDescent="0.35">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1">
        <v>42137</v>
      </c>
      <c r="U609" s="1">
        <v>42139</v>
      </c>
      <c r="V609">
        <v>-159.25</v>
      </c>
      <c r="W609">
        <v>10</v>
      </c>
      <c r="X609">
        <v>309.05</v>
      </c>
      <c r="Y609">
        <v>86124</v>
      </c>
    </row>
    <row r="610" spans="1:25" x14ac:dyDescent="0.35">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1">
        <v>42137</v>
      </c>
      <c r="U610" s="1">
        <v>42138</v>
      </c>
      <c r="V610">
        <v>206.517</v>
      </c>
      <c r="W610">
        <v>8</v>
      </c>
      <c r="X610">
        <v>299.3</v>
      </c>
      <c r="Y610">
        <v>86124</v>
      </c>
    </row>
    <row r="611" spans="1:25" x14ac:dyDescent="0.35">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1">
        <v>42118</v>
      </c>
      <c r="U611" s="1">
        <v>42119</v>
      </c>
      <c r="V611">
        <v>2.125</v>
      </c>
      <c r="W611">
        <v>3</v>
      </c>
      <c r="X611">
        <v>45.24</v>
      </c>
      <c r="Y611">
        <v>86123</v>
      </c>
    </row>
    <row r="612" spans="1:25" x14ac:dyDescent="0.35">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1">
        <v>42129</v>
      </c>
      <c r="U612" s="1">
        <v>42130</v>
      </c>
      <c r="V612">
        <v>5.8840000000000074</v>
      </c>
      <c r="W612">
        <v>3</v>
      </c>
      <c r="X612">
        <v>51.02</v>
      </c>
      <c r="Y612">
        <v>91488</v>
      </c>
    </row>
    <row r="613" spans="1:25" x14ac:dyDescent="0.35">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1">
        <v>42104</v>
      </c>
      <c r="U613" s="1">
        <v>42105</v>
      </c>
      <c r="V613">
        <v>772.04</v>
      </c>
      <c r="W613">
        <v>7</v>
      </c>
      <c r="X613">
        <v>2291.39</v>
      </c>
      <c r="Y613">
        <v>90977</v>
      </c>
    </row>
    <row r="614" spans="1:25" x14ac:dyDescent="0.35">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1">
        <v>42104</v>
      </c>
      <c r="U614" s="1">
        <v>42105</v>
      </c>
      <c r="V614">
        <v>772.04</v>
      </c>
      <c r="W614">
        <v>29</v>
      </c>
      <c r="X614">
        <v>9492.92</v>
      </c>
      <c r="Y614">
        <v>27456</v>
      </c>
    </row>
    <row r="615" spans="1:25" x14ac:dyDescent="0.35">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1">
        <v>42144</v>
      </c>
      <c r="U615" s="1">
        <v>42147</v>
      </c>
      <c r="V615">
        <v>81.91</v>
      </c>
      <c r="W615">
        <v>52</v>
      </c>
      <c r="X615">
        <v>318.47000000000003</v>
      </c>
      <c r="Y615">
        <v>20261</v>
      </c>
    </row>
    <row r="616" spans="1:25" x14ac:dyDescent="0.35">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1">
        <v>42145</v>
      </c>
      <c r="U616" s="1">
        <v>42146</v>
      </c>
      <c r="V616">
        <v>-10.9</v>
      </c>
      <c r="W616">
        <v>61</v>
      </c>
      <c r="X616">
        <v>586.96</v>
      </c>
      <c r="Y616">
        <v>646</v>
      </c>
    </row>
    <row r="617" spans="1:25" x14ac:dyDescent="0.35">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1">
        <v>42161</v>
      </c>
      <c r="U617" s="1">
        <v>42163</v>
      </c>
      <c r="V617">
        <v>1232.79</v>
      </c>
      <c r="W617">
        <v>81</v>
      </c>
      <c r="X617">
        <v>11272.77</v>
      </c>
      <c r="Y617">
        <v>45824</v>
      </c>
    </row>
    <row r="618" spans="1:25" x14ac:dyDescent="0.35">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1">
        <v>42145</v>
      </c>
      <c r="U618" s="1">
        <v>42146</v>
      </c>
      <c r="V618">
        <v>2.1800000000000015</v>
      </c>
      <c r="W618">
        <v>15</v>
      </c>
      <c r="X618">
        <v>144.33000000000001</v>
      </c>
      <c r="Y618">
        <v>86411</v>
      </c>
    </row>
    <row r="619" spans="1:25" x14ac:dyDescent="0.35">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1">
        <v>42144</v>
      </c>
      <c r="U619" s="1">
        <v>42144</v>
      </c>
      <c r="V619">
        <v>67.107500000000002</v>
      </c>
      <c r="W619">
        <v>9</v>
      </c>
      <c r="X619">
        <v>270.55</v>
      </c>
      <c r="Y619">
        <v>86409</v>
      </c>
    </row>
    <row r="620" spans="1:25" x14ac:dyDescent="0.35">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1">
        <v>42144</v>
      </c>
      <c r="U620" s="1">
        <v>42147</v>
      </c>
      <c r="V620">
        <v>54.937799999999996</v>
      </c>
      <c r="W620">
        <v>13</v>
      </c>
      <c r="X620">
        <v>79.62</v>
      </c>
      <c r="Y620">
        <v>86409</v>
      </c>
    </row>
    <row r="621" spans="1:25" x14ac:dyDescent="0.35">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1">
        <v>42144</v>
      </c>
      <c r="U621" s="1">
        <v>42145</v>
      </c>
      <c r="V621">
        <v>168.23699999999999</v>
      </c>
      <c r="W621">
        <v>8</v>
      </c>
      <c r="X621">
        <v>479.79</v>
      </c>
      <c r="Y621">
        <v>86409</v>
      </c>
    </row>
    <row r="622" spans="1:25" x14ac:dyDescent="0.35">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1">
        <v>42184</v>
      </c>
      <c r="U622" s="1">
        <v>42184</v>
      </c>
      <c r="V622">
        <v>-169.232</v>
      </c>
      <c r="W622">
        <v>13</v>
      </c>
      <c r="X622">
        <v>108.99</v>
      </c>
      <c r="Y622">
        <v>86410</v>
      </c>
    </row>
    <row r="623" spans="1:25" x14ac:dyDescent="0.35">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1">
        <v>42096</v>
      </c>
      <c r="U623" s="1">
        <v>42098</v>
      </c>
      <c r="V623">
        <v>1272.5808</v>
      </c>
      <c r="W623">
        <v>12</v>
      </c>
      <c r="X623">
        <v>3527.82</v>
      </c>
      <c r="Y623">
        <v>90832</v>
      </c>
    </row>
    <row r="624" spans="1:25" x14ac:dyDescent="0.35">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1">
        <v>42096</v>
      </c>
      <c r="U624" s="1">
        <v>42098</v>
      </c>
      <c r="V624">
        <v>-5390.7388920000003</v>
      </c>
      <c r="W624">
        <v>2</v>
      </c>
      <c r="X624">
        <v>4698.21</v>
      </c>
      <c r="Y624">
        <v>90832</v>
      </c>
    </row>
    <row r="625" spans="1:25" x14ac:dyDescent="0.35">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1">
        <v>42100</v>
      </c>
      <c r="U625" s="1">
        <v>42101</v>
      </c>
      <c r="V625">
        <v>29.725199999999997</v>
      </c>
      <c r="W625">
        <v>14</v>
      </c>
      <c r="X625">
        <v>43.08</v>
      </c>
      <c r="Y625">
        <v>90833</v>
      </c>
    </row>
    <row r="626" spans="1:25" x14ac:dyDescent="0.35">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1">
        <v>42100</v>
      </c>
      <c r="U626" s="1">
        <v>42102</v>
      </c>
      <c r="V626">
        <v>-187.11</v>
      </c>
      <c r="W626">
        <v>5</v>
      </c>
      <c r="X626">
        <v>258.93</v>
      </c>
      <c r="Y626">
        <v>90833</v>
      </c>
    </row>
    <row r="627" spans="1:25" x14ac:dyDescent="0.35">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1">
        <v>42040</v>
      </c>
      <c r="U627" s="1">
        <v>42041</v>
      </c>
      <c r="V627">
        <v>-139.28720000000001</v>
      </c>
      <c r="W627">
        <v>4</v>
      </c>
      <c r="X627">
        <v>277.60000000000002</v>
      </c>
      <c r="Y627">
        <v>86768</v>
      </c>
    </row>
    <row r="628" spans="1:25" x14ac:dyDescent="0.35">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1">
        <v>42042</v>
      </c>
      <c r="U628" s="1">
        <v>42049</v>
      </c>
      <c r="V628">
        <v>108</v>
      </c>
      <c r="W628">
        <v>8</v>
      </c>
      <c r="X628">
        <v>168.04</v>
      </c>
      <c r="Y628">
        <v>86767</v>
      </c>
    </row>
    <row r="629" spans="1:25" x14ac:dyDescent="0.35">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1">
        <v>42042</v>
      </c>
      <c r="U629" s="1">
        <v>42044</v>
      </c>
      <c r="V629">
        <v>377.154</v>
      </c>
      <c r="W629">
        <v>7</v>
      </c>
      <c r="X629">
        <v>703.46</v>
      </c>
      <c r="Y629">
        <v>86767</v>
      </c>
    </row>
    <row r="630" spans="1:25" x14ac:dyDescent="0.35">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1">
        <v>42078</v>
      </c>
      <c r="U630" s="1">
        <v>42081</v>
      </c>
      <c r="V630">
        <v>-127.05200000000001</v>
      </c>
      <c r="W630">
        <v>14</v>
      </c>
      <c r="X630">
        <v>103.61</v>
      </c>
      <c r="Y630">
        <v>87015</v>
      </c>
    </row>
    <row r="631" spans="1:25" x14ac:dyDescent="0.35">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1">
        <v>42175</v>
      </c>
      <c r="U631" s="1">
        <v>42177</v>
      </c>
      <c r="V631">
        <v>2169.7464</v>
      </c>
      <c r="W631">
        <v>22</v>
      </c>
      <c r="X631">
        <v>3144.56</v>
      </c>
      <c r="Y631">
        <v>87016</v>
      </c>
    </row>
    <row r="632" spans="1:25" x14ac:dyDescent="0.35">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1">
        <v>42175</v>
      </c>
      <c r="U632" s="1">
        <v>42176</v>
      </c>
      <c r="V632">
        <v>-229.93</v>
      </c>
      <c r="W632">
        <v>18</v>
      </c>
      <c r="X632">
        <v>2653.02</v>
      </c>
      <c r="Y632">
        <v>87016</v>
      </c>
    </row>
    <row r="633" spans="1:25" x14ac:dyDescent="0.35">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1">
        <v>42059</v>
      </c>
      <c r="U633" s="1">
        <v>42061</v>
      </c>
      <c r="V633">
        <v>-93.735199999999992</v>
      </c>
      <c r="W633">
        <v>16</v>
      </c>
      <c r="X633">
        <v>66.81</v>
      </c>
      <c r="Y633">
        <v>87221</v>
      </c>
    </row>
    <row r="634" spans="1:25" x14ac:dyDescent="0.35">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1">
        <v>42177</v>
      </c>
      <c r="U634" s="1">
        <v>42181</v>
      </c>
      <c r="V634">
        <v>4.53</v>
      </c>
      <c r="W634">
        <v>19</v>
      </c>
      <c r="X634">
        <v>90.52</v>
      </c>
      <c r="Y634">
        <v>87222</v>
      </c>
    </row>
    <row r="635" spans="1:25" x14ac:dyDescent="0.35">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1">
        <v>42177</v>
      </c>
      <c r="U635" s="1">
        <v>42182</v>
      </c>
      <c r="V635">
        <v>9.7799999999999994</v>
      </c>
      <c r="W635">
        <v>13</v>
      </c>
      <c r="X635">
        <v>55.97</v>
      </c>
      <c r="Y635">
        <v>87222</v>
      </c>
    </row>
    <row r="636" spans="1:25" x14ac:dyDescent="0.35">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1">
        <v>42051</v>
      </c>
      <c r="U636" s="1">
        <v>42058</v>
      </c>
      <c r="V636">
        <v>-63.813500000000005</v>
      </c>
      <c r="W636">
        <v>37</v>
      </c>
      <c r="X636">
        <v>311.66000000000003</v>
      </c>
      <c r="Y636">
        <v>32037</v>
      </c>
    </row>
    <row r="637" spans="1:25" x14ac:dyDescent="0.35">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1">
        <v>42051</v>
      </c>
      <c r="U637" s="1">
        <v>42055</v>
      </c>
      <c r="V637">
        <v>325.29000000000002</v>
      </c>
      <c r="W637">
        <v>15</v>
      </c>
      <c r="X637">
        <v>9862.51</v>
      </c>
      <c r="Y637">
        <v>32037</v>
      </c>
    </row>
    <row r="638" spans="1:25" x14ac:dyDescent="0.35">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1">
        <v>42092</v>
      </c>
      <c r="U638" s="1">
        <v>42094</v>
      </c>
      <c r="V638">
        <v>-116.05</v>
      </c>
      <c r="W638">
        <v>29</v>
      </c>
      <c r="X638">
        <v>177.41</v>
      </c>
      <c r="Y638">
        <v>49125</v>
      </c>
    </row>
    <row r="639" spans="1:25" x14ac:dyDescent="0.35">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1">
        <v>42145</v>
      </c>
      <c r="U639" s="1">
        <v>42147</v>
      </c>
      <c r="V639">
        <v>117.38</v>
      </c>
      <c r="W639">
        <v>52</v>
      </c>
      <c r="X639">
        <v>406.91</v>
      </c>
      <c r="Y639">
        <v>13735</v>
      </c>
    </row>
    <row r="640" spans="1:25" x14ac:dyDescent="0.35">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1">
        <v>42168</v>
      </c>
      <c r="U640" s="1">
        <v>42172</v>
      </c>
      <c r="V640">
        <v>-144.19999999999999</v>
      </c>
      <c r="W640">
        <v>44</v>
      </c>
      <c r="X640">
        <v>1332.09</v>
      </c>
      <c r="Y640">
        <v>39430</v>
      </c>
    </row>
    <row r="641" spans="1:25" x14ac:dyDescent="0.35">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1">
        <v>42030</v>
      </c>
      <c r="U641" s="1">
        <v>42032</v>
      </c>
      <c r="V641">
        <v>-46.92</v>
      </c>
      <c r="W641">
        <v>19</v>
      </c>
      <c r="X641">
        <v>105.5</v>
      </c>
      <c r="Y641">
        <v>57794</v>
      </c>
    </row>
    <row r="642" spans="1:25" x14ac:dyDescent="0.35">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1">
        <v>42145</v>
      </c>
      <c r="U642" s="1">
        <v>42147</v>
      </c>
      <c r="V642">
        <v>70.193699999999993</v>
      </c>
      <c r="W642">
        <v>13</v>
      </c>
      <c r="X642">
        <v>101.73</v>
      </c>
      <c r="Y642">
        <v>88103</v>
      </c>
    </row>
    <row r="643" spans="1:25" x14ac:dyDescent="0.35">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1">
        <v>42045</v>
      </c>
      <c r="U643" s="1">
        <v>42046</v>
      </c>
      <c r="V643">
        <v>-48.219499999999996</v>
      </c>
      <c r="W643">
        <v>6</v>
      </c>
      <c r="X643">
        <v>37.700000000000003</v>
      </c>
      <c r="Y643">
        <v>88101</v>
      </c>
    </row>
    <row r="644" spans="1:25" x14ac:dyDescent="0.35">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1">
        <v>42051</v>
      </c>
      <c r="U644" s="1">
        <v>42058</v>
      </c>
      <c r="V644">
        <v>-63.813500000000005</v>
      </c>
      <c r="W644">
        <v>9</v>
      </c>
      <c r="X644">
        <v>75.81</v>
      </c>
      <c r="Y644">
        <v>88102</v>
      </c>
    </row>
    <row r="645" spans="1:25" x14ac:dyDescent="0.35">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1">
        <v>42051</v>
      </c>
      <c r="U645" s="1">
        <v>42055</v>
      </c>
      <c r="V645">
        <v>325.29000000000002</v>
      </c>
      <c r="W645">
        <v>4</v>
      </c>
      <c r="X645">
        <v>2630</v>
      </c>
      <c r="Y645">
        <v>88102</v>
      </c>
    </row>
    <row r="646" spans="1:25" x14ac:dyDescent="0.35">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1">
        <v>42168</v>
      </c>
      <c r="U646" s="1">
        <v>42172</v>
      </c>
      <c r="V646">
        <v>-115.35999999999999</v>
      </c>
      <c r="W646">
        <v>11</v>
      </c>
      <c r="X646">
        <v>333.02</v>
      </c>
      <c r="Y646">
        <v>88104</v>
      </c>
    </row>
    <row r="647" spans="1:25" x14ac:dyDescent="0.35">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1">
        <v>42030</v>
      </c>
      <c r="U647" s="1">
        <v>42032</v>
      </c>
      <c r="V647">
        <v>-46.92</v>
      </c>
      <c r="W647">
        <v>5</v>
      </c>
      <c r="X647">
        <v>27.76</v>
      </c>
      <c r="Y647">
        <v>88105</v>
      </c>
    </row>
    <row r="648" spans="1:25" x14ac:dyDescent="0.35">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1">
        <v>42006</v>
      </c>
      <c r="U648" s="1">
        <v>42008</v>
      </c>
      <c r="V648">
        <v>2660.1432</v>
      </c>
      <c r="W648">
        <v>15</v>
      </c>
      <c r="X648">
        <v>3855.28</v>
      </c>
      <c r="Y648">
        <v>87940</v>
      </c>
    </row>
    <row r="649" spans="1:25" x14ac:dyDescent="0.35">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1">
        <v>42051</v>
      </c>
      <c r="U649" s="1">
        <v>42054</v>
      </c>
      <c r="V649">
        <v>-51.116</v>
      </c>
      <c r="W649">
        <v>1</v>
      </c>
      <c r="X649">
        <v>192.49</v>
      </c>
      <c r="Y649">
        <v>86574</v>
      </c>
    </row>
    <row r="650" spans="1:25" x14ac:dyDescent="0.35">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1">
        <v>42008</v>
      </c>
      <c r="U650" s="1">
        <v>42010</v>
      </c>
      <c r="V650">
        <v>1766.7795000000001</v>
      </c>
      <c r="W650">
        <v>7</v>
      </c>
      <c r="X650">
        <v>2560.5500000000002</v>
      </c>
      <c r="Y650">
        <v>86573</v>
      </c>
    </row>
    <row r="651" spans="1:25" x14ac:dyDescent="0.35">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1">
        <v>42161</v>
      </c>
      <c r="U651" s="1">
        <v>42164</v>
      </c>
      <c r="V651">
        <v>85.875</v>
      </c>
      <c r="W651">
        <v>11</v>
      </c>
      <c r="X651">
        <v>227.67</v>
      </c>
      <c r="Y651">
        <v>86575</v>
      </c>
    </row>
    <row r="652" spans="1:25" x14ac:dyDescent="0.35">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1">
        <v>42164</v>
      </c>
      <c r="U652" s="1">
        <v>42164</v>
      </c>
      <c r="V652">
        <v>6.0926999999999998</v>
      </c>
      <c r="W652">
        <v>1</v>
      </c>
      <c r="X652">
        <v>8.83</v>
      </c>
      <c r="Y652">
        <v>91344</v>
      </c>
    </row>
    <row r="653" spans="1:25" x14ac:dyDescent="0.35">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1">
        <v>42006</v>
      </c>
      <c r="U653" s="1">
        <v>42008</v>
      </c>
      <c r="V653">
        <v>20.299600000000002</v>
      </c>
      <c r="W653">
        <v>4</v>
      </c>
      <c r="X653">
        <v>34.409999999999997</v>
      </c>
      <c r="Y653">
        <v>90853</v>
      </c>
    </row>
    <row r="654" spans="1:25" x14ac:dyDescent="0.35">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1">
        <v>42006</v>
      </c>
      <c r="U654" s="1">
        <v>42006</v>
      </c>
      <c r="V654">
        <v>108.5163</v>
      </c>
      <c r="W654">
        <v>11</v>
      </c>
      <c r="X654">
        <v>157.27000000000001</v>
      </c>
      <c r="Y654">
        <v>90853</v>
      </c>
    </row>
    <row r="655" spans="1:25" x14ac:dyDescent="0.35">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1">
        <v>42049</v>
      </c>
      <c r="U655" s="1">
        <v>42050</v>
      </c>
      <c r="V655">
        <v>48.47148</v>
      </c>
      <c r="W655">
        <v>7</v>
      </c>
      <c r="X655">
        <v>1013.84</v>
      </c>
      <c r="Y655">
        <v>90855</v>
      </c>
    </row>
    <row r="656" spans="1:25" x14ac:dyDescent="0.35">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1">
        <v>42144</v>
      </c>
      <c r="U656" s="1">
        <v>42145</v>
      </c>
      <c r="V656">
        <v>-152.76</v>
      </c>
      <c r="W656">
        <v>1</v>
      </c>
      <c r="X656">
        <v>110.75</v>
      </c>
      <c r="Y656">
        <v>90854</v>
      </c>
    </row>
    <row r="657" spans="1:25" x14ac:dyDescent="0.35">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1">
        <v>42157</v>
      </c>
      <c r="U657" s="1">
        <v>42158</v>
      </c>
      <c r="V657">
        <v>125.20739999999999</v>
      </c>
      <c r="W657">
        <v>19</v>
      </c>
      <c r="X657">
        <v>181.46</v>
      </c>
      <c r="Y657">
        <v>87520</v>
      </c>
    </row>
    <row r="658" spans="1:25" x14ac:dyDescent="0.35">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1">
        <v>42157</v>
      </c>
      <c r="U658" s="1">
        <v>42159</v>
      </c>
      <c r="V658">
        <v>281.53440000000001</v>
      </c>
      <c r="W658">
        <v>6</v>
      </c>
      <c r="X658">
        <v>1076.3</v>
      </c>
      <c r="Y658">
        <v>87520</v>
      </c>
    </row>
    <row r="659" spans="1:25" x14ac:dyDescent="0.35">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1">
        <v>42103</v>
      </c>
      <c r="U659" s="1">
        <v>42105</v>
      </c>
      <c r="V659">
        <v>64.265999999999991</v>
      </c>
      <c r="W659">
        <v>2</v>
      </c>
      <c r="X659">
        <v>21.46</v>
      </c>
      <c r="Y659">
        <v>89787</v>
      </c>
    </row>
    <row r="660" spans="1:25" x14ac:dyDescent="0.35">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1">
        <v>42103</v>
      </c>
      <c r="U660" s="1">
        <v>42105</v>
      </c>
      <c r="V660">
        <v>-302.61559999999997</v>
      </c>
      <c r="W660">
        <v>10</v>
      </c>
      <c r="X660">
        <v>3506.78</v>
      </c>
      <c r="Y660">
        <v>89787</v>
      </c>
    </row>
    <row r="661" spans="1:25" x14ac:dyDescent="0.35">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1">
        <v>42103</v>
      </c>
      <c r="U661" s="1">
        <v>42105</v>
      </c>
      <c r="V661">
        <v>5.6916000000000002</v>
      </c>
      <c r="W661">
        <v>7</v>
      </c>
      <c r="X661">
        <v>267.69</v>
      </c>
      <c r="Y661">
        <v>89787</v>
      </c>
    </row>
    <row r="662" spans="1:25" x14ac:dyDescent="0.35">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1">
        <v>42103</v>
      </c>
      <c r="U662" s="1">
        <v>42104</v>
      </c>
      <c r="V662">
        <v>-369.10999999999996</v>
      </c>
      <c r="W662">
        <v>7</v>
      </c>
      <c r="X662">
        <v>2307.2600000000002</v>
      </c>
      <c r="Y662">
        <v>89787</v>
      </c>
    </row>
    <row r="663" spans="1:25" x14ac:dyDescent="0.35">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1">
        <v>42147</v>
      </c>
      <c r="U663" s="1">
        <v>42147</v>
      </c>
      <c r="V663">
        <v>27.013499999999997</v>
      </c>
      <c r="W663">
        <v>15</v>
      </c>
      <c r="X663">
        <v>39.15</v>
      </c>
      <c r="Y663">
        <v>86913</v>
      </c>
    </row>
    <row r="664" spans="1:25" x14ac:dyDescent="0.35">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1">
        <v>42184</v>
      </c>
      <c r="U664" s="1">
        <v>42184</v>
      </c>
      <c r="V664">
        <v>184.19549999999998</v>
      </c>
      <c r="W664">
        <v>9</v>
      </c>
      <c r="X664">
        <v>266.95</v>
      </c>
      <c r="Y664">
        <v>86914</v>
      </c>
    </row>
    <row r="665" spans="1:25" x14ac:dyDescent="0.35">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1">
        <v>42084</v>
      </c>
      <c r="U665" s="1">
        <v>42085</v>
      </c>
      <c r="V665">
        <v>4.1099999999999994</v>
      </c>
      <c r="W665">
        <v>3</v>
      </c>
      <c r="X665">
        <v>20552.55</v>
      </c>
      <c r="Y665">
        <v>85938</v>
      </c>
    </row>
    <row r="666" spans="1:25" x14ac:dyDescent="0.35">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1">
        <v>42104</v>
      </c>
      <c r="U666" s="1">
        <v>42107</v>
      </c>
      <c r="V666">
        <v>28.565999999999999</v>
      </c>
      <c r="W666">
        <v>8</v>
      </c>
      <c r="X666">
        <v>87.8</v>
      </c>
      <c r="Y666">
        <v>85940</v>
      </c>
    </row>
    <row r="667" spans="1:25" x14ac:dyDescent="0.35">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1">
        <v>42103</v>
      </c>
      <c r="U667" s="1">
        <v>42104</v>
      </c>
      <c r="V667">
        <v>2581.5590999999995</v>
      </c>
      <c r="W667">
        <v>10</v>
      </c>
      <c r="X667">
        <v>3741.39</v>
      </c>
      <c r="Y667">
        <v>85939</v>
      </c>
    </row>
    <row r="668" spans="1:25" x14ac:dyDescent="0.35">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1">
        <v>42172</v>
      </c>
      <c r="U668" s="1">
        <v>42177</v>
      </c>
      <c r="V668">
        <v>-25.112000000000002</v>
      </c>
      <c r="W668">
        <v>14</v>
      </c>
      <c r="X668">
        <v>149.32</v>
      </c>
      <c r="Y668">
        <v>87584</v>
      </c>
    </row>
    <row r="669" spans="1:25" x14ac:dyDescent="0.35">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1">
        <v>42172</v>
      </c>
      <c r="U669" s="1">
        <v>42177</v>
      </c>
      <c r="V669">
        <v>17.376000000000001</v>
      </c>
      <c r="W669">
        <v>16</v>
      </c>
      <c r="X669">
        <v>177.01</v>
      </c>
      <c r="Y669">
        <v>87584</v>
      </c>
    </row>
    <row r="670" spans="1:25" x14ac:dyDescent="0.35">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1">
        <v>42172</v>
      </c>
      <c r="U670" s="1">
        <v>42174</v>
      </c>
      <c r="V670">
        <v>24.260399999999997</v>
      </c>
      <c r="W670">
        <v>4</v>
      </c>
      <c r="X670">
        <v>35.159999999999997</v>
      </c>
      <c r="Y670">
        <v>87584</v>
      </c>
    </row>
    <row r="671" spans="1:25" x14ac:dyDescent="0.35">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1">
        <v>42183</v>
      </c>
      <c r="U671" s="1">
        <v>42186</v>
      </c>
      <c r="V671">
        <v>59.440499999999993</v>
      </c>
      <c r="W671">
        <v>3</v>
      </c>
      <c r="X671">
        <v>88.84</v>
      </c>
      <c r="Y671">
        <v>87587</v>
      </c>
    </row>
    <row r="672" spans="1:25" x14ac:dyDescent="0.35">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1">
        <v>42172</v>
      </c>
      <c r="U672" s="1">
        <v>42177</v>
      </c>
      <c r="V672">
        <v>14.48</v>
      </c>
      <c r="W672">
        <v>63</v>
      </c>
      <c r="X672">
        <v>696.96</v>
      </c>
      <c r="Y672">
        <v>5984</v>
      </c>
    </row>
    <row r="673" spans="1:25" x14ac:dyDescent="0.35">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1">
        <v>42172</v>
      </c>
      <c r="U673" s="1">
        <v>42174</v>
      </c>
      <c r="V673">
        <v>22.25</v>
      </c>
      <c r="W673">
        <v>17</v>
      </c>
      <c r="X673">
        <v>149.41</v>
      </c>
      <c r="Y673">
        <v>5984</v>
      </c>
    </row>
    <row r="674" spans="1:25" x14ac:dyDescent="0.35">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1">
        <v>42060</v>
      </c>
      <c r="U674" s="1">
        <v>42062</v>
      </c>
      <c r="V674">
        <v>592.52650000000006</v>
      </c>
      <c r="W674">
        <v>85</v>
      </c>
      <c r="X674">
        <v>4556.63</v>
      </c>
      <c r="Y674">
        <v>29350</v>
      </c>
    </row>
    <row r="675" spans="1:25" x14ac:dyDescent="0.35">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1">
        <v>42060</v>
      </c>
      <c r="U675" s="1">
        <v>42061</v>
      </c>
      <c r="V675">
        <v>232.8</v>
      </c>
      <c r="W675">
        <v>83</v>
      </c>
      <c r="X675">
        <v>2948.61</v>
      </c>
      <c r="Y675">
        <v>29350</v>
      </c>
    </row>
    <row r="676" spans="1:25" x14ac:dyDescent="0.35">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1">
        <v>42125</v>
      </c>
      <c r="U676" s="1">
        <v>42127</v>
      </c>
      <c r="V676">
        <v>38.08</v>
      </c>
      <c r="W676">
        <v>85</v>
      </c>
      <c r="X676">
        <v>517.85</v>
      </c>
      <c r="Y676">
        <v>38852</v>
      </c>
    </row>
    <row r="677" spans="1:25" x14ac:dyDescent="0.35">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1">
        <v>42183</v>
      </c>
      <c r="U677" s="1">
        <v>42185</v>
      </c>
      <c r="V677">
        <v>-17.03</v>
      </c>
      <c r="W677">
        <v>48</v>
      </c>
      <c r="X677">
        <v>2373.3200000000002</v>
      </c>
      <c r="Y677">
        <v>11206</v>
      </c>
    </row>
    <row r="678" spans="1:25" x14ac:dyDescent="0.35">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1">
        <v>42183</v>
      </c>
      <c r="U678" s="1">
        <v>42186</v>
      </c>
      <c r="V678">
        <v>39.626999999999995</v>
      </c>
      <c r="W678">
        <v>11</v>
      </c>
      <c r="X678">
        <v>325.73</v>
      </c>
      <c r="Y678">
        <v>11206</v>
      </c>
    </row>
    <row r="679" spans="1:25" x14ac:dyDescent="0.35">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1">
        <v>42125</v>
      </c>
      <c r="U679" s="1">
        <v>42127</v>
      </c>
      <c r="V679">
        <v>20.495999999999995</v>
      </c>
      <c r="W679">
        <v>21</v>
      </c>
      <c r="X679">
        <v>127.94</v>
      </c>
      <c r="Y679">
        <v>87586</v>
      </c>
    </row>
    <row r="680" spans="1:25" x14ac:dyDescent="0.35">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1">
        <v>42081</v>
      </c>
      <c r="U680" s="1">
        <v>42083</v>
      </c>
      <c r="V680">
        <v>103.83</v>
      </c>
      <c r="W680">
        <v>4</v>
      </c>
      <c r="X680">
        <v>1350.94</v>
      </c>
      <c r="Y680">
        <v>87583</v>
      </c>
    </row>
    <row r="681" spans="1:25" x14ac:dyDescent="0.35">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1">
        <v>42060</v>
      </c>
      <c r="U681" s="1">
        <v>42063</v>
      </c>
      <c r="V681">
        <v>-24.897600000000001</v>
      </c>
      <c r="W681">
        <v>5</v>
      </c>
      <c r="X681">
        <v>75.17</v>
      </c>
      <c r="Y681">
        <v>87585</v>
      </c>
    </row>
    <row r="682" spans="1:25" x14ac:dyDescent="0.35">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1">
        <v>42060</v>
      </c>
      <c r="U682" s="1">
        <v>42062</v>
      </c>
      <c r="V682">
        <v>776.7743999999999</v>
      </c>
      <c r="W682">
        <v>21</v>
      </c>
      <c r="X682">
        <v>1125.76</v>
      </c>
      <c r="Y682">
        <v>87585</v>
      </c>
    </row>
    <row r="683" spans="1:25" x14ac:dyDescent="0.35">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1">
        <v>42060</v>
      </c>
      <c r="U683" s="1">
        <v>42061</v>
      </c>
      <c r="V683">
        <v>344.54399999999998</v>
      </c>
      <c r="W683">
        <v>21</v>
      </c>
      <c r="X683">
        <v>746.03</v>
      </c>
      <c r="Y683">
        <v>87585</v>
      </c>
    </row>
    <row r="684" spans="1:25" x14ac:dyDescent="0.35">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1">
        <v>42183</v>
      </c>
      <c r="U684" s="1">
        <v>42185</v>
      </c>
      <c r="V684">
        <v>-8.5150000000000006</v>
      </c>
      <c r="W684">
        <v>12</v>
      </c>
      <c r="X684">
        <v>593.33000000000004</v>
      </c>
      <c r="Y684">
        <v>87587</v>
      </c>
    </row>
    <row r="685" spans="1:25" x14ac:dyDescent="0.35">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1">
        <v>42036</v>
      </c>
      <c r="U685" s="1">
        <v>42041</v>
      </c>
      <c r="V685">
        <v>9.0045000000000002</v>
      </c>
      <c r="W685">
        <v>4</v>
      </c>
      <c r="X685">
        <v>13.05</v>
      </c>
      <c r="Y685">
        <v>88598</v>
      </c>
    </row>
    <row r="686" spans="1:25" x14ac:dyDescent="0.35">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1">
        <v>42019</v>
      </c>
      <c r="U686" s="1">
        <v>42020</v>
      </c>
      <c r="V686">
        <v>-99.762500000000003</v>
      </c>
      <c r="W686">
        <v>12</v>
      </c>
      <c r="X686">
        <v>58.95</v>
      </c>
      <c r="Y686">
        <v>88600</v>
      </c>
    </row>
    <row r="687" spans="1:25" x14ac:dyDescent="0.35">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1">
        <v>42019</v>
      </c>
      <c r="U687" s="1">
        <v>42020</v>
      </c>
      <c r="V687">
        <v>-3061.82</v>
      </c>
      <c r="W687">
        <v>1</v>
      </c>
      <c r="X687">
        <v>3672.89</v>
      </c>
      <c r="Y687">
        <v>88600</v>
      </c>
    </row>
    <row r="688" spans="1:25" x14ac:dyDescent="0.35">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1">
        <v>42039</v>
      </c>
      <c r="U688" s="1">
        <v>42044</v>
      </c>
      <c r="V688">
        <v>258.6189</v>
      </c>
      <c r="W688">
        <v>13</v>
      </c>
      <c r="X688">
        <v>374.81</v>
      </c>
      <c r="Y688">
        <v>88599</v>
      </c>
    </row>
    <row r="689" spans="1:25" x14ac:dyDescent="0.35">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1">
        <v>42039</v>
      </c>
      <c r="U689" s="1">
        <v>42043</v>
      </c>
      <c r="V689">
        <v>-6.71</v>
      </c>
      <c r="W689">
        <v>5</v>
      </c>
      <c r="X689">
        <v>43.27</v>
      </c>
      <c r="Y689">
        <v>88599</v>
      </c>
    </row>
    <row r="690" spans="1:25" x14ac:dyDescent="0.35">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1">
        <v>42019</v>
      </c>
      <c r="U690" s="1">
        <v>42021</v>
      </c>
      <c r="V690">
        <v>-9.9999999999997868E-3</v>
      </c>
      <c r="W690">
        <v>2</v>
      </c>
      <c r="X690">
        <v>11.74</v>
      </c>
      <c r="Y690">
        <v>88600</v>
      </c>
    </row>
    <row r="691" spans="1:25" x14ac:dyDescent="0.35">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1">
        <v>42122</v>
      </c>
      <c r="U691" s="1">
        <v>42125</v>
      </c>
      <c r="V691">
        <v>-421.76</v>
      </c>
      <c r="W691">
        <v>41</v>
      </c>
      <c r="X691">
        <v>5258.94</v>
      </c>
      <c r="Y691">
        <v>54595</v>
      </c>
    </row>
    <row r="692" spans="1:25" x14ac:dyDescent="0.35">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1">
        <v>42122</v>
      </c>
      <c r="U692" s="1">
        <v>42124</v>
      </c>
      <c r="V692">
        <v>6.79</v>
      </c>
      <c r="W692">
        <v>8</v>
      </c>
      <c r="X692">
        <v>66.739999999999995</v>
      </c>
      <c r="Y692">
        <v>90800</v>
      </c>
    </row>
    <row r="693" spans="1:25" x14ac:dyDescent="0.35">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1">
        <v>42122</v>
      </c>
      <c r="U693" s="1">
        <v>42125</v>
      </c>
      <c r="V693">
        <v>-421.76</v>
      </c>
      <c r="W693">
        <v>10</v>
      </c>
      <c r="X693">
        <v>1282.67</v>
      </c>
      <c r="Y693">
        <v>90800</v>
      </c>
    </row>
    <row r="694" spans="1:25" x14ac:dyDescent="0.35">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1">
        <v>42051</v>
      </c>
      <c r="U694" s="1">
        <v>42052</v>
      </c>
      <c r="V694">
        <v>-60.145000000000003</v>
      </c>
      <c r="W694">
        <v>28</v>
      </c>
      <c r="X694">
        <v>208.83</v>
      </c>
      <c r="Y694">
        <v>55874</v>
      </c>
    </row>
    <row r="695" spans="1:25" x14ac:dyDescent="0.35">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1">
        <v>42051</v>
      </c>
      <c r="U695" s="1">
        <v>42053</v>
      </c>
      <c r="V695">
        <v>-111.72</v>
      </c>
      <c r="W695">
        <v>41</v>
      </c>
      <c r="X695">
        <v>228.3</v>
      </c>
      <c r="Y695">
        <v>55874</v>
      </c>
    </row>
    <row r="696" spans="1:25" x14ac:dyDescent="0.35">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1">
        <v>42051</v>
      </c>
      <c r="U696" s="1">
        <v>42051</v>
      </c>
      <c r="V696">
        <v>33.01</v>
      </c>
      <c r="W696">
        <v>24</v>
      </c>
      <c r="X696">
        <v>129.53</v>
      </c>
      <c r="Y696">
        <v>55874</v>
      </c>
    </row>
    <row r="697" spans="1:25" x14ac:dyDescent="0.35">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1">
        <v>42051</v>
      </c>
      <c r="U697" s="1">
        <v>42053</v>
      </c>
      <c r="V697">
        <v>-111.72</v>
      </c>
      <c r="W697">
        <v>10</v>
      </c>
      <c r="X697">
        <v>55.68</v>
      </c>
      <c r="Y697">
        <v>90378</v>
      </c>
    </row>
    <row r="698" spans="1:25" x14ac:dyDescent="0.35">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1">
        <v>42103</v>
      </c>
      <c r="U698" s="1">
        <v>42105</v>
      </c>
      <c r="V698">
        <v>297.45715999999999</v>
      </c>
      <c r="W698">
        <v>5</v>
      </c>
      <c r="X698">
        <v>568.24</v>
      </c>
      <c r="Y698">
        <v>89375</v>
      </c>
    </row>
    <row r="699" spans="1:25" x14ac:dyDescent="0.35">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1">
        <v>42103</v>
      </c>
      <c r="U699" s="1">
        <v>42105</v>
      </c>
      <c r="V699">
        <v>-564.60239999999999</v>
      </c>
      <c r="W699">
        <v>1</v>
      </c>
      <c r="X699">
        <v>162.91</v>
      </c>
      <c r="Y699">
        <v>89375</v>
      </c>
    </row>
    <row r="700" spans="1:25" x14ac:dyDescent="0.35">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1">
        <v>42159</v>
      </c>
      <c r="U700" s="1">
        <v>42161</v>
      </c>
      <c r="V700">
        <v>-161.47499999999999</v>
      </c>
      <c r="W700">
        <v>1</v>
      </c>
      <c r="X700">
        <v>97.65</v>
      </c>
      <c r="Y700">
        <v>89376</v>
      </c>
    </row>
    <row r="701" spans="1:25" x14ac:dyDescent="0.35">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1">
        <v>42159</v>
      </c>
      <c r="U701" s="1">
        <v>42160</v>
      </c>
      <c r="V701">
        <v>-0.81400000000001005</v>
      </c>
      <c r="W701">
        <v>6</v>
      </c>
      <c r="X701">
        <v>1018.61</v>
      </c>
      <c r="Y701">
        <v>89376</v>
      </c>
    </row>
    <row r="702" spans="1:25" x14ac:dyDescent="0.35">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1">
        <v>42035</v>
      </c>
      <c r="U702" s="1">
        <v>42037</v>
      </c>
      <c r="V702">
        <v>790.46399999999983</v>
      </c>
      <c r="W702">
        <v>9</v>
      </c>
      <c r="X702">
        <v>1145.5999999999999</v>
      </c>
      <c r="Y702">
        <v>86075</v>
      </c>
    </row>
    <row r="703" spans="1:25" x14ac:dyDescent="0.35">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1">
        <v>42092</v>
      </c>
      <c r="U703" s="1">
        <v>42093</v>
      </c>
      <c r="V703">
        <v>7.74</v>
      </c>
      <c r="W703">
        <v>3</v>
      </c>
      <c r="X703">
        <v>24.52</v>
      </c>
      <c r="Y703">
        <v>86076</v>
      </c>
    </row>
    <row r="704" spans="1:25" x14ac:dyDescent="0.35">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1">
        <v>42149</v>
      </c>
      <c r="U704" s="1">
        <v>42150</v>
      </c>
      <c r="V704">
        <v>3985.3089</v>
      </c>
      <c r="W704">
        <v>20</v>
      </c>
      <c r="X704">
        <v>5775.81</v>
      </c>
      <c r="Y704">
        <v>86077</v>
      </c>
    </row>
    <row r="705" spans="1:25" x14ac:dyDescent="0.35">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1">
        <v>42149</v>
      </c>
      <c r="U705" s="1">
        <v>42150</v>
      </c>
      <c r="V705">
        <v>13.956800000000015</v>
      </c>
      <c r="W705">
        <v>11</v>
      </c>
      <c r="X705">
        <v>1878.24</v>
      </c>
      <c r="Y705">
        <v>86077</v>
      </c>
    </row>
    <row r="706" spans="1:25" x14ac:dyDescent="0.35">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1">
        <v>42035</v>
      </c>
      <c r="U706" s="1">
        <v>42037</v>
      </c>
      <c r="V706">
        <v>788.79</v>
      </c>
      <c r="W706">
        <v>10</v>
      </c>
      <c r="X706">
        <v>1634.67</v>
      </c>
      <c r="Y706">
        <v>86075</v>
      </c>
    </row>
    <row r="707" spans="1:25" x14ac:dyDescent="0.35">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1">
        <v>42079</v>
      </c>
      <c r="U707" s="1">
        <v>42080</v>
      </c>
      <c r="V707">
        <v>-70.14</v>
      </c>
      <c r="W707">
        <v>23</v>
      </c>
      <c r="X707">
        <v>9280.7199999999993</v>
      </c>
      <c r="Y707">
        <v>90880</v>
      </c>
    </row>
    <row r="708" spans="1:25" x14ac:dyDescent="0.35">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1">
        <v>42088</v>
      </c>
      <c r="U708" s="1">
        <v>42088</v>
      </c>
      <c r="V708">
        <v>531.61799999999994</v>
      </c>
      <c r="W708">
        <v>7</v>
      </c>
      <c r="X708">
        <v>1348.83</v>
      </c>
      <c r="Y708">
        <v>90881</v>
      </c>
    </row>
    <row r="709" spans="1:25" x14ac:dyDescent="0.35">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1">
        <v>42099</v>
      </c>
      <c r="U709" s="1">
        <v>42100</v>
      </c>
      <c r="V709">
        <v>-107.51349999999999</v>
      </c>
      <c r="W709">
        <v>26</v>
      </c>
      <c r="X709">
        <v>564.98</v>
      </c>
      <c r="Y709">
        <v>36452</v>
      </c>
    </row>
    <row r="710" spans="1:25" x14ac:dyDescent="0.35">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1">
        <v>42099</v>
      </c>
      <c r="U710" s="1">
        <v>42101</v>
      </c>
      <c r="V710">
        <v>46.01</v>
      </c>
      <c r="W710">
        <v>18</v>
      </c>
      <c r="X710">
        <v>129.47999999999999</v>
      </c>
      <c r="Y710">
        <v>36452</v>
      </c>
    </row>
    <row r="711" spans="1:25" x14ac:dyDescent="0.35">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1">
        <v>42146</v>
      </c>
      <c r="U711" s="1">
        <v>42146</v>
      </c>
      <c r="V711">
        <v>1489.8</v>
      </c>
      <c r="W711">
        <v>32</v>
      </c>
      <c r="X711">
        <v>8216.2800000000007</v>
      </c>
      <c r="Y711">
        <v>46853</v>
      </c>
    </row>
    <row r="712" spans="1:25" x14ac:dyDescent="0.35">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1">
        <v>42099</v>
      </c>
      <c r="U712" s="1">
        <v>42100</v>
      </c>
      <c r="V712">
        <v>-107.51349999999999</v>
      </c>
      <c r="W712">
        <v>7</v>
      </c>
      <c r="X712">
        <v>152.11000000000001</v>
      </c>
      <c r="Y712">
        <v>91555</v>
      </c>
    </row>
    <row r="713" spans="1:25" x14ac:dyDescent="0.35">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1">
        <v>42099</v>
      </c>
      <c r="U713" s="1">
        <v>42101</v>
      </c>
      <c r="V713">
        <v>24.819299999999998</v>
      </c>
      <c r="W713">
        <v>5</v>
      </c>
      <c r="X713">
        <v>35.97</v>
      </c>
      <c r="Y713">
        <v>91555</v>
      </c>
    </row>
    <row r="714" spans="1:25" x14ac:dyDescent="0.35">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1">
        <v>42103</v>
      </c>
      <c r="U714" s="1">
        <v>42103</v>
      </c>
      <c r="V714">
        <v>-255.16890000000001</v>
      </c>
      <c r="W714">
        <v>21</v>
      </c>
      <c r="X714">
        <v>85.64</v>
      </c>
      <c r="Y714">
        <v>87877</v>
      </c>
    </row>
    <row r="715" spans="1:25" x14ac:dyDescent="0.35">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1">
        <v>42103</v>
      </c>
      <c r="U715" s="1">
        <v>42105</v>
      </c>
      <c r="V715">
        <v>74.004800000000003</v>
      </c>
      <c r="W715">
        <v>22</v>
      </c>
      <c r="X715">
        <v>2508.15</v>
      </c>
      <c r="Y715">
        <v>87877</v>
      </c>
    </row>
    <row r="716" spans="1:25" x14ac:dyDescent="0.35">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1">
        <v>42103</v>
      </c>
      <c r="U716" s="1">
        <v>42104</v>
      </c>
      <c r="V716">
        <v>109.42479999999999</v>
      </c>
      <c r="W716">
        <v>8</v>
      </c>
      <c r="X716">
        <v>225.62</v>
      </c>
      <c r="Y716">
        <v>87877</v>
      </c>
    </row>
    <row r="717" spans="1:25" x14ac:dyDescent="0.35">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1">
        <v>42117</v>
      </c>
      <c r="U717" s="1">
        <v>42117</v>
      </c>
      <c r="V717">
        <v>421.34849999999994</v>
      </c>
      <c r="W717">
        <v>13</v>
      </c>
      <c r="X717">
        <v>610.65</v>
      </c>
      <c r="Y717">
        <v>89981</v>
      </c>
    </row>
    <row r="718" spans="1:25" x14ac:dyDescent="0.35">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1">
        <v>42117</v>
      </c>
      <c r="U718" s="1">
        <v>42119</v>
      </c>
      <c r="V718">
        <v>-373.09</v>
      </c>
      <c r="W718">
        <v>5</v>
      </c>
      <c r="X718">
        <v>699.24</v>
      </c>
      <c r="Y718">
        <v>89981</v>
      </c>
    </row>
    <row r="719" spans="1:25" x14ac:dyDescent="0.35">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1">
        <v>42117</v>
      </c>
      <c r="U719" s="1">
        <v>42119</v>
      </c>
      <c r="V719">
        <v>-3465.0720000000001</v>
      </c>
      <c r="W719">
        <v>12</v>
      </c>
      <c r="X719">
        <v>2346.0300000000002</v>
      </c>
      <c r="Y719">
        <v>89981</v>
      </c>
    </row>
    <row r="720" spans="1:25" x14ac:dyDescent="0.35">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1">
        <v>42145</v>
      </c>
      <c r="U720" s="1">
        <v>42147</v>
      </c>
      <c r="V720">
        <v>-11.281500000000001</v>
      </c>
      <c r="W720">
        <v>16</v>
      </c>
      <c r="X720">
        <v>33.770000000000003</v>
      </c>
      <c r="Y720">
        <v>89982</v>
      </c>
    </row>
    <row r="721" spans="1:25" x14ac:dyDescent="0.35">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1">
        <v>42075</v>
      </c>
      <c r="U721" s="1">
        <v>42076</v>
      </c>
      <c r="V721">
        <v>-218.77</v>
      </c>
      <c r="W721">
        <v>2</v>
      </c>
      <c r="X721">
        <v>172.79</v>
      </c>
      <c r="Y721">
        <v>89983</v>
      </c>
    </row>
    <row r="722" spans="1:25" x14ac:dyDescent="0.35">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1">
        <v>42087</v>
      </c>
      <c r="U722" s="1">
        <v>42088</v>
      </c>
      <c r="V722">
        <v>-9.68</v>
      </c>
      <c r="W722">
        <v>5</v>
      </c>
      <c r="X722">
        <v>19.66</v>
      </c>
      <c r="Y722">
        <v>89984</v>
      </c>
    </row>
    <row r="723" spans="1:25" x14ac:dyDescent="0.35">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1">
        <v>42146</v>
      </c>
      <c r="U723" s="1">
        <v>42147</v>
      </c>
      <c r="V723">
        <v>-164.39520000000002</v>
      </c>
      <c r="W723">
        <v>5</v>
      </c>
      <c r="X723">
        <v>604.35</v>
      </c>
      <c r="Y723">
        <v>86535</v>
      </c>
    </row>
    <row r="724" spans="1:25" x14ac:dyDescent="0.35">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1">
        <v>42118</v>
      </c>
      <c r="U724" s="1">
        <v>42118</v>
      </c>
      <c r="V724">
        <v>-8.2080000000000002</v>
      </c>
      <c r="W724">
        <v>1</v>
      </c>
      <c r="X724">
        <v>3.13</v>
      </c>
      <c r="Y724">
        <v>86536</v>
      </c>
    </row>
    <row r="725" spans="1:25" x14ac:dyDescent="0.35">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1">
        <v>42114</v>
      </c>
      <c r="U725" s="1">
        <v>42114</v>
      </c>
      <c r="V725">
        <v>-2196.6840000000002</v>
      </c>
      <c r="W725">
        <v>9</v>
      </c>
      <c r="X725">
        <v>38.65</v>
      </c>
      <c r="Y725">
        <v>86534</v>
      </c>
    </row>
    <row r="726" spans="1:25" x14ac:dyDescent="0.35">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1">
        <v>42131</v>
      </c>
      <c r="U726" s="1">
        <v>42134</v>
      </c>
      <c r="V726">
        <v>43.538000000000011</v>
      </c>
      <c r="W726">
        <v>5</v>
      </c>
      <c r="X726">
        <v>378.23</v>
      </c>
      <c r="Y726">
        <v>89730</v>
      </c>
    </row>
    <row r="727" spans="1:25" x14ac:dyDescent="0.35">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1">
        <v>42166</v>
      </c>
      <c r="U727" s="1">
        <v>42167</v>
      </c>
      <c r="V727">
        <v>-11.376000000000001</v>
      </c>
      <c r="W727">
        <v>1</v>
      </c>
      <c r="X727">
        <v>7.15</v>
      </c>
      <c r="Y727">
        <v>89729</v>
      </c>
    </row>
    <row r="728" spans="1:25" x14ac:dyDescent="0.35">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1">
        <v>42045</v>
      </c>
      <c r="U728" s="1">
        <v>42046</v>
      </c>
      <c r="V728">
        <v>533.74199999999996</v>
      </c>
      <c r="W728">
        <v>2</v>
      </c>
      <c r="X728">
        <v>29.85</v>
      </c>
      <c r="Y728">
        <v>89514</v>
      </c>
    </row>
    <row r="729" spans="1:25" x14ac:dyDescent="0.35">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1">
        <v>42136</v>
      </c>
      <c r="U729" s="1">
        <v>42137</v>
      </c>
      <c r="V729">
        <v>-379.34399999999999</v>
      </c>
      <c r="W729">
        <v>3</v>
      </c>
      <c r="X729">
        <v>366.44</v>
      </c>
      <c r="Y729">
        <v>89515</v>
      </c>
    </row>
    <row r="730" spans="1:25" x14ac:dyDescent="0.35">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1">
        <v>42136</v>
      </c>
      <c r="U730" s="1">
        <v>42138</v>
      </c>
      <c r="V730">
        <v>-1522.3039999999999</v>
      </c>
      <c r="W730">
        <v>11</v>
      </c>
      <c r="X730">
        <v>69.75</v>
      </c>
      <c r="Y730">
        <v>89515</v>
      </c>
    </row>
    <row r="731" spans="1:25" x14ac:dyDescent="0.35">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1">
        <v>42103</v>
      </c>
      <c r="U731" s="1">
        <v>42104</v>
      </c>
      <c r="V731">
        <v>588.24569999999994</v>
      </c>
      <c r="W731">
        <v>8</v>
      </c>
      <c r="X731">
        <v>852.53</v>
      </c>
      <c r="Y731">
        <v>88410</v>
      </c>
    </row>
    <row r="732" spans="1:25" x14ac:dyDescent="0.35">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1">
        <v>42125</v>
      </c>
      <c r="U732" s="1">
        <v>42130</v>
      </c>
      <c r="V732">
        <v>151.56539999999998</v>
      </c>
      <c r="W732">
        <v>7</v>
      </c>
      <c r="X732">
        <v>219.66</v>
      </c>
      <c r="Y732">
        <v>88411</v>
      </c>
    </row>
    <row r="733" spans="1:25" x14ac:dyDescent="0.35">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1">
        <v>42064</v>
      </c>
      <c r="U733" s="1">
        <v>42065</v>
      </c>
      <c r="V733">
        <v>54.901500000000006</v>
      </c>
      <c r="W733">
        <v>2</v>
      </c>
      <c r="X733">
        <v>81.900000000000006</v>
      </c>
      <c r="Y733">
        <v>90114</v>
      </c>
    </row>
    <row r="734" spans="1:25" x14ac:dyDescent="0.35">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1">
        <v>42068</v>
      </c>
      <c r="U734" s="1">
        <v>42068</v>
      </c>
      <c r="V734">
        <v>501.51</v>
      </c>
      <c r="W734">
        <v>5</v>
      </c>
      <c r="X734">
        <v>2343.34</v>
      </c>
      <c r="Y734">
        <v>90115</v>
      </c>
    </row>
    <row r="735" spans="1:25" x14ac:dyDescent="0.35">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1">
        <v>42064</v>
      </c>
      <c r="U735" s="1">
        <v>42065</v>
      </c>
      <c r="V735">
        <v>54.901500000000006</v>
      </c>
      <c r="W735">
        <v>8</v>
      </c>
      <c r="X735">
        <v>327.61</v>
      </c>
      <c r="Y735">
        <v>19042</v>
      </c>
    </row>
    <row r="736" spans="1:25" x14ac:dyDescent="0.35">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1">
        <v>42028</v>
      </c>
      <c r="U736" s="1">
        <v>42030</v>
      </c>
      <c r="V736">
        <v>875.28440000000001</v>
      </c>
      <c r="W736">
        <v>8</v>
      </c>
      <c r="X736">
        <v>1774.5</v>
      </c>
      <c r="Y736">
        <v>89112</v>
      </c>
    </row>
    <row r="737" spans="1:25" x14ac:dyDescent="0.35">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1">
        <v>42028</v>
      </c>
      <c r="U737" s="1">
        <v>42030</v>
      </c>
      <c r="V737">
        <v>727.73609999999996</v>
      </c>
      <c r="W737">
        <v>5</v>
      </c>
      <c r="X737">
        <v>1054.69</v>
      </c>
      <c r="Y737">
        <v>89112</v>
      </c>
    </row>
    <row r="738" spans="1:25" x14ac:dyDescent="0.35">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1">
        <v>42028</v>
      </c>
      <c r="U738" s="1">
        <v>42030</v>
      </c>
      <c r="V738">
        <v>460.67600000000004</v>
      </c>
      <c r="W738">
        <v>30</v>
      </c>
      <c r="X738">
        <v>6654.39</v>
      </c>
      <c r="Y738">
        <v>29319</v>
      </c>
    </row>
    <row r="739" spans="1:25" x14ac:dyDescent="0.35">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1">
        <v>42028</v>
      </c>
      <c r="U739" s="1">
        <v>42030</v>
      </c>
      <c r="V739">
        <v>393.41999999999996</v>
      </c>
      <c r="W739">
        <v>21</v>
      </c>
      <c r="X739">
        <v>4429.6899999999996</v>
      </c>
      <c r="Y739">
        <v>29319</v>
      </c>
    </row>
    <row r="740" spans="1:25" x14ac:dyDescent="0.35">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1">
        <v>42047</v>
      </c>
      <c r="U740" s="1">
        <v>42050</v>
      </c>
      <c r="V740">
        <v>606.05459999999994</v>
      </c>
      <c r="W740">
        <v>6</v>
      </c>
      <c r="X740">
        <v>878.34</v>
      </c>
      <c r="Y740">
        <v>90662</v>
      </c>
    </row>
    <row r="741" spans="1:25" x14ac:dyDescent="0.35">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1">
        <v>42047</v>
      </c>
      <c r="U741" s="1">
        <v>42049</v>
      </c>
      <c r="V741">
        <v>320.10000000000002</v>
      </c>
      <c r="W741">
        <v>4</v>
      </c>
      <c r="X741">
        <v>676.57</v>
      </c>
      <c r="Y741">
        <v>90662</v>
      </c>
    </row>
    <row r="742" spans="1:25" x14ac:dyDescent="0.35">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1">
        <v>42054</v>
      </c>
      <c r="U742" s="1">
        <v>42056</v>
      </c>
      <c r="V742">
        <v>317.08949999999999</v>
      </c>
      <c r="W742">
        <v>12</v>
      </c>
      <c r="X742">
        <v>459.55</v>
      </c>
      <c r="Y742">
        <v>87003</v>
      </c>
    </row>
    <row r="743" spans="1:25" x14ac:dyDescent="0.35">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1">
        <v>42054</v>
      </c>
      <c r="U743" s="1">
        <v>42061</v>
      </c>
      <c r="V743">
        <v>250.36272000000002</v>
      </c>
      <c r="W743">
        <v>9</v>
      </c>
      <c r="X743">
        <v>536.9</v>
      </c>
      <c r="Y743">
        <v>87005</v>
      </c>
    </row>
    <row r="744" spans="1:25" x14ac:dyDescent="0.35">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1">
        <v>42117</v>
      </c>
      <c r="U744" s="1">
        <v>42118</v>
      </c>
      <c r="V744">
        <v>6.0305999999999997</v>
      </c>
      <c r="W744">
        <v>3</v>
      </c>
      <c r="X744">
        <v>8.74</v>
      </c>
      <c r="Y744">
        <v>87004</v>
      </c>
    </row>
    <row r="745" spans="1:25" x14ac:dyDescent="0.35">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1">
        <v>42052</v>
      </c>
      <c r="U745" s="1">
        <v>42054</v>
      </c>
      <c r="V745">
        <v>125.8077</v>
      </c>
      <c r="W745">
        <v>3</v>
      </c>
      <c r="X745">
        <v>182.33</v>
      </c>
      <c r="Y745">
        <v>87002</v>
      </c>
    </row>
    <row r="746" spans="1:25" x14ac:dyDescent="0.35">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1">
        <v>42185</v>
      </c>
      <c r="U746" s="1">
        <v>42192</v>
      </c>
      <c r="V746">
        <v>44.891999999999996</v>
      </c>
      <c r="W746">
        <v>16</v>
      </c>
      <c r="X746">
        <v>131.26</v>
      </c>
      <c r="Y746">
        <v>91451</v>
      </c>
    </row>
    <row r="747" spans="1:25" x14ac:dyDescent="0.35">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1">
        <v>42093</v>
      </c>
      <c r="U747" s="1">
        <v>42095</v>
      </c>
      <c r="V747">
        <v>3.4509999999999996</v>
      </c>
      <c r="W747">
        <v>45</v>
      </c>
      <c r="X747">
        <v>240.6</v>
      </c>
      <c r="Y747">
        <v>22755</v>
      </c>
    </row>
    <row r="748" spans="1:25" x14ac:dyDescent="0.35">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1">
        <v>42093</v>
      </c>
      <c r="U748" s="1">
        <v>42095</v>
      </c>
      <c r="V748">
        <v>-275.25299999999999</v>
      </c>
      <c r="W748">
        <v>5</v>
      </c>
      <c r="X748">
        <v>236.88</v>
      </c>
      <c r="Y748">
        <v>22755</v>
      </c>
    </row>
    <row r="749" spans="1:25" x14ac:dyDescent="0.35">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1">
        <v>42009</v>
      </c>
      <c r="U749" s="1">
        <v>42013</v>
      </c>
      <c r="V749">
        <v>-746.44</v>
      </c>
      <c r="W749">
        <v>34</v>
      </c>
      <c r="X749">
        <v>2710.47</v>
      </c>
      <c r="Y749">
        <v>27013</v>
      </c>
    </row>
    <row r="750" spans="1:25" x14ac:dyDescent="0.35">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1">
        <v>42009</v>
      </c>
      <c r="U750" s="1">
        <v>42009</v>
      </c>
      <c r="V750">
        <v>-274.95</v>
      </c>
      <c r="W750">
        <v>31</v>
      </c>
      <c r="X750">
        <v>8354.73</v>
      </c>
      <c r="Y750">
        <v>27013</v>
      </c>
    </row>
    <row r="751" spans="1:25" x14ac:dyDescent="0.35">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1">
        <v>42093</v>
      </c>
      <c r="U751" s="1">
        <v>42094</v>
      </c>
      <c r="V751">
        <v>-95.047499999999999</v>
      </c>
      <c r="W751">
        <v>9</v>
      </c>
      <c r="X751">
        <v>48.3</v>
      </c>
      <c r="Y751">
        <v>87602</v>
      </c>
    </row>
    <row r="752" spans="1:25" x14ac:dyDescent="0.35">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1">
        <v>42093</v>
      </c>
      <c r="U752" s="1">
        <v>42095</v>
      </c>
      <c r="V752">
        <v>3.4509999999999996</v>
      </c>
      <c r="W752">
        <v>11</v>
      </c>
      <c r="X752">
        <v>58.81</v>
      </c>
      <c r="Y752">
        <v>87602</v>
      </c>
    </row>
    <row r="753" spans="1:25" x14ac:dyDescent="0.35">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1">
        <v>42093</v>
      </c>
      <c r="U753" s="1">
        <v>42095</v>
      </c>
      <c r="V753">
        <v>-275.25299999999999</v>
      </c>
      <c r="W753">
        <v>1</v>
      </c>
      <c r="X753">
        <v>47.38</v>
      </c>
      <c r="Y753">
        <v>87602</v>
      </c>
    </row>
    <row r="754" spans="1:25" x14ac:dyDescent="0.35">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1">
        <v>42009</v>
      </c>
      <c r="U754" s="1">
        <v>42013</v>
      </c>
      <c r="V754">
        <v>-746.44</v>
      </c>
      <c r="W754">
        <v>8</v>
      </c>
      <c r="X754">
        <v>637.76</v>
      </c>
      <c r="Y754">
        <v>87603</v>
      </c>
    </row>
    <row r="755" spans="1:25" x14ac:dyDescent="0.35">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1">
        <v>42009</v>
      </c>
      <c r="U755" s="1">
        <v>42009</v>
      </c>
      <c r="V755">
        <v>-274.95</v>
      </c>
      <c r="W755">
        <v>8</v>
      </c>
      <c r="X755">
        <v>2156.06</v>
      </c>
      <c r="Y755">
        <v>87603</v>
      </c>
    </row>
    <row r="756" spans="1:25" x14ac:dyDescent="0.35">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1">
        <v>42045</v>
      </c>
      <c r="U756" s="1">
        <v>42045</v>
      </c>
      <c r="V756">
        <v>525.20039999999995</v>
      </c>
      <c r="W756">
        <v>16</v>
      </c>
      <c r="X756">
        <v>761.16</v>
      </c>
      <c r="Y756">
        <v>91244</v>
      </c>
    </row>
    <row r="757" spans="1:25" x14ac:dyDescent="0.35">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1">
        <v>42045</v>
      </c>
      <c r="U757" s="1">
        <v>42052</v>
      </c>
      <c r="V757">
        <v>-52.646999999999998</v>
      </c>
      <c r="W757">
        <v>29</v>
      </c>
      <c r="X757">
        <v>682.68</v>
      </c>
      <c r="Y757">
        <v>21636</v>
      </c>
    </row>
    <row r="758" spans="1:25" x14ac:dyDescent="0.35">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1">
        <v>42045</v>
      </c>
      <c r="U758" s="1">
        <v>42050</v>
      </c>
      <c r="V758">
        <v>-24.44</v>
      </c>
      <c r="W758">
        <v>11</v>
      </c>
      <c r="X758">
        <v>73.44</v>
      </c>
      <c r="Y758">
        <v>21636</v>
      </c>
    </row>
    <row r="759" spans="1:25" x14ac:dyDescent="0.35">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1">
        <v>42045</v>
      </c>
      <c r="U759" s="1">
        <v>42045</v>
      </c>
      <c r="V759">
        <v>366.50700000000001</v>
      </c>
      <c r="W759">
        <v>63</v>
      </c>
      <c r="X759">
        <v>2997.07</v>
      </c>
      <c r="Y759">
        <v>21636</v>
      </c>
    </row>
    <row r="760" spans="1:25" x14ac:dyDescent="0.35">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1">
        <v>42161</v>
      </c>
      <c r="U760" s="1">
        <v>42164</v>
      </c>
      <c r="V760">
        <v>27.38</v>
      </c>
      <c r="W760">
        <v>76</v>
      </c>
      <c r="X760">
        <v>282.85000000000002</v>
      </c>
      <c r="Y760">
        <v>24455</v>
      </c>
    </row>
    <row r="761" spans="1:25" x14ac:dyDescent="0.35">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1">
        <v>42045</v>
      </c>
      <c r="U761" s="1">
        <v>42050</v>
      </c>
      <c r="V761">
        <v>-12.708800000000002</v>
      </c>
      <c r="W761">
        <v>3</v>
      </c>
      <c r="X761">
        <v>20.03</v>
      </c>
      <c r="Y761">
        <v>91244</v>
      </c>
    </row>
    <row r="762" spans="1:25" x14ac:dyDescent="0.35">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1">
        <v>42161</v>
      </c>
      <c r="U762" s="1">
        <v>42163</v>
      </c>
      <c r="V762">
        <v>-5.2949999999999999</v>
      </c>
      <c r="W762">
        <v>4</v>
      </c>
      <c r="X762">
        <v>84.56</v>
      </c>
      <c r="Y762">
        <v>91245</v>
      </c>
    </row>
    <row r="763" spans="1:25" x14ac:dyDescent="0.35">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1">
        <v>42161</v>
      </c>
      <c r="U763" s="1">
        <v>42164</v>
      </c>
      <c r="V763">
        <v>41.07</v>
      </c>
      <c r="W763">
        <v>19</v>
      </c>
      <c r="X763">
        <v>70.709999999999994</v>
      </c>
      <c r="Y763">
        <v>91245</v>
      </c>
    </row>
    <row r="764" spans="1:25" x14ac:dyDescent="0.35">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1">
        <v>42124</v>
      </c>
      <c r="U764" s="1">
        <v>42130</v>
      </c>
      <c r="V764">
        <v>-94.490899999999996</v>
      </c>
      <c r="W764">
        <v>21</v>
      </c>
      <c r="X764">
        <v>51.86</v>
      </c>
      <c r="Y764">
        <v>89686</v>
      </c>
    </row>
    <row r="765" spans="1:25" x14ac:dyDescent="0.35">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1">
        <v>42111</v>
      </c>
      <c r="U765" s="1">
        <v>42112</v>
      </c>
      <c r="V765">
        <v>-172.298</v>
      </c>
      <c r="W765">
        <v>4</v>
      </c>
      <c r="X765">
        <v>56.24</v>
      </c>
      <c r="Y765">
        <v>88233</v>
      </c>
    </row>
    <row r="766" spans="1:25" x14ac:dyDescent="0.35">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1">
        <v>42031</v>
      </c>
      <c r="U766" s="1">
        <v>42033</v>
      </c>
      <c r="V766">
        <v>3285.48</v>
      </c>
      <c r="W766">
        <v>7</v>
      </c>
      <c r="X766">
        <v>627.78</v>
      </c>
      <c r="Y766">
        <v>88232</v>
      </c>
    </row>
    <row r="767" spans="1:25" x14ac:dyDescent="0.35">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1">
        <v>42124</v>
      </c>
      <c r="U767" s="1">
        <v>42125</v>
      </c>
      <c r="V767">
        <v>46.036799999999999</v>
      </c>
      <c r="W767">
        <v>16</v>
      </c>
      <c r="X767">
        <v>283.44</v>
      </c>
      <c r="Y767">
        <v>88234</v>
      </c>
    </row>
    <row r="768" spans="1:25" x14ac:dyDescent="0.35">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1">
        <v>42046</v>
      </c>
      <c r="U768" s="1">
        <v>42046</v>
      </c>
      <c r="V768">
        <v>-1.0712000000000002</v>
      </c>
      <c r="W768">
        <v>2</v>
      </c>
      <c r="X768">
        <v>8.3000000000000007</v>
      </c>
      <c r="Y768">
        <v>91209</v>
      </c>
    </row>
    <row r="769" spans="1:25" x14ac:dyDescent="0.35">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1">
        <v>42046</v>
      </c>
      <c r="U769" s="1">
        <v>42048</v>
      </c>
      <c r="V769">
        <v>4.4104000000000001</v>
      </c>
      <c r="W769">
        <v>2</v>
      </c>
      <c r="X769">
        <v>10.039999999999999</v>
      </c>
      <c r="Y769">
        <v>91209</v>
      </c>
    </row>
    <row r="770" spans="1:25" x14ac:dyDescent="0.35">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1">
        <v>42158</v>
      </c>
      <c r="U770" s="1">
        <v>42160</v>
      </c>
      <c r="V770">
        <v>500.95799999999997</v>
      </c>
      <c r="W770">
        <v>9</v>
      </c>
      <c r="X770">
        <v>981.65</v>
      </c>
      <c r="Y770">
        <v>88184</v>
      </c>
    </row>
    <row r="771" spans="1:25" x14ac:dyDescent="0.35">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1">
        <v>42183</v>
      </c>
      <c r="U771" s="1">
        <v>42185</v>
      </c>
      <c r="V771">
        <v>1206.5961</v>
      </c>
      <c r="W771">
        <v>15</v>
      </c>
      <c r="X771">
        <v>1748.69</v>
      </c>
      <c r="Y771">
        <v>88185</v>
      </c>
    </row>
    <row r="772" spans="1:25" x14ac:dyDescent="0.35">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1">
        <v>42030</v>
      </c>
      <c r="U772" s="1">
        <v>42031</v>
      </c>
      <c r="V772">
        <v>82.310099999999991</v>
      </c>
      <c r="W772">
        <v>8</v>
      </c>
      <c r="X772">
        <v>119.29</v>
      </c>
      <c r="Y772">
        <v>89595</v>
      </c>
    </row>
    <row r="773" spans="1:25" x14ac:dyDescent="0.35">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1">
        <v>42030</v>
      </c>
      <c r="U773" s="1">
        <v>42032</v>
      </c>
      <c r="V773">
        <v>1.2236</v>
      </c>
      <c r="W773">
        <v>1</v>
      </c>
      <c r="X773">
        <v>3.08</v>
      </c>
      <c r="Y773">
        <v>89595</v>
      </c>
    </row>
    <row r="774" spans="1:25" x14ac:dyDescent="0.35">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1">
        <v>42045</v>
      </c>
      <c r="U774" s="1">
        <v>42046</v>
      </c>
      <c r="V774">
        <v>-15.6312</v>
      </c>
      <c r="W774">
        <v>9</v>
      </c>
      <c r="X774">
        <v>69.459999999999994</v>
      </c>
      <c r="Y774">
        <v>89596</v>
      </c>
    </row>
    <row r="775" spans="1:25" x14ac:dyDescent="0.35">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1">
        <v>42045</v>
      </c>
      <c r="U775" s="1">
        <v>42047</v>
      </c>
      <c r="V775">
        <v>790.54679999999996</v>
      </c>
      <c r="W775">
        <v>16</v>
      </c>
      <c r="X775">
        <v>1145.72</v>
      </c>
      <c r="Y775">
        <v>89596</v>
      </c>
    </row>
    <row r="776" spans="1:25" x14ac:dyDescent="0.35">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1">
        <v>42039</v>
      </c>
      <c r="U776" s="1">
        <v>42041</v>
      </c>
      <c r="V776">
        <v>5.4659999999999993</v>
      </c>
      <c r="W776">
        <v>2</v>
      </c>
      <c r="X776">
        <v>26.37</v>
      </c>
      <c r="Y776">
        <v>89993</v>
      </c>
    </row>
    <row r="777" spans="1:25" x14ac:dyDescent="0.35">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1">
        <v>42039</v>
      </c>
      <c r="U777" s="1">
        <v>42041</v>
      </c>
      <c r="V777">
        <v>-149.1182</v>
      </c>
      <c r="W777">
        <v>9</v>
      </c>
      <c r="X777">
        <v>53.44</v>
      </c>
      <c r="Y777">
        <v>89993</v>
      </c>
    </row>
    <row r="778" spans="1:25" x14ac:dyDescent="0.35">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1">
        <v>42080</v>
      </c>
      <c r="U778" s="1">
        <v>42080</v>
      </c>
      <c r="V778">
        <v>-90.26</v>
      </c>
      <c r="W778">
        <v>10</v>
      </c>
      <c r="X778">
        <v>57.34</v>
      </c>
      <c r="Y778">
        <v>89994</v>
      </c>
    </row>
    <row r="779" spans="1:25" x14ac:dyDescent="0.35">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1">
        <v>42011</v>
      </c>
      <c r="U779" s="1">
        <v>42014</v>
      </c>
      <c r="V779">
        <v>-326.23159999999996</v>
      </c>
      <c r="W779">
        <v>1</v>
      </c>
      <c r="X779">
        <v>79.02</v>
      </c>
      <c r="Y779">
        <v>90513</v>
      </c>
    </row>
    <row r="780" spans="1:25" x14ac:dyDescent="0.35">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1">
        <v>42086</v>
      </c>
      <c r="U780" s="1">
        <v>42088</v>
      </c>
      <c r="V780">
        <v>16.898</v>
      </c>
      <c r="W780">
        <v>6</v>
      </c>
      <c r="X780">
        <v>25.45</v>
      </c>
      <c r="Y780">
        <v>90514</v>
      </c>
    </row>
    <row r="781" spans="1:25" x14ac:dyDescent="0.35">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1">
        <v>42086</v>
      </c>
      <c r="U781" s="1">
        <v>42088</v>
      </c>
      <c r="V781">
        <v>20.14</v>
      </c>
      <c r="W781">
        <v>11</v>
      </c>
      <c r="X781">
        <v>110.72</v>
      </c>
      <c r="Y781">
        <v>90514</v>
      </c>
    </row>
    <row r="782" spans="1:25" x14ac:dyDescent="0.35">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1">
        <v>42162</v>
      </c>
      <c r="U782" s="1">
        <v>42163</v>
      </c>
      <c r="V782">
        <v>-21.231999999999999</v>
      </c>
      <c r="W782">
        <v>1</v>
      </c>
      <c r="X782">
        <v>46.94</v>
      </c>
      <c r="Y782">
        <v>88212</v>
      </c>
    </row>
    <row r="783" spans="1:25" x14ac:dyDescent="0.35">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1">
        <v>42182</v>
      </c>
      <c r="U783" s="1">
        <v>42188</v>
      </c>
      <c r="V783">
        <v>18.0642</v>
      </c>
      <c r="W783">
        <v>9</v>
      </c>
      <c r="X783">
        <v>26.18</v>
      </c>
      <c r="Y783">
        <v>88213</v>
      </c>
    </row>
    <row r="784" spans="1:25" x14ac:dyDescent="0.35">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1">
        <v>42125</v>
      </c>
      <c r="U784" s="1">
        <v>42126</v>
      </c>
      <c r="V784">
        <v>-93.25</v>
      </c>
      <c r="W784">
        <v>12</v>
      </c>
      <c r="X784">
        <v>28.66</v>
      </c>
      <c r="Y784">
        <v>89406</v>
      </c>
    </row>
    <row r="785" spans="1:25" x14ac:dyDescent="0.35">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1">
        <v>42185</v>
      </c>
      <c r="U785" s="1">
        <v>42187</v>
      </c>
      <c r="V785">
        <v>-163.03</v>
      </c>
      <c r="W785">
        <v>11</v>
      </c>
      <c r="X785">
        <v>123.18</v>
      </c>
      <c r="Y785">
        <v>89407</v>
      </c>
    </row>
    <row r="786" spans="1:25" x14ac:dyDescent="0.35">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1">
        <v>42162</v>
      </c>
      <c r="U786" s="1">
        <v>42169</v>
      </c>
      <c r="V786">
        <v>23.61599999999995</v>
      </c>
      <c r="W786">
        <v>21</v>
      </c>
      <c r="X786">
        <v>1533.59</v>
      </c>
      <c r="Y786">
        <v>89408</v>
      </c>
    </row>
    <row r="787" spans="1:25" x14ac:dyDescent="0.35">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1">
        <v>42029</v>
      </c>
      <c r="U787" s="1">
        <v>42030</v>
      </c>
      <c r="V787">
        <v>-11.0732</v>
      </c>
      <c r="W787">
        <v>1</v>
      </c>
      <c r="X787">
        <v>2.77</v>
      </c>
      <c r="Y787">
        <v>88726</v>
      </c>
    </row>
    <row r="788" spans="1:25" x14ac:dyDescent="0.35">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1">
        <v>42137</v>
      </c>
      <c r="U788" s="1">
        <v>42139</v>
      </c>
      <c r="V788">
        <v>21.769499999999997</v>
      </c>
      <c r="W788">
        <v>12</v>
      </c>
      <c r="X788">
        <v>31.55</v>
      </c>
      <c r="Y788">
        <v>88728</v>
      </c>
    </row>
    <row r="789" spans="1:25" x14ac:dyDescent="0.35">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1">
        <v>42158</v>
      </c>
      <c r="U789" s="1">
        <v>42160</v>
      </c>
      <c r="V789">
        <v>29.380199999999995</v>
      </c>
      <c r="W789">
        <v>17</v>
      </c>
      <c r="X789">
        <v>42.58</v>
      </c>
      <c r="Y789">
        <v>88729</v>
      </c>
    </row>
    <row r="790" spans="1:25" x14ac:dyDescent="0.35">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1">
        <v>42140</v>
      </c>
      <c r="U790" s="1">
        <v>42140</v>
      </c>
      <c r="V790">
        <v>100.2984</v>
      </c>
      <c r="W790">
        <v>19</v>
      </c>
      <c r="X790">
        <v>145.36000000000001</v>
      </c>
      <c r="Y790">
        <v>88731</v>
      </c>
    </row>
    <row r="791" spans="1:25" x14ac:dyDescent="0.35">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1">
        <v>42140</v>
      </c>
      <c r="U791" s="1">
        <v>42142</v>
      </c>
      <c r="V791">
        <v>2495.3987999999999</v>
      </c>
      <c r="W791">
        <v>38</v>
      </c>
      <c r="X791">
        <v>3616.52</v>
      </c>
      <c r="Y791">
        <v>88731</v>
      </c>
    </row>
    <row r="792" spans="1:25" x14ac:dyDescent="0.35">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1">
        <v>42118</v>
      </c>
      <c r="U792" s="1">
        <v>42118</v>
      </c>
      <c r="V792">
        <v>-0.10999999999999943</v>
      </c>
      <c r="W792">
        <v>1</v>
      </c>
      <c r="X792">
        <v>7.96</v>
      </c>
      <c r="Y792">
        <v>88727</v>
      </c>
    </row>
    <row r="793" spans="1:25" x14ac:dyDescent="0.35">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1">
        <v>42127</v>
      </c>
      <c r="U793" s="1">
        <v>42134</v>
      </c>
      <c r="V793">
        <v>15.236000000000018</v>
      </c>
      <c r="W793">
        <v>33</v>
      </c>
      <c r="X793">
        <v>389.59</v>
      </c>
      <c r="Y793">
        <v>88730</v>
      </c>
    </row>
    <row r="794" spans="1:25" x14ac:dyDescent="0.35">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1">
        <v>42019</v>
      </c>
      <c r="U794" s="1">
        <v>42019</v>
      </c>
      <c r="V794">
        <v>-42.8536</v>
      </c>
      <c r="W794">
        <v>48</v>
      </c>
      <c r="X794">
        <v>447.89</v>
      </c>
      <c r="Y794">
        <v>37729</v>
      </c>
    </row>
    <row r="795" spans="1:25" x14ac:dyDescent="0.35">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1">
        <v>42025</v>
      </c>
      <c r="U795" s="1">
        <v>42026</v>
      </c>
      <c r="V795">
        <v>-20.79</v>
      </c>
      <c r="W795">
        <v>48</v>
      </c>
      <c r="X795">
        <v>1420.84</v>
      </c>
      <c r="Y795">
        <v>43079</v>
      </c>
    </row>
    <row r="796" spans="1:25" x14ac:dyDescent="0.35">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1">
        <v>42019</v>
      </c>
      <c r="U796" s="1">
        <v>42019</v>
      </c>
      <c r="V796">
        <v>-33.211539999999999</v>
      </c>
      <c r="W796">
        <v>12</v>
      </c>
      <c r="X796">
        <v>111.97</v>
      </c>
      <c r="Y796">
        <v>86144</v>
      </c>
    </row>
    <row r="797" spans="1:25" x14ac:dyDescent="0.35">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1">
        <v>42025</v>
      </c>
      <c r="U797" s="1">
        <v>42026</v>
      </c>
      <c r="V797">
        <v>-20.79</v>
      </c>
      <c r="W797">
        <v>12</v>
      </c>
      <c r="X797">
        <v>355.21</v>
      </c>
      <c r="Y797">
        <v>86145</v>
      </c>
    </row>
    <row r="798" spans="1:25" x14ac:dyDescent="0.35">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1">
        <v>42101</v>
      </c>
      <c r="U798" s="1">
        <v>42102</v>
      </c>
      <c r="V798">
        <v>369.99869999999999</v>
      </c>
      <c r="W798">
        <v>9</v>
      </c>
      <c r="X798">
        <v>536.23</v>
      </c>
      <c r="Y798">
        <v>87086</v>
      </c>
    </row>
    <row r="799" spans="1:25" x14ac:dyDescent="0.35">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1">
        <v>42037</v>
      </c>
      <c r="U799" s="1">
        <v>42039</v>
      </c>
      <c r="V799">
        <v>20.453600000000002</v>
      </c>
      <c r="W799">
        <v>12</v>
      </c>
      <c r="X799">
        <v>38.81</v>
      </c>
      <c r="Y799">
        <v>87087</v>
      </c>
    </row>
    <row r="800" spans="1:25" x14ac:dyDescent="0.35">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1">
        <v>42101</v>
      </c>
      <c r="U800" s="1">
        <v>42102</v>
      </c>
      <c r="V800">
        <v>542.25</v>
      </c>
      <c r="W800">
        <v>36</v>
      </c>
      <c r="X800">
        <v>2144.92</v>
      </c>
      <c r="Y800">
        <v>10277</v>
      </c>
    </row>
    <row r="801" spans="1:25" x14ac:dyDescent="0.35">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1">
        <v>42037</v>
      </c>
      <c r="U801" s="1">
        <v>42039</v>
      </c>
      <c r="V801">
        <v>69.61</v>
      </c>
      <c r="W801">
        <v>27</v>
      </c>
      <c r="X801">
        <v>484.56</v>
      </c>
      <c r="Y801">
        <v>45539</v>
      </c>
    </row>
    <row r="802" spans="1:25" x14ac:dyDescent="0.35">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1">
        <v>42130</v>
      </c>
      <c r="U802" s="1">
        <v>42131</v>
      </c>
      <c r="V802">
        <v>-634.86540000000002</v>
      </c>
      <c r="W802">
        <v>1</v>
      </c>
      <c r="X802">
        <v>471.21</v>
      </c>
      <c r="Y802">
        <v>90538</v>
      </c>
    </row>
    <row r="803" spans="1:25" x14ac:dyDescent="0.35">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1">
        <v>42180</v>
      </c>
      <c r="U803" s="1">
        <v>42182</v>
      </c>
      <c r="V803">
        <v>87.12</v>
      </c>
      <c r="W803">
        <v>4</v>
      </c>
      <c r="X803">
        <v>182.61</v>
      </c>
      <c r="Y803">
        <v>90540</v>
      </c>
    </row>
    <row r="804" spans="1:25" x14ac:dyDescent="0.35">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1">
        <v>42005</v>
      </c>
      <c r="U804" s="1">
        <v>42007</v>
      </c>
      <c r="V804">
        <v>25.240199999999998</v>
      </c>
      <c r="W804">
        <v>8</v>
      </c>
      <c r="X804">
        <v>36.58</v>
      </c>
      <c r="Y804">
        <v>90539</v>
      </c>
    </row>
    <row r="805" spans="1:25" x14ac:dyDescent="0.35">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1">
        <v>42180</v>
      </c>
      <c r="U805" s="1">
        <v>42181</v>
      </c>
      <c r="V805">
        <v>-94.674644999999998</v>
      </c>
      <c r="W805">
        <v>18</v>
      </c>
      <c r="X805">
        <v>2376.12</v>
      </c>
      <c r="Y805">
        <v>90540</v>
      </c>
    </row>
    <row r="806" spans="1:25" x14ac:dyDescent="0.35">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1">
        <v>42016</v>
      </c>
      <c r="U806" s="1">
        <v>42018</v>
      </c>
      <c r="V806">
        <v>451.28039999999999</v>
      </c>
      <c r="W806">
        <v>3</v>
      </c>
      <c r="X806">
        <v>1020.08</v>
      </c>
      <c r="Y806">
        <v>89448</v>
      </c>
    </row>
    <row r="807" spans="1:25" x14ac:dyDescent="0.35">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1">
        <v>42016</v>
      </c>
      <c r="U807" s="1">
        <v>42020</v>
      </c>
      <c r="V807">
        <v>44.988</v>
      </c>
      <c r="W807">
        <v>7</v>
      </c>
      <c r="X807">
        <v>65.2</v>
      </c>
      <c r="Y807">
        <v>89448</v>
      </c>
    </row>
    <row r="808" spans="1:25" x14ac:dyDescent="0.35">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1">
        <v>42016</v>
      </c>
      <c r="U808" s="1">
        <v>42020</v>
      </c>
      <c r="V808">
        <v>-20.732799999999997</v>
      </c>
      <c r="W808">
        <v>11</v>
      </c>
      <c r="X808">
        <v>22.59</v>
      </c>
      <c r="Y808">
        <v>89448</v>
      </c>
    </row>
    <row r="809" spans="1:25" x14ac:dyDescent="0.35">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1">
        <v>42175</v>
      </c>
      <c r="U809" s="1">
        <v>42177</v>
      </c>
      <c r="V809">
        <v>-164.39479999999998</v>
      </c>
      <c r="W809">
        <v>15</v>
      </c>
      <c r="X809">
        <v>121.36</v>
      </c>
      <c r="Y809">
        <v>89449</v>
      </c>
    </row>
    <row r="810" spans="1:25" x14ac:dyDescent="0.35">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1">
        <v>42005</v>
      </c>
      <c r="U810" s="1">
        <v>42010</v>
      </c>
      <c r="V810">
        <v>-4793.0039999999999</v>
      </c>
      <c r="W810">
        <v>1</v>
      </c>
      <c r="X810">
        <v>2013.67</v>
      </c>
      <c r="Y810">
        <v>89450</v>
      </c>
    </row>
    <row r="811" spans="1:25" x14ac:dyDescent="0.35">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1">
        <v>42040</v>
      </c>
      <c r="U811" s="1">
        <v>42044</v>
      </c>
      <c r="V811">
        <v>1258.7876999999999</v>
      </c>
      <c r="W811">
        <v>18</v>
      </c>
      <c r="X811">
        <v>1824.33</v>
      </c>
      <c r="Y811">
        <v>90905</v>
      </c>
    </row>
    <row r="812" spans="1:25" x14ac:dyDescent="0.35">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1">
        <v>42068</v>
      </c>
      <c r="U812" s="1">
        <v>42069</v>
      </c>
      <c r="V812">
        <v>74.278499999999994</v>
      </c>
      <c r="W812">
        <v>11</v>
      </c>
      <c r="X812">
        <v>107.65</v>
      </c>
      <c r="Y812">
        <v>86826</v>
      </c>
    </row>
    <row r="813" spans="1:25" x14ac:dyDescent="0.35">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1">
        <v>42175</v>
      </c>
      <c r="U813" s="1">
        <v>42182</v>
      </c>
      <c r="V813">
        <v>52.92</v>
      </c>
      <c r="W813">
        <v>16</v>
      </c>
      <c r="X813">
        <v>165.21</v>
      </c>
      <c r="Y813">
        <v>86827</v>
      </c>
    </row>
    <row r="814" spans="1:25" x14ac:dyDescent="0.35">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1">
        <v>42068</v>
      </c>
      <c r="U814" s="1">
        <v>42069</v>
      </c>
      <c r="V814">
        <v>-66.349999999999994</v>
      </c>
      <c r="W814">
        <v>7</v>
      </c>
      <c r="X814">
        <v>25.15</v>
      </c>
      <c r="Y814">
        <v>86826</v>
      </c>
    </row>
    <row r="815" spans="1:25" x14ac:dyDescent="0.35">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1">
        <v>42143</v>
      </c>
      <c r="U815" s="1">
        <v>42145</v>
      </c>
      <c r="V815">
        <v>1399.6400000000003</v>
      </c>
      <c r="W815">
        <v>14</v>
      </c>
      <c r="X815">
        <v>4285.5600000000004</v>
      </c>
      <c r="Y815">
        <v>86828</v>
      </c>
    </row>
    <row r="816" spans="1:25" x14ac:dyDescent="0.35">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1">
        <v>42143</v>
      </c>
      <c r="U816" s="1">
        <v>42143</v>
      </c>
      <c r="V816">
        <v>232.64200000000028</v>
      </c>
      <c r="W816">
        <v>28</v>
      </c>
      <c r="X816">
        <v>631.37</v>
      </c>
      <c r="Y816">
        <v>86828</v>
      </c>
    </row>
    <row r="817" spans="1:25" x14ac:dyDescent="0.35">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1">
        <v>42026</v>
      </c>
      <c r="U817" s="1">
        <v>42028</v>
      </c>
      <c r="V817">
        <v>-409.37360000000001</v>
      </c>
      <c r="W817">
        <v>3</v>
      </c>
      <c r="X817">
        <v>267.83</v>
      </c>
      <c r="Y817">
        <v>90120</v>
      </c>
    </row>
    <row r="818" spans="1:25" x14ac:dyDescent="0.35">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1">
        <v>42122</v>
      </c>
      <c r="U818" s="1">
        <v>42123</v>
      </c>
      <c r="V818">
        <v>-29.07</v>
      </c>
      <c r="W818">
        <v>3</v>
      </c>
      <c r="X818">
        <v>21.46</v>
      </c>
      <c r="Y818">
        <v>90121</v>
      </c>
    </row>
    <row r="819" spans="1:25" x14ac:dyDescent="0.35">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1">
        <v>42180</v>
      </c>
      <c r="U819" s="1">
        <v>42182</v>
      </c>
      <c r="V819">
        <v>1909.8854999999996</v>
      </c>
      <c r="W819">
        <v>15</v>
      </c>
      <c r="X819">
        <v>2767.95</v>
      </c>
      <c r="Y819">
        <v>89076</v>
      </c>
    </row>
    <row r="820" spans="1:25" x14ac:dyDescent="0.35">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1">
        <v>42034</v>
      </c>
      <c r="U820" s="1">
        <v>42038</v>
      </c>
      <c r="V820">
        <v>-76.992500000000007</v>
      </c>
      <c r="W820">
        <v>7</v>
      </c>
      <c r="X820">
        <v>123.03</v>
      </c>
      <c r="Y820">
        <v>89077</v>
      </c>
    </row>
    <row r="821" spans="1:25" x14ac:dyDescent="0.35">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1">
        <v>42034</v>
      </c>
      <c r="U821" s="1">
        <v>42034</v>
      </c>
      <c r="V821">
        <v>297.96959999999996</v>
      </c>
      <c r="W821">
        <v>10</v>
      </c>
      <c r="X821">
        <v>431.84</v>
      </c>
      <c r="Y821">
        <v>89077</v>
      </c>
    </row>
    <row r="822" spans="1:25" x14ac:dyDescent="0.35">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1">
        <v>42148</v>
      </c>
      <c r="U822" s="1">
        <v>42149</v>
      </c>
      <c r="V822">
        <v>1318.83</v>
      </c>
      <c r="W822">
        <v>12</v>
      </c>
      <c r="X822">
        <v>2366.5100000000002</v>
      </c>
      <c r="Y822">
        <v>86735</v>
      </c>
    </row>
    <row r="823" spans="1:25" x14ac:dyDescent="0.35">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1">
        <v>42099</v>
      </c>
      <c r="U823" s="1">
        <v>42101</v>
      </c>
      <c r="V823">
        <v>36.215999999999994</v>
      </c>
      <c r="W823">
        <v>4</v>
      </c>
      <c r="X823">
        <v>291.64</v>
      </c>
      <c r="Y823">
        <v>86734</v>
      </c>
    </row>
    <row r="824" spans="1:25" x14ac:dyDescent="0.35">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1">
        <v>42157</v>
      </c>
      <c r="U824" s="1">
        <v>42159</v>
      </c>
      <c r="V824">
        <v>134.16825</v>
      </c>
      <c r="W824">
        <v>19</v>
      </c>
      <c r="X824">
        <v>252.36</v>
      </c>
      <c r="Y824">
        <v>86397</v>
      </c>
    </row>
    <row r="825" spans="1:25" x14ac:dyDescent="0.35">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1">
        <v>42166</v>
      </c>
      <c r="U825" s="1">
        <v>42168</v>
      </c>
      <c r="V825">
        <v>253.30319999999998</v>
      </c>
      <c r="W825">
        <v>10</v>
      </c>
      <c r="X825">
        <v>575.07000000000005</v>
      </c>
      <c r="Y825">
        <v>91115</v>
      </c>
    </row>
    <row r="826" spans="1:25" x14ac:dyDescent="0.35">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1">
        <v>42167</v>
      </c>
      <c r="U826" s="1">
        <v>42167</v>
      </c>
      <c r="V826">
        <v>-723.78399999999999</v>
      </c>
      <c r="W826">
        <v>14</v>
      </c>
      <c r="X826">
        <v>1781.66</v>
      </c>
      <c r="Y826">
        <v>91116</v>
      </c>
    </row>
    <row r="827" spans="1:25" x14ac:dyDescent="0.35">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1">
        <v>42167</v>
      </c>
      <c r="U827" s="1">
        <v>42171</v>
      </c>
      <c r="V827">
        <v>589.18799999999999</v>
      </c>
      <c r="W827">
        <v>9</v>
      </c>
      <c r="X827">
        <v>940.64</v>
      </c>
      <c r="Y827">
        <v>91116</v>
      </c>
    </row>
    <row r="828" spans="1:25" x14ac:dyDescent="0.35">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1">
        <v>42167</v>
      </c>
      <c r="U828" s="1">
        <v>42169</v>
      </c>
      <c r="V828">
        <v>-1314.992</v>
      </c>
      <c r="W828">
        <v>18</v>
      </c>
      <c r="X828">
        <v>439.27</v>
      </c>
      <c r="Y828">
        <v>91116</v>
      </c>
    </row>
    <row r="829" spans="1:25" x14ac:dyDescent="0.35">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1">
        <v>42084</v>
      </c>
      <c r="U829" s="1">
        <v>42085</v>
      </c>
      <c r="V829">
        <v>3043.0310999999997</v>
      </c>
      <c r="W829">
        <v>10</v>
      </c>
      <c r="X829">
        <v>4410.1899999999996</v>
      </c>
      <c r="Y829">
        <v>87077</v>
      </c>
    </row>
    <row r="830" spans="1:25" x14ac:dyDescent="0.35">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1">
        <v>42185</v>
      </c>
      <c r="U830" s="1">
        <v>42186</v>
      </c>
      <c r="V830">
        <v>-44.624000000000002</v>
      </c>
      <c r="W830">
        <v>17</v>
      </c>
      <c r="X830">
        <v>552.89</v>
      </c>
      <c r="Y830">
        <v>87078</v>
      </c>
    </row>
    <row r="831" spans="1:25" x14ac:dyDescent="0.35">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1">
        <v>42149</v>
      </c>
      <c r="U831" s="1">
        <v>42150</v>
      </c>
      <c r="V831">
        <v>309.25400000000002</v>
      </c>
      <c r="W831">
        <v>30</v>
      </c>
      <c r="X831">
        <v>621.55999999999995</v>
      </c>
      <c r="Y831">
        <v>87079</v>
      </c>
    </row>
    <row r="832" spans="1:25" x14ac:dyDescent="0.35">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1">
        <v>42025</v>
      </c>
      <c r="U832" s="1">
        <v>42026</v>
      </c>
      <c r="V832">
        <v>61.292699999999996</v>
      </c>
      <c r="W832">
        <v>9</v>
      </c>
      <c r="X832">
        <v>88.83</v>
      </c>
      <c r="Y832">
        <v>87076</v>
      </c>
    </row>
    <row r="833" spans="1:25" x14ac:dyDescent="0.35">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1">
        <v>42090</v>
      </c>
      <c r="U833" s="1">
        <v>42091</v>
      </c>
      <c r="V833">
        <v>91.73</v>
      </c>
      <c r="W833">
        <v>36</v>
      </c>
      <c r="X833">
        <v>307.64999999999998</v>
      </c>
      <c r="Y833">
        <v>53953</v>
      </c>
    </row>
    <row r="834" spans="1:25" x14ac:dyDescent="0.35">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1">
        <v>42090</v>
      </c>
      <c r="U834" s="1">
        <v>42091</v>
      </c>
      <c r="V834">
        <v>53.067899999999995</v>
      </c>
      <c r="W834">
        <v>9</v>
      </c>
      <c r="X834">
        <v>76.91</v>
      </c>
      <c r="Y834">
        <v>91362</v>
      </c>
    </row>
    <row r="835" spans="1:25" x14ac:dyDescent="0.35">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1">
        <v>42063</v>
      </c>
      <c r="U835" s="1">
        <v>42063</v>
      </c>
      <c r="V835">
        <v>-14.6432</v>
      </c>
      <c r="W835">
        <v>15</v>
      </c>
      <c r="X835">
        <v>151.34</v>
      </c>
      <c r="Y835">
        <v>91363</v>
      </c>
    </row>
    <row r="836" spans="1:25" x14ac:dyDescent="0.35">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1">
        <v>42074</v>
      </c>
      <c r="U836" s="1">
        <v>42077</v>
      </c>
      <c r="V836">
        <v>-127.56</v>
      </c>
      <c r="W836">
        <v>3</v>
      </c>
      <c r="X836">
        <v>290.24</v>
      </c>
      <c r="Y836">
        <v>91235</v>
      </c>
    </row>
    <row r="837" spans="1:25" x14ac:dyDescent="0.35">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1">
        <v>42074</v>
      </c>
      <c r="U837" s="1">
        <v>42075</v>
      </c>
      <c r="V837">
        <v>282.18</v>
      </c>
      <c r="W837">
        <v>5</v>
      </c>
      <c r="X837">
        <v>971.4</v>
      </c>
      <c r="Y837">
        <v>91235</v>
      </c>
    </row>
    <row r="838" spans="1:25" x14ac:dyDescent="0.35">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1">
        <v>42074</v>
      </c>
      <c r="U838" s="1">
        <v>42074</v>
      </c>
      <c r="V838">
        <v>-96.337999999999994</v>
      </c>
      <c r="W838">
        <v>11</v>
      </c>
      <c r="X838">
        <v>193.51</v>
      </c>
      <c r="Y838">
        <v>91235</v>
      </c>
    </row>
    <row r="839" spans="1:25" x14ac:dyDescent="0.35">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1">
        <v>42055</v>
      </c>
      <c r="U839" s="1">
        <v>42058</v>
      </c>
      <c r="V839">
        <v>-23.357880000000002</v>
      </c>
      <c r="W839">
        <v>14</v>
      </c>
      <c r="X839">
        <v>157.81</v>
      </c>
      <c r="Y839">
        <v>91236</v>
      </c>
    </row>
    <row r="840" spans="1:25" x14ac:dyDescent="0.35">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1">
        <v>42055</v>
      </c>
      <c r="U840" s="1">
        <v>42056</v>
      </c>
      <c r="V840">
        <v>-18.241599999999998</v>
      </c>
      <c r="W840">
        <v>1</v>
      </c>
      <c r="X840">
        <v>19.440000000000001</v>
      </c>
      <c r="Y840">
        <v>91236</v>
      </c>
    </row>
    <row r="841" spans="1:25" x14ac:dyDescent="0.35">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1">
        <v>42055</v>
      </c>
      <c r="U841" s="1">
        <v>42057</v>
      </c>
      <c r="V841">
        <v>1428.9104</v>
      </c>
      <c r="W841">
        <v>21</v>
      </c>
      <c r="X841">
        <v>4636.63</v>
      </c>
      <c r="Y841">
        <v>91236</v>
      </c>
    </row>
    <row r="842" spans="1:25" x14ac:dyDescent="0.35">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1">
        <v>42171</v>
      </c>
      <c r="U842" s="1">
        <v>42173</v>
      </c>
      <c r="V842">
        <v>509.95830000000001</v>
      </c>
      <c r="W842">
        <v>6</v>
      </c>
      <c r="X842">
        <v>739.07</v>
      </c>
      <c r="Y842">
        <v>88004</v>
      </c>
    </row>
    <row r="843" spans="1:25" x14ac:dyDescent="0.35">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1">
        <v>42074</v>
      </c>
      <c r="U843" s="1">
        <v>42076</v>
      </c>
      <c r="V843">
        <v>-255.65</v>
      </c>
      <c r="W843">
        <v>18</v>
      </c>
      <c r="X843">
        <v>157.63999999999999</v>
      </c>
      <c r="Y843">
        <v>85880</v>
      </c>
    </row>
    <row r="844" spans="1:25" x14ac:dyDescent="0.35">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1">
        <v>42074</v>
      </c>
      <c r="U844" s="1">
        <v>42076</v>
      </c>
      <c r="V844">
        <v>-76.540000000000006</v>
      </c>
      <c r="W844">
        <v>6</v>
      </c>
      <c r="X844">
        <v>42.16</v>
      </c>
      <c r="Y844">
        <v>85880</v>
      </c>
    </row>
    <row r="845" spans="1:25" x14ac:dyDescent="0.35">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1">
        <v>42074</v>
      </c>
      <c r="U845" s="1">
        <v>42075</v>
      </c>
      <c r="V845">
        <v>-10.09</v>
      </c>
      <c r="W845">
        <v>2</v>
      </c>
      <c r="X845">
        <v>14.08</v>
      </c>
      <c r="Y845">
        <v>85880</v>
      </c>
    </row>
    <row r="846" spans="1:25" x14ac:dyDescent="0.35">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1">
        <v>42074</v>
      </c>
      <c r="U846" s="1">
        <v>42076</v>
      </c>
      <c r="V846">
        <v>-92.87</v>
      </c>
      <c r="W846">
        <v>17</v>
      </c>
      <c r="X846">
        <v>256.73</v>
      </c>
      <c r="Y846">
        <v>85880</v>
      </c>
    </row>
    <row r="847" spans="1:25" x14ac:dyDescent="0.35">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1">
        <v>42039</v>
      </c>
      <c r="U847" s="1">
        <v>42040</v>
      </c>
      <c r="V847">
        <v>-298.88600000000002</v>
      </c>
      <c r="W847">
        <v>8</v>
      </c>
      <c r="X847">
        <v>18.59</v>
      </c>
      <c r="Y847">
        <v>90731</v>
      </c>
    </row>
    <row r="848" spans="1:25" x14ac:dyDescent="0.35">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1">
        <v>42039</v>
      </c>
      <c r="U848" s="1">
        <v>42040</v>
      </c>
      <c r="V848">
        <v>-145.852</v>
      </c>
      <c r="W848">
        <v>9</v>
      </c>
      <c r="X848">
        <v>58.83</v>
      </c>
      <c r="Y848">
        <v>90731</v>
      </c>
    </row>
    <row r="849" spans="1:25" x14ac:dyDescent="0.35">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1">
        <v>42039</v>
      </c>
      <c r="U849" s="1">
        <v>42040</v>
      </c>
      <c r="V849">
        <v>-27.951000000000001</v>
      </c>
      <c r="W849">
        <v>11</v>
      </c>
      <c r="X849">
        <v>1557.66</v>
      </c>
      <c r="Y849">
        <v>90731</v>
      </c>
    </row>
    <row r="850" spans="1:25" x14ac:dyDescent="0.35">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1">
        <v>42131</v>
      </c>
      <c r="U850" s="1">
        <v>42134</v>
      </c>
      <c r="V850">
        <v>-3.6547000000000001</v>
      </c>
      <c r="W850">
        <v>38</v>
      </c>
      <c r="X850">
        <v>129.43</v>
      </c>
      <c r="Y850">
        <v>89193</v>
      </c>
    </row>
    <row r="851" spans="1:25" x14ac:dyDescent="0.35">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1">
        <v>42184</v>
      </c>
      <c r="U851" s="1">
        <v>42188</v>
      </c>
      <c r="V851">
        <v>731.92199999999991</v>
      </c>
      <c r="W851">
        <v>11</v>
      </c>
      <c r="X851">
        <v>61.39</v>
      </c>
      <c r="Y851">
        <v>89194</v>
      </c>
    </row>
    <row r="852" spans="1:25" x14ac:dyDescent="0.35">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1">
        <v>42184</v>
      </c>
      <c r="U852" s="1">
        <v>42187</v>
      </c>
      <c r="V852">
        <v>186.55799999999999</v>
      </c>
      <c r="W852">
        <v>13</v>
      </c>
      <c r="X852">
        <v>2435.52</v>
      </c>
      <c r="Y852">
        <v>89194</v>
      </c>
    </row>
    <row r="853" spans="1:25" x14ac:dyDescent="0.35">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1">
        <v>42168</v>
      </c>
      <c r="U853" s="1">
        <v>42173</v>
      </c>
      <c r="V853">
        <v>-138.03680000000003</v>
      </c>
      <c r="W853">
        <v>6</v>
      </c>
      <c r="X853">
        <v>464.86</v>
      </c>
      <c r="Y853">
        <v>86181</v>
      </c>
    </row>
    <row r="854" spans="1:25" x14ac:dyDescent="0.35">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1">
        <v>42177</v>
      </c>
      <c r="U854" s="1">
        <v>42179</v>
      </c>
      <c r="V854">
        <v>199.1823</v>
      </c>
      <c r="W854">
        <v>14</v>
      </c>
      <c r="X854">
        <v>288.67</v>
      </c>
      <c r="Y854">
        <v>90303</v>
      </c>
    </row>
    <row r="855" spans="1:25" x14ac:dyDescent="0.35">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1">
        <v>42169</v>
      </c>
      <c r="U855" s="1">
        <v>42169</v>
      </c>
      <c r="V855">
        <v>711.05189999999993</v>
      </c>
      <c r="W855">
        <v>19</v>
      </c>
      <c r="X855">
        <v>1030.51</v>
      </c>
      <c r="Y855">
        <v>89957</v>
      </c>
    </row>
    <row r="856" spans="1:25" x14ac:dyDescent="0.35">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1">
        <v>42169</v>
      </c>
      <c r="U856" s="1">
        <v>42170</v>
      </c>
      <c r="V856">
        <v>-899.67499999999995</v>
      </c>
      <c r="W856">
        <v>17</v>
      </c>
      <c r="X856">
        <v>2026.91</v>
      </c>
      <c r="Y856">
        <v>89957</v>
      </c>
    </row>
    <row r="857" spans="1:25" x14ac:dyDescent="0.35">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1">
        <v>42045</v>
      </c>
      <c r="U857" s="1">
        <v>42046</v>
      </c>
      <c r="V857">
        <v>-189.22399999999999</v>
      </c>
      <c r="W857">
        <v>10</v>
      </c>
      <c r="X857">
        <v>115.53</v>
      </c>
      <c r="Y857">
        <v>86812</v>
      </c>
    </row>
    <row r="858" spans="1:25" x14ac:dyDescent="0.35">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1">
        <v>42013</v>
      </c>
      <c r="U858" s="1">
        <v>42015</v>
      </c>
      <c r="V858">
        <v>0.50999999999999868</v>
      </c>
      <c r="W858">
        <v>5</v>
      </c>
      <c r="X858">
        <v>162.38999999999999</v>
      </c>
      <c r="Y858">
        <v>86813</v>
      </c>
    </row>
    <row r="859" spans="1:25" x14ac:dyDescent="0.35">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1">
        <v>42093</v>
      </c>
      <c r="U859" s="1">
        <v>42103</v>
      </c>
      <c r="V859">
        <v>-52.248000000000005</v>
      </c>
      <c r="W859">
        <v>23</v>
      </c>
      <c r="X859">
        <v>1316.03</v>
      </c>
      <c r="Y859">
        <v>86814</v>
      </c>
    </row>
    <row r="860" spans="1:25" x14ac:dyDescent="0.35">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1">
        <v>42145</v>
      </c>
      <c r="U860" s="1">
        <v>42152</v>
      </c>
      <c r="V860">
        <v>70.175999999999988</v>
      </c>
      <c r="W860">
        <v>28</v>
      </c>
      <c r="X860">
        <v>1395.41</v>
      </c>
      <c r="Y860">
        <v>86815</v>
      </c>
    </row>
    <row r="861" spans="1:25" x14ac:dyDescent="0.35">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1">
        <v>42013</v>
      </c>
      <c r="U861" s="1">
        <v>42015</v>
      </c>
      <c r="V861">
        <v>-161.92400000000001</v>
      </c>
      <c r="W861">
        <v>9</v>
      </c>
      <c r="X861">
        <v>4920.8100000000004</v>
      </c>
      <c r="Y861">
        <v>86813</v>
      </c>
    </row>
    <row r="862" spans="1:25" x14ac:dyDescent="0.35">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1">
        <v>42021</v>
      </c>
      <c r="U862" s="1">
        <v>42022</v>
      </c>
      <c r="V862">
        <v>-157.696</v>
      </c>
      <c r="W862">
        <v>6</v>
      </c>
      <c r="X862">
        <v>28.22</v>
      </c>
      <c r="Y862">
        <v>88852</v>
      </c>
    </row>
    <row r="863" spans="1:25" x14ac:dyDescent="0.35">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1">
        <v>42041</v>
      </c>
      <c r="U863" s="1">
        <v>42042</v>
      </c>
      <c r="V863">
        <v>-56.445999999999998</v>
      </c>
      <c r="W863">
        <v>14</v>
      </c>
      <c r="X863">
        <v>74.010000000000005</v>
      </c>
      <c r="Y863">
        <v>91328</v>
      </c>
    </row>
    <row r="864" spans="1:25" x14ac:dyDescent="0.35">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1">
        <v>42041</v>
      </c>
      <c r="U864" s="1">
        <v>42042</v>
      </c>
      <c r="V864">
        <v>33.189</v>
      </c>
      <c r="W864">
        <v>5</v>
      </c>
      <c r="X864">
        <v>48.1</v>
      </c>
      <c r="Y864">
        <v>91328</v>
      </c>
    </row>
    <row r="865" spans="1:25" x14ac:dyDescent="0.35">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1">
        <v>42178</v>
      </c>
      <c r="U865" s="1">
        <v>42180</v>
      </c>
      <c r="V865">
        <v>-367.16500000000002</v>
      </c>
      <c r="W865">
        <v>18</v>
      </c>
      <c r="X865">
        <v>11015.82</v>
      </c>
      <c r="Y865">
        <v>88487</v>
      </c>
    </row>
    <row r="866" spans="1:25" x14ac:dyDescent="0.35">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1">
        <v>42180</v>
      </c>
      <c r="U866" s="1">
        <v>42186</v>
      </c>
      <c r="V866">
        <v>-243.54400000000001</v>
      </c>
      <c r="W866">
        <v>18</v>
      </c>
      <c r="X866">
        <v>300.67</v>
      </c>
      <c r="Y866">
        <v>87488</v>
      </c>
    </row>
    <row r="867" spans="1:25" x14ac:dyDescent="0.35">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1">
        <v>42005</v>
      </c>
      <c r="U867" s="1">
        <v>42008</v>
      </c>
      <c r="V867">
        <v>-337.09199999999998</v>
      </c>
      <c r="W867">
        <v>2</v>
      </c>
      <c r="X867">
        <v>723.54</v>
      </c>
      <c r="Y867">
        <v>87486</v>
      </c>
    </row>
    <row r="868" spans="1:25" x14ac:dyDescent="0.35">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1">
        <v>42085</v>
      </c>
      <c r="U868" s="1">
        <v>42087</v>
      </c>
      <c r="V868">
        <v>68.675999999999988</v>
      </c>
      <c r="W868">
        <v>7</v>
      </c>
      <c r="X868">
        <v>87.53</v>
      </c>
      <c r="Y868">
        <v>87484</v>
      </c>
    </row>
    <row r="869" spans="1:25" x14ac:dyDescent="0.35">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1">
        <v>42142</v>
      </c>
      <c r="U869" s="1">
        <v>42142</v>
      </c>
      <c r="V869">
        <v>481.03199999999998</v>
      </c>
      <c r="W869">
        <v>15</v>
      </c>
      <c r="X869">
        <v>172.22</v>
      </c>
      <c r="Y869">
        <v>87485</v>
      </c>
    </row>
    <row r="870" spans="1:25" x14ac:dyDescent="0.35">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1">
        <v>42048</v>
      </c>
      <c r="U870" s="1">
        <v>42049</v>
      </c>
      <c r="V870">
        <v>-4.0180000000000007</v>
      </c>
      <c r="W870">
        <v>7</v>
      </c>
      <c r="X870">
        <v>894.88</v>
      </c>
      <c r="Y870">
        <v>87487</v>
      </c>
    </row>
    <row r="871" spans="1:25" x14ac:dyDescent="0.35">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1">
        <v>42156</v>
      </c>
      <c r="U871" s="1">
        <v>42158</v>
      </c>
      <c r="V871">
        <v>-2.0097</v>
      </c>
      <c r="W871">
        <v>6</v>
      </c>
      <c r="X871">
        <v>16.670000000000002</v>
      </c>
      <c r="Y871">
        <v>87425</v>
      </c>
    </row>
    <row r="872" spans="1:25" x14ac:dyDescent="0.35">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1">
        <v>42156</v>
      </c>
      <c r="U872" s="1">
        <v>42158</v>
      </c>
      <c r="V872">
        <v>-477.37200000000007</v>
      </c>
      <c r="W872">
        <v>9</v>
      </c>
      <c r="X872">
        <v>195.16</v>
      </c>
      <c r="Y872">
        <v>87425</v>
      </c>
    </row>
    <row r="873" spans="1:25" x14ac:dyDescent="0.35">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1">
        <v>42088</v>
      </c>
      <c r="U873" s="1">
        <v>42096</v>
      </c>
      <c r="V873">
        <v>-954.75800000000004</v>
      </c>
      <c r="W873">
        <v>15</v>
      </c>
      <c r="X873">
        <v>879.62</v>
      </c>
      <c r="Y873">
        <v>87426</v>
      </c>
    </row>
    <row r="874" spans="1:25" x14ac:dyDescent="0.35">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1">
        <v>42088</v>
      </c>
      <c r="U874" s="1">
        <v>42090</v>
      </c>
      <c r="V874">
        <v>219.4734</v>
      </c>
      <c r="W874">
        <v>12</v>
      </c>
      <c r="X874">
        <v>361.19</v>
      </c>
      <c r="Y874">
        <v>87426</v>
      </c>
    </row>
    <row r="875" spans="1:25" x14ac:dyDescent="0.35">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1">
        <v>42109</v>
      </c>
      <c r="U875" s="1">
        <v>42111</v>
      </c>
      <c r="V875">
        <v>-390.76800000000003</v>
      </c>
      <c r="W875">
        <v>5</v>
      </c>
      <c r="X875">
        <v>1088.26</v>
      </c>
      <c r="Y875">
        <v>87424</v>
      </c>
    </row>
    <row r="876" spans="1:25" x14ac:dyDescent="0.35">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1">
        <v>42064</v>
      </c>
      <c r="U876" s="1">
        <v>42065</v>
      </c>
      <c r="V876">
        <v>-155.21</v>
      </c>
      <c r="W876">
        <v>9</v>
      </c>
      <c r="X876">
        <v>105.75</v>
      </c>
      <c r="Y876">
        <v>88093</v>
      </c>
    </row>
    <row r="877" spans="1:25" x14ac:dyDescent="0.35">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1">
        <v>42107</v>
      </c>
      <c r="U877" s="1">
        <v>42108</v>
      </c>
      <c r="V877">
        <v>-6.6420000000000003</v>
      </c>
      <c r="W877">
        <v>5</v>
      </c>
      <c r="X877">
        <v>63.93</v>
      </c>
      <c r="Y877">
        <v>88094</v>
      </c>
    </row>
    <row r="878" spans="1:25" x14ac:dyDescent="0.35">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1">
        <v>42044</v>
      </c>
      <c r="U878" s="1">
        <v>42045</v>
      </c>
      <c r="V878">
        <v>27.233999999999998</v>
      </c>
      <c r="W878">
        <v>19</v>
      </c>
      <c r="X878">
        <v>391.4</v>
      </c>
      <c r="Y878">
        <v>86966</v>
      </c>
    </row>
    <row r="879" spans="1:25" x14ac:dyDescent="0.35">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1">
        <v>42051</v>
      </c>
      <c r="U879" s="1">
        <v>42055</v>
      </c>
      <c r="V879">
        <v>-8.3979999999999997</v>
      </c>
      <c r="W879">
        <v>1</v>
      </c>
      <c r="X879">
        <v>14.53</v>
      </c>
      <c r="Y879">
        <v>90934</v>
      </c>
    </row>
    <row r="880" spans="1:25" x14ac:dyDescent="0.35">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1">
        <v>42098</v>
      </c>
      <c r="U880" s="1">
        <v>42098</v>
      </c>
      <c r="V880">
        <v>83.793599999999998</v>
      </c>
      <c r="W880">
        <v>7</v>
      </c>
      <c r="X880">
        <v>144.03</v>
      </c>
      <c r="Y880">
        <v>86668</v>
      </c>
    </row>
    <row r="881" spans="1:25" x14ac:dyDescent="0.35">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1">
        <v>42098</v>
      </c>
      <c r="U881" s="1">
        <v>42100</v>
      </c>
      <c r="V881">
        <v>-77.823719999999994</v>
      </c>
      <c r="W881">
        <v>8</v>
      </c>
      <c r="X881">
        <v>48.81</v>
      </c>
      <c r="Y881">
        <v>86668</v>
      </c>
    </row>
    <row r="882" spans="1:25" x14ac:dyDescent="0.35">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1">
        <v>42135</v>
      </c>
      <c r="U882" s="1">
        <v>42136</v>
      </c>
      <c r="V882">
        <v>5078.5379999999996</v>
      </c>
      <c r="W882">
        <v>14</v>
      </c>
      <c r="X882">
        <v>7360.2</v>
      </c>
      <c r="Y882">
        <v>90796</v>
      </c>
    </row>
    <row r="883" spans="1:25" x14ac:dyDescent="0.35">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1">
        <v>42135</v>
      </c>
      <c r="U883" s="1">
        <v>42136</v>
      </c>
      <c r="V883">
        <v>23.276000000000003</v>
      </c>
      <c r="W883">
        <v>9</v>
      </c>
      <c r="X883">
        <v>89.06</v>
      </c>
      <c r="Y883">
        <v>90796</v>
      </c>
    </row>
    <row r="884" spans="1:25" x14ac:dyDescent="0.35">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1">
        <v>42135</v>
      </c>
      <c r="U884" s="1">
        <v>42137</v>
      </c>
      <c r="V884">
        <v>17.754000000000001</v>
      </c>
      <c r="W884">
        <v>42</v>
      </c>
      <c r="X884">
        <v>134.97</v>
      </c>
      <c r="Y884">
        <v>90796</v>
      </c>
    </row>
    <row r="885" spans="1:25" x14ac:dyDescent="0.35">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1">
        <v>42104</v>
      </c>
      <c r="U885" s="1">
        <v>42106</v>
      </c>
      <c r="V885">
        <v>-3.9312</v>
      </c>
      <c r="W885">
        <v>2</v>
      </c>
      <c r="X885">
        <v>17.420000000000002</v>
      </c>
      <c r="Y885">
        <v>89680</v>
      </c>
    </row>
    <row r="886" spans="1:25" x14ac:dyDescent="0.35">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1">
        <v>42020</v>
      </c>
      <c r="U886" s="1">
        <v>42022</v>
      </c>
      <c r="V886">
        <v>2.4548000000000001</v>
      </c>
      <c r="W886">
        <v>9</v>
      </c>
      <c r="X886">
        <v>19.12</v>
      </c>
      <c r="Y886">
        <v>89679</v>
      </c>
    </row>
    <row r="887" spans="1:25" x14ac:dyDescent="0.35">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1">
        <v>42020</v>
      </c>
      <c r="U887" s="1">
        <v>42022</v>
      </c>
      <c r="V887">
        <v>-537.27977732000011</v>
      </c>
      <c r="W887">
        <v>1</v>
      </c>
      <c r="X887">
        <v>186.64</v>
      </c>
      <c r="Y887">
        <v>89679</v>
      </c>
    </row>
    <row r="888" spans="1:25" x14ac:dyDescent="0.35">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1">
        <v>42011</v>
      </c>
      <c r="U888" s="1">
        <v>42012</v>
      </c>
      <c r="V888">
        <v>-14.359820000000001</v>
      </c>
      <c r="W888">
        <v>1</v>
      </c>
      <c r="X888">
        <v>3.53</v>
      </c>
      <c r="Y888">
        <v>87993</v>
      </c>
    </row>
    <row r="889" spans="1:25" x14ac:dyDescent="0.35">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1">
        <v>42011</v>
      </c>
      <c r="U889" s="1">
        <v>42012</v>
      </c>
      <c r="V889">
        <v>-2870.2775999999994</v>
      </c>
      <c r="W889">
        <v>1</v>
      </c>
      <c r="X889">
        <v>706.56</v>
      </c>
      <c r="Y889">
        <v>87993</v>
      </c>
    </row>
    <row r="890" spans="1:25" x14ac:dyDescent="0.35">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1">
        <v>42011</v>
      </c>
      <c r="U890" s="1">
        <v>42012</v>
      </c>
      <c r="V890">
        <v>77.983599999997679</v>
      </c>
      <c r="W890">
        <v>2</v>
      </c>
      <c r="X890">
        <v>13121.07</v>
      </c>
      <c r="Y890">
        <v>87993</v>
      </c>
    </row>
    <row r="891" spans="1:25" x14ac:dyDescent="0.35">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1">
        <v>42109</v>
      </c>
      <c r="U891" s="1">
        <v>42109</v>
      </c>
      <c r="V891">
        <v>-200.85899999999998</v>
      </c>
      <c r="W891">
        <v>7</v>
      </c>
      <c r="X891">
        <v>110.93</v>
      </c>
      <c r="Y891">
        <v>87994</v>
      </c>
    </row>
    <row r="892" spans="1:25" x14ac:dyDescent="0.35">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1">
        <v>42041</v>
      </c>
      <c r="U892" s="1">
        <v>42045</v>
      </c>
      <c r="V892">
        <v>-33.2956</v>
      </c>
      <c r="W892">
        <v>21</v>
      </c>
      <c r="X892">
        <v>118.35</v>
      </c>
      <c r="Y892">
        <v>87995</v>
      </c>
    </row>
    <row r="893" spans="1:25" x14ac:dyDescent="0.35">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1">
        <v>42135</v>
      </c>
      <c r="U893" s="1">
        <v>42136</v>
      </c>
      <c r="V893">
        <v>-90.585499999999996</v>
      </c>
      <c r="W893">
        <v>7</v>
      </c>
      <c r="X893">
        <v>17.309999999999999</v>
      </c>
      <c r="Y893">
        <v>87824</v>
      </c>
    </row>
    <row r="894" spans="1:25" x14ac:dyDescent="0.35">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1">
        <v>42135</v>
      </c>
      <c r="U894" s="1">
        <v>42135</v>
      </c>
      <c r="V894">
        <v>-36.9</v>
      </c>
      <c r="W894">
        <v>2</v>
      </c>
      <c r="X894">
        <v>23.56</v>
      </c>
      <c r="Y894">
        <v>87824</v>
      </c>
    </row>
    <row r="895" spans="1:25" x14ac:dyDescent="0.35">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1">
        <v>42102</v>
      </c>
      <c r="U895" s="1">
        <v>42106</v>
      </c>
      <c r="V895">
        <v>341.19809999999995</v>
      </c>
      <c r="W895">
        <v>12</v>
      </c>
      <c r="X895">
        <v>494.49</v>
      </c>
      <c r="Y895">
        <v>87823</v>
      </c>
    </row>
    <row r="896" spans="1:25" x14ac:dyDescent="0.35">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1">
        <v>42100</v>
      </c>
      <c r="U896" s="1">
        <v>42100</v>
      </c>
      <c r="V896">
        <v>-175.13</v>
      </c>
      <c r="W896">
        <v>13</v>
      </c>
      <c r="X896">
        <v>158.13</v>
      </c>
      <c r="Y896">
        <v>90248</v>
      </c>
    </row>
    <row r="897" spans="1:25" x14ac:dyDescent="0.35">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1">
        <v>42100</v>
      </c>
      <c r="U897" s="1">
        <v>42101</v>
      </c>
      <c r="V897">
        <v>3.96</v>
      </c>
      <c r="W897">
        <v>4</v>
      </c>
      <c r="X897">
        <v>163.01</v>
      </c>
      <c r="Y897">
        <v>90248</v>
      </c>
    </row>
    <row r="898" spans="1:25" x14ac:dyDescent="0.35">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1">
        <v>42148</v>
      </c>
      <c r="U898" s="1">
        <v>42150</v>
      </c>
      <c r="V898">
        <v>1.6169000000000011</v>
      </c>
      <c r="W898">
        <v>22</v>
      </c>
      <c r="X898">
        <v>333.04</v>
      </c>
      <c r="Y898">
        <v>87611</v>
      </c>
    </row>
    <row r="899" spans="1:25" x14ac:dyDescent="0.35">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1">
        <v>42148</v>
      </c>
      <c r="U899" s="1">
        <v>42150</v>
      </c>
      <c r="V899">
        <v>65.394000000000062</v>
      </c>
      <c r="W899">
        <v>12</v>
      </c>
      <c r="X899">
        <v>472.44</v>
      </c>
      <c r="Y899">
        <v>87611</v>
      </c>
    </row>
    <row r="900" spans="1:25" x14ac:dyDescent="0.35">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1">
        <v>42148</v>
      </c>
      <c r="U900" s="1">
        <v>42149</v>
      </c>
      <c r="V900">
        <v>1.3360000000000003</v>
      </c>
      <c r="W900">
        <v>1</v>
      </c>
      <c r="X900">
        <v>18.73</v>
      </c>
      <c r="Y900">
        <v>87611</v>
      </c>
    </row>
    <row r="901" spans="1:25" x14ac:dyDescent="0.35">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1">
        <v>42090</v>
      </c>
      <c r="U901" s="1">
        <v>42092</v>
      </c>
      <c r="V901">
        <v>1674.7541999999999</v>
      </c>
      <c r="W901">
        <v>12</v>
      </c>
      <c r="X901">
        <v>2427.1799999999998</v>
      </c>
      <c r="Y901">
        <v>90600</v>
      </c>
    </row>
    <row r="902" spans="1:25" x14ac:dyDescent="0.35">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1">
        <v>42090</v>
      </c>
      <c r="U902" s="1">
        <v>42092</v>
      </c>
      <c r="V902">
        <v>300.04649999999998</v>
      </c>
      <c r="W902">
        <v>8</v>
      </c>
      <c r="X902">
        <v>434.85</v>
      </c>
      <c r="Y902">
        <v>90600</v>
      </c>
    </row>
    <row r="903" spans="1:25" x14ac:dyDescent="0.35">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1">
        <v>42090</v>
      </c>
      <c r="U903" s="1">
        <v>42091</v>
      </c>
      <c r="V903">
        <v>-28.09</v>
      </c>
      <c r="W903">
        <v>1</v>
      </c>
      <c r="X903">
        <v>19.16</v>
      </c>
      <c r="Y903">
        <v>90600</v>
      </c>
    </row>
    <row r="904" spans="1:25" x14ac:dyDescent="0.35">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1">
        <v>42051</v>
      </c>
      <c r="U904" s="1">
        <v>42053</v>
      </c>
      <c r="V904">
        <v>-263.1119290800001</v>
      </c>
      <c r="W904">
        <v>11</v>
      </c>
      <c r="X904">
        <v>1959.88</v>
      </c>
      <c r="Y904">
        <v>90601</v>
      </c>
    </row>
    <row r="905" spans="1:25" x14ac:dyDescent="0.35">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1">
        <v>42152</v>
      </c>
      <c r="U905" s="1">
        <v>42154</v>
      </c>
      <c r="V905">
        <v>-38.808</v>
      </c>
      <c r="W905">
        <v>17</v>
      </c>
      <c r="X905">
        <v>710.16</v>
      </c>
      <c r="Y905">
        <v>90602</v>
      </c>
    </row>
    <row r="906" spans="1:25" x14ac:dyDescent="0.35">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1">
        <v>42019</v>
      </c>
      <c r="U906" s="1">
        <v>42020</v>
      </c>
      <c r="V906">
        <v>15.984</v>
      </c>
      <c r="W906">
        <v>6</v>
      </c>
      <c r="X906">
        <v>48.25</v>
      </c>
      <c r="Y906">
        <v>90530</v>
      </c>
    </row>
    <row r="907" spans="1:25" x14ac:dyDescent="0.35">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1">
        <v>42109</v>
      </c>
      <c r="U907" s="1">
        <v>42111</v>
      </c>
      <c r="V907">
        <v>-88.158000000000001</v>
      </c>
      <c r="W907">
        <v>9</v>
      </c>
      <c r="X907">
        <v>243.24</v>
      </c>
      <c r="Y907">
        <v>90533</v>
      </c>
    </row>
    <row r="908" spans="1:25" x14ac:dyDescent="0.35">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1">
        <v>42045</v>
      </c>
      <c r="U908" s="1">
        <v>42047</v>
      </c>
      <c r="V908">
        <v>-76.106800000000007</v>
      </c>
      <c r="W908">
        <v>6</v>
      </c>
      <c r="X908">
        <v>38.54</v>
      </c>
      <c r="Y908">
        <v>90531</v>
      </c>
    </row>
    <row r="909" spans="1:25" x14ac:dyDescent="0.35">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1">
        <v>42103</v>
      </c>
      <c r="U909" s="1">
        <v>42104</v>
      </c>
      <c r="V909">
        <v>-73.494119999999938</v>
      </c>
      <c r="W909">
        <v>15</v>
      </c>
      <c r="X909">
        <v>1483.16</v>
      </c>
      <c r="Y909">
        <v>90532</v>
      </c>
    </row>
    <row r="910" spans="1:25" x14ac:dyDescent="0.35">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1">
        <v>42018</v>
      </c>
      <c r="U910" s="1">
        <v>42020</v>
      </c>
      <c r="V910">
        <v>-272.860884</v>
      </c>
      <c r="W910">
        <v>5</v>
      </c>
      <c r="X910">
        <v>562.92999999999995</v>
      </c>
      <c r="Y910">
        <v>89704</v>
      </c>
    </row>
    <row r="911" spans="1:25" x14ac:dyDescent="0.35">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1">
        <v>42018</v>
      </c>
      <c r="U911" s="1">
        <v>42021</v>
      </c>
      <c r="V911">
        <v>10.5792</v>
      </c>
      <c r="W911">
        <v>7</v>
      </c>
      <c r="X911">
        <v>29.18</v>
      </c>
      <c r="Y911">
        <v>89704</v>
      </c>
    </row>
    <row r="912" spans="1:25" x14ac:dyDescent="0.35">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1">
        <v>42016</v>
      </c>
      <c r="U912" s="1">
        <v>42018</v>
      </c>
      <c r="V912">
        <v>1127.5497</v>
      </c>
      <c r="W912">
        <v>12</v>
      </c>
      <c r="X912">
        <v>1634.13</v>
      </c>
      <c r="Y912">
        <v>89706</v>
      </c>
    </row>
    <row r="913" spans="1:25" x14ac:dyDescent="0.35">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1">
        <v>42061</v>
      </c>
      <c r="U913" s="1">
        <v>42063</v>
      </c>
      <c r="V913">
        <v>147.75659999999999</v>
      </c>
      <c r="W913">
        <v>4</v>
      </c>
      <c r="X913">
        <v>214.14</v>
      </c>
      <c r="Y913">
        <v>89705</v>
      </c>
    </row>
    <row r="914" spans="1:25" x14ac:dyDescent="0.35">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1">
        <v>42169</v>
      </c>
      <c r="U914" s="1">
        <v>42171</v>
      </c>
      <c r="V914">
        <v>69.545100000000005</v>
      </c>
      <c r="W914">
        <v>1</v>
      </c>
      <c r="X914">
        <v>100.79</v>
      </c>
      <c r="Y914">
        <v>87342</v>
      </c>
    </row>
    <row r="915" spans="1:25" x14ac:dyDescent="0.35">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1">
        <v>42078</v>
      </c>
      <c r="U915" s="1">
        <v>42080</v>
      </c>
      <c r="V915">
        <v>8.5299999999999994</v>
      </c>
      <c r="W915">
        <v>11</v>
      </c>
      <c r="X915">
        <v>35.97</v>
      </c>
      <c r="Y915">
        <v>90932</v>
      </c>
    </row>
    <row r="916" spans="1:25" x14ac:dyDescent="0.35">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1">
        <v>42088</v>
      </c>
      <c r="U916" s="1">
        <v>42090</v>
      </c>
      <c r="V916">
        <v>507.63299999999998</v>
      </c>
      <c r="W916">
        <v>17</v>
      </c>
      <c r="X916">
        <v>735.7</v>
      </c>
      <c r="Y916">
        <v>91043</v>
      </c>
    </row>
    <row r="917" spans="1:25" x14ac:dyDescent="0.35">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1">
        <v>42088</v>
      </c>
      <c r="U917" s="1">
        <v>42088</v>
      </c>
      <c r="V917">
        <v>38.229999999999997</v>
      </c>
      <c r="W917">
        <v>18</v>
      </c>
      <c r="X917">
        <v>225.59</v>
      </c>
      <c r="Y917">
        <v>91043</v>
      </c>
    </row>
    <row r="918" spans="1:25" x14ac:dyDescent="0.35">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1">
        <v>42059</v>
      </c>
      <c r="U918" s="1">
        <v>42061</v>
      </c>
      <c r="V918">
        <v>100.13279999999999</v>
      </c>
      <c r="W918">
        <v>3</v>
      </c>
      <c r="X918">
        <v>145.12</v>
      </c>
      <c r="Y918">
        <v>91041</v>
      </c>
    </row>
    <row r="919" spans="1:25" x14ac:dyDescent="0.35">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1">
        <v>42133</v>
      </c>
      <c r="U919" s="1">
        <v>42133</v>
      </c>
      <c r="V919">
        <v>15.096</v>
      </c>
      <c r="W919">
        <v>15</v>
      </c>
      <c r="X919">
        <v>94.27</v>
      </c>
      <c r="Y919">
        <v>91042</v>
      </c>
    </row>
    <row r="920" spans="1:25" x14ac:dyDescent="0.35">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1">
        <v>42133</v>
      </c>
      <c r="U920" s="1">
        <v>42134</v>
      </c>
      <c r="V920">
        <v>14.912399999999998</v>
      </c>
      <c r="W920">
        <v>7</v>
      </c>
      <c r="X920">
        <v>82.21</v>
      </c>
      <c r="Y920">
        <v>91042</v>
      </c>
    </row>
    <row r="921" spans="1:25" x14ac:dyDescent="0.35">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1">
        <v>42133</v>
      </c>
      <c r="U921" s="1">
        <v>42135</v>
      </c>
      <c r="V921">
        <v>-135.226</v>
      </c>
      <c r="W921">
        <v>8</v>
      </c>
      <c r="X921">
        <v>417.47</v>
      </c>
      <c r="Y921">
        <v>91042</v>
      </c>
    </row>
    <row r="922" spans="1:25" x14ac:dyDescent="0.35">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1">
        <v>42028</v>
      </c>
      <c r="U922" s="1">
        <v>42029</v>
      </c>
      <c r="V922">
        <v>-457.73</v>
      </c>
      <c r="W922">
        <v>10</v>
      </c>
      <c r="X922">
        <v>1104.32</v>
      </c>
      <c r="Y922">
        <v>89885</v>
      </c>
    </row>
    <row r="923" spans="1:25" x14ac:dyDescent="0.35">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1">
        <v>42028</v>
      </c>
      <c r="U923" s="1">
        <v>42029</v>
      </c>
      <c r="V923">
        <v>-268.66399999999999</v>
      </c>
      <c r="W923">
        <v>2</v>
      </c>
      <c r="X923">
        <v>149.80000000000001</v>
      </c>
      <c r="Y923">
        <v>89885</v>
      </c>
    </row>
    <row r="924" spans="1:25" x14ac:dyDescent="0.35">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1">
        <v>42061</v>
      </c>
      <c r="U924" s="1">
        <v>42062</v>
      </c>
      <c r="V924">
        <v>-8.2799999999999994</v>
      </c>
      <c r="W924">
        <v>2</v>
      </c>
      <c r="X924">
        <v>6.97</v>
      </c>
      <c r="Y924">
        <v>90678</v>
      </c>
    </row>
    <row r="925" spans="1:25" x14ac:dyDescent="0.35">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1">
        <v>42118</v>
      </c>
      <c r="U925" s="1">
        <v>42120</v>
      </c>
      <c r="V925">
        <v>1912.4219999999998</v>
      </c>
      <c r="W925">
        <v>10</v>
      </c>
      <c r="X925">
        <v>367.52</v>
      </c>
      <c r="Y925">
        <v>86722</v>
      </c>
    </row>
    <row r="926" spans="1:25" x14ac:dyDescent="0.35">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1">
        <v>42118</v>
      </c>
      <c r="U926" s="1">
        <v>42127</v>
      </c>
      <c r="V926">
        <v>-739.32600000000002</v>
      </c>
      <c r="W926">
        <v>11</v>
      </c>
      <c r="X926">
        <v>1576.35</v>
      </c>
      <c r="Y926">
        <v>86722</v>
      </c>
    </row>
    <row r="927" spans="1:25" x14ac:dyDescent="0.35">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1">
        <v>42044</v>
      </c>
      <c r="U927" s="1">
        <v>42048</v>
      </c>
      <c r="V927">
        <v>-40.53</v>
      </c>
      <c r="W927">
        <v>13</v>
      </c>
      <c r="X927">
        <v>52.16</v>
      </c>
      <c r="Y927">
        <v>86724</v>
      </c>
    </row>
    <row r="928" spans="1:25" x14ac:dyDescent="0.35">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1">
        <v>42136</v>
      </c>
      <c r="U928" s="1">
        <v>42137</v>
      </c>
      <c r="V928">
        <v>0.69599999999999995</v>
      </c>
      <c r="W928">
        <v>21</v>
      </c>
      <c r="X928">
        <v>4881.84</v>
      </c>
      <c r="Y928">
        <v>86725</v>
      </c>
    </row>
    <row r="929" spans="1:25" x14ac:dyDescent="0.35">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1">
        <v>42162</v>
      </c>
      <c r="U929" s="1">
        <v>42167</v>
      </c>
      <c r="V929">
        <v>15.527999999999999</v>
      </c>
      <c r="W929">
        <v>3</v>
      </c>
      <c r="X929">
        <v>926.3</v>
      </c>
      <c r="Y929">
        <v>86723</v>
      </c>
    </row>
    <row r="930" spans="1:25" x14ac:dyDescent="0.35">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1">
        <v>42162</v>
      </c>
      <c r="U930" s="1">
        <v>42164</v>
      </c>
      <c r="V930">
        <v>-225.56379999999999</v>
      </c>
      <c r="W930">
        <v>17</v>
      </c>
      <c r="X930">
        <v>942.53</v>
      </c>
      <c r="Y930">
        <v>86723</v>
      </c>
    </row>
    <row r="931" spans="1:25" x14ac:dyDescent="0.35">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1">
        <v>42083</v>
      </c>
      <c r="U931" s="1">
        <v>42084</v>
      </c>
      <c r="V931">
        <v>-22.72</v>
      </c>
      <c r="W931">
        <v>21</v>
      </c>
      <c r="X931">
        <v>276.64</v>
      </c>
      <c r="Y931">
        <v>86646</v>
      </c>
    </row>
    <row r="932" spans="1:25" x14ac:dyDescent="0.35">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1">
        <v>42127</v>
      </c>
      <c r="U932" s="1">
        <v>42129</v>
      </c>
      <c r="V932">
        <v>-163.53</v>
      </c>
      <c r="W932">
        <v>18</v>
      </c>
      <c r="X932">
        <v>514.62</v>
      </c>
      <c r="Y932">
        <v>86645</v>
      </c>
    </row>
    <row r="933" spans="1:25" x14ac:dyDescent="0.35">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1">
        <v>42127</v>
      </c>
      <c r="U933" s="1">
        <v>42129</v>
      </c>
      <c r="V933">
        <v>554.77</v>
      </c>
      <c r="W933">
        <v>17</v>
      </c>
      <c r="X933">
        <v>817.32</v>
      </c>
      <c r="Y933">
        <v>86645</v>
      </c>
    </row>
    <row r="934" spans="1:25" x14ac:dyDescent="0.35">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1">
        <v>42049</v>
      </c>
      <c r="U934" s="1">
        <v>42051</v>
      </c>
      <c r="V934">
        <v>-38.380000000000003</v>
      </c>
      <c r="W934">
        <v>43</v>
      </c>
      <c r="X934">
        <v>284.48</v>
      </c>
      <c r="Y934">
        <v>14115</v>
      </c>
    </row>
    <row r="935" spans="1:25" x14ac:dyDescent="0.35">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1">
        <v>42077</v>
      </c>
      <c r="U935" s="1">
        <v>42078</v>
      </c>
      <c r="V935">
        <v>-56.35</v>
      </c>
      <c r="W935">
        <v>47</v>
      </c>
      <c r="X935">
        <v>225.98</v>
      </c>
      <c r="Y935">
        <v>38080</v>
      </c>
    </row>
    <row r="936" spans="1:25" x14ac:dyDescent="0.35">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1">
        <v>42049</v>
      </c>
      <c r="U936" s="1">
        <v>42051</v>
      </c>
      <c r="V936">
        <v>-19.957600000000003</v>
      </c>
      <c r="W936">
        <v>11</v>
      </c>
      <c r="X936">
        <v>72.77</v>
      </c>
      <c r="Y936">
        <v>90612</v>
      </c>
    </row>
    <row r="937" spans="1:25" x14ac:dyDescent="0.35">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1">
        <v>42077</v>
      </c>
      <c r="U937" s="1">
        <v>42078</v>
      </c>
      <c r="V937">
        <v>-56.35</v>
      </c>
      <c r="W937">
        <v>12</v>
      </c>
      <c r="X937">
        <v>57.7</v>
      </c>
      <c r="Y937">
        <v>90613</v>
      </c>
    </row>
    <row r="938" spans="1:25" x14ac:dyDescent="0.35">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1">
        <v>42066</v>
      </c>
      <c r="U938" s="1">
        <v>42073</v>
      </c>
      <c r="V938">
        <v>-129.01</v>
      </c>
      <c r="W938">
        <v>9</v>
      </c>
      <c r="X938">
        <v>19.670000000000002</v>
      </c>
      <c r="Y938">
        <v>86973</v>
      </c>
    </row>
    <row r="939" spans="1:25" x14ac:dyDescent="0.35">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1">
        <v>42087</v>
      </c>
      <c r="U939" s="1">
        <v>42088</v>
      </c>
      <c r="V939">
        <v>-628.38</v>
      </c>
      <c r="W939">
        <v>10</v>
      </c>
      <c r="X939">
        <v>514.79</v>
      </c>
      <c r="Y939">
        <v>91077</v>
      </c>
    </row>
    <row r="940" spans="1:25" x14ac:dyDescent="0.35">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1">
        <v>42028</v>
      </c>
      <c r="U940" s="1">
        <v>42032</v>
      </c>
      <c r="V940">
        <v>616.53569999999991</v>
      </c>
      <c r="W940">
        <v>9</v>
      </c>
      <c r="X940">
        <v>893.53</v>
      </c>
      <c r="Y940">
        <v>91076</v>
      </c>
    </row>
    <row r="941" spans="1:25" x14ac:dyDescent="0.35">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1">
        <v>42156</v>
      </c>
      <c r="U941" s="1">
        <v>42157</v>
      </c>
      <c r="V941">
        <v>-143.23500000000001</v>
      </c>
      <c r="W941">
        <v>22</v>
      </c>
      <c r="X941">
        <v>2053.6</v>
      </c>
      <c r="Y941">
        <v>91078</v>
      </c>
    </row>
    <row r="942" spans="1:25" x14ac:dyDescent="0.35">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1">
        <v>42027</v>
      </c>
      <c r="U942" s="1">
        <v>42028</v>
      </c>
      <c r="V942">
        <v>-123.1816</v>
      </c>
      <c r="W942">
        <v>5</v>
      </c>
      <c r="X942">
        <v>37.89</v>
      </c>
      <c r="Y942">
        <v>90189</v>
      </c>
    </row>
    <row r="943" spans="1:25" x14ac:dyDescent="0.35">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1">
        <v>42027</v>
      </c>
      <c r="U943" s="1">
        <v>42029</v>
      </c>
      <c r="V943">
        <v>-28.798000000000002</v>
      </c>
      <c r="W943">
        <v>11</v>
      </c>
      <c r="X943">
        <v>343.79</v>
      </c>
      <c r="Y943">
        <v>90189</v>
      </c>
    </row>
    <row r="944" spans="1:25" x14ac:dyDescent="0.35">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1">
        <v>42135</v>
      </c>
      <c r="U944" s="1">
        <v>42135</v>
      </c>
      <c r="V944">
        <v>-273.98</v>
      </c>
      <c r="W944">
        <v>11</v>
      </c>
      <c r="X944">
        <v>188.09</v>
      </c>
      <c r="Y944">
        <v>90190</v>
      </c>
    </row>
    <row r="945" spans="1:25" x14ac:dyDescent="0.35">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1">
        <v>42020</v>
      </c>
      <c r="U945" s="1">
        <v>42021</v>
      </c>
      <c r="V945">
        <v>-253.77800000000002</v>
      </c>
      <c r="W945">
        <v>9</v>
      </c>
      <c r="X945">
        <v>129.54</v>
      </c>
      <c r="Y945">
        <v>86338</v>
      </c>
    </row>
    <row r="946" spans="1:25" x14ac:dyDescent="0.35">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1">
        <v>42088</v>
      </c>
      <c r="U946" s="1">
        <v>42092</v>
      </c>
      <c r="V946">
        <v>-152.52449999999999</v>
      </c>
      <c r="W946">
        <v>12</v>
      </c>
      <c r="X946">
        <v>49.44</v>
      </c>
      <c r="Y946">
        <v>87345</v>
      </c>
    </row>
    <row r="947" spans="1:25" x14ac:dyDescent="0.35">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1">
        <v>42088</v>
      </c>
      <c r="U947" s="1">
        <v>42088</v>
      </c>
      <c r="V947">
        <v>-18.850000000000001</v>
      </c>
      <c r="W947">
        <v>2</v>
      </c>
      <c r="X947">
        <v>14.29</v>
      </c>
      <c r="Y947">
        <v>87345</v>
      </c>
    </row>
    <row r="948" spans="1:25" x14ac:dyDescent="0.35">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1">
        <v>42021</v>
      </c>
      <c r="U948" s="1">
        <v>42024</v>
      </c>
      <c r="V948">
        <v>-220.05200000000002</v>
      </c>
      <c r="W948">
        <v>3</v>
      </c>
      <c r="X948">
        <v>45.28</v>
      </c>
      <c r="Y948">
        <v>90473</v>
      </c>
    </row>
    <row r="949" spans="1:25" x14ac:dyDescent="0.35">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1">
        <v>42021</v>
      </c>
      <c r="U949" s="1">
        <v>42023</v>
      </c>
      <c r="V949">
        <v>20.393369999999997</v>
      </c>
      <c r="W949">
        <v>3</v>
      </c>
      <c r="X949">
        <v>13.57</v>
      </c>
      <c r="Y949">
        <v>90473</v>
      </c>
    </row>
    <row r="950" spans="1:25" x14ac:dyDescent="0.35">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1">
        <v>42021</v>
      </c>
      <c r="U950" s="1">
        <v>42022</v>
      </c>
      <c r="V950">
        <v>38.281199999999998</v>
      </c>
      <c r="W950">
        <v>10</v>
      </c>
      <c r="X950">
        <v>55.48</v>
      </c>
      <c r="Y950">
        <v>88781</v>
      </c>
    </row>
    <row r="951" spans="1:25" x14ac:dyDescent="0.35">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1">
        <v>42144</v>
      </c>
      <c r="U951" s="1">
        <v>42145</v>
      </c>
      <c r="V951">
        <v>3670.3514999999998</v>
      </c>
      <c r="W951">
        <v>29</v>
      </c>
      <c r="X951">
        <v>5319.35</v>
      </c>
      <c r="Y951">
        <v>88784</v>
      </c>
    </row>
    <row r="952" spans="1:25" x14ac:dyDescent="0.35">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1">
        <v>42025</v>
      </c>
      <c r="U952" s="1">
        <v>42026</v>
      </c>
      <c r="V952">
        <v>21.003500000000003</v>
      </c>
      <c r="W952">
        <v>2</v>
      </c>
      <c r="X952">
        <v>30.44</v>
      </c>
      <c r="Y952">
        <v>88782</v>
      </c>
    </row>
    <row r="953" spans="1:25" x14ac:dyDescent="0.35">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1">
        <v>42134</v>
      </c>
      <c r="U953" s="1">
        <v>42136</v>
      </c>
      <c r="V953">
        <v>13.536000000000016</v>
      </c>
      <c r="W953">
        <v>33</v>
      </c>
      <c r="X953">
        <v>3251.76</v>
      </c>
      <c r="Y953">
        <v>88783</v>
      </c>
    </row>
    <row r="954" spans="1:25" x14ac:dyDescent="0.35">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1">
        <v>42079</v>
      </c>
      <c r="U954" s="1">
        <v>42081</v>
      </c>
      <c r="V954">
        <v>-167.048</v>
      </c>
      <c r="W954">
        <v>3</v>
      </c>
      <c r="X954">
        <v>22.48</v>
      </c>
      <c r="Y954">
        <v>87747</v>
      </c>
    </row>
    <row r="955" spans="1:25" x14ac:dyDescent="0.35">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1">
        <v>42105</v>
      </c>
      <c r="U955" s="1">
        <v>42114</v>
      </c>
      <c r="V955">
        <v>-31.094000000000001</v>
      </c>
      <c r="W955">
        <v>22</v>
      </c>
      <c r="X955">
        <v>267.32</v>
      </c>
      <c r="Y955">
        <v>87749</v>
      </c>
    </row>
    <row r="956" spans="1:25" x14ac:dyDescent="0.35">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1">
        <v>42153</v>
      </c>
      <c r="U956" s="1">
        <v>42155</v>
      </c>
      <c r="V956">
        <v>-6.202</v>
      </c>
      <c r="W956">
        <v>11</v>
      </c>
      <c r="X956">
        <v>284.39</v>
      </c>
      <c r="Y956">
        <v>87748</v>
      </c>
    </row>
    <row r="957" spans="1:25" x14ac:dyDescent="0.35">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1">
        <v>42071</v>
      </c>
      <c r="U957" s="1">
        <v>42078</v>
      </c>
      <c r="V957">
        <v>-48.873999999999995</v>
      </c>
      <c r="W957">
        <v>3</v>
      </c>
      <c r="X957">
        <v>974.14</v>
      </c>
      <c r="Y957">
        <v>90621</v>
      </c>
    </row>
    <row r="958" spans="1:25" x14ac:dyDescent="0.35">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1">
        <v>42021</v>
      </c>
      <c r="U958" s="1">
        <v>42023</v>
      </c>
      <c r="V958">
        <v>-144.59200000000001</v>
      </c>
      <c r="W958">
        <v>8</v>
      </c>
      <c r="X958">
        <v>128.13</v>
      </c>
      <c r="Y958">
        <v>90786</v>
      </c>
    </row>
    <row r="959" spans="1:25" x14ac:dyDescent="0.35">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1">
        <v>42140</v>
      </c>
      <c r="U959" s="1">
        <v>42141</v>
      </c>
      <c r="V959">
        <v>-258.56600000000003</v>
      </c>
      <c r="W959">
        <v>37</v>
      </c>
      <c r="X959">
        <v>464.94</v>
      </c>
      <c r="Y959">
        <v>90787</v>
      </c>
    </row>
    <row r="960" spans="1:25" x14ac:dyDescent="0.35">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1">
        <v>42035</v>
      </c>
      <c r="U960" s="1">
        <v>42040</v>
      </c>
      <c r="V960">
        <v>13.508000000000003</v>
      </c>
      <c r="W960">
        <v>46</v>
      </c>
      <c r="X960">
        <v>2188.06</v>
      </c>
      <c r="Y960">
        <v>40101</v>
      </c>
    </row>
    <row r="961" spans="1:25" x14ac:dyDescent="0.35">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1">
        <v>42042</v>
      </c>
      <c r="U961" s="1">
        <v>42044</v>
      </c>
      <c r="V961">
        <v>-66.48</v>
      </c>
      <c r="W961">
        <v>46</v>
      </c>
      <c r="X961">
        <v>320.93</v>
      </c>
      <c r="Y961">
        <v>44002</v>
      </c>
    </row>
    <row r="962" spans="1:25" x14ac:dyDescent="0.35">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1">
        <v>42042</v>
      </c>
      <c r="U962" s="1">
        <v>42042</v>
      </c>
      <c r="V962">
        <v>-52.33</v>
      </c>
      <c r="W962">
        <v>14</v>
      </c>
      <c r="X962">
        <v>261.85000000000002</v>
      </c>
      <c r="Y962">
        <v>44002</v>
      </c>
    </row>
    <row r="963" spans="1:25" x14ac:dyDescent="0.35">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1">
        <v>42140</v>
      </c>
      <c r="U963" s="1">
        <v>42141</v>
      </c>
      <c r="V963">
        <v>-59.06</v>
      </c>
      <c r="W963">
        <v>146</v>
      </c>
      <c r="X963">
        <v>1834.61</v>
      </c>
      <c r="Y963">
        <v>32710</v>
      </c>
    </row>
    <row r="964" spans="1:25" x14ac:dyDescent="0.35">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1">
        <v>42131</v>
      </c>
      <c r="U964" s="1">
        <v>42133</v>
      </c>
      <c r="V964">
        <v>149.166</v>
      </c>
      <c r="W964">
        <v>9</v>
      </c>
      <c r="X964">
        <v>261.56</v>
      </c>
      <c r="Y964">
        <v>87193</v>
      </c>
    </row>
    <row r="965" spans="1:25" x14ac:dyDescent="0.35">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1">
        <v>42025</v>
      </c>
      <c r="U965" s="1">
        <v>42027</v>
      </c>
      <c r="V965">
        <v>-76.900000000000006</v>
      </c>
      <c r="W965">
        <v>8</v>
      </c>
      <c r="X965">
        <v>114.81</v>
      </c>
      <c r="Y965">
        <v>87194</v>
      </c>
    </row>
    <row r="966" spans="1:25" x14ac:dyDescent="0.35">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1">
        <v>42057</v>
      </c>
      <c r="U966" s="1">
        <v>42059</v>
      </c>
      <c r="V966">
        <v>376.88490000000002</v>
      </c>
      <c r="W966">
        <v>10</v>
      </c>
      <c r="X966">
        <v>546.21</v>
      </c>
      <c r="Y966">
        <v>87195</v>
      </c>
    </row>
    <row r="967" spans="1:25" x14ac:dyDescent="0.35">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1">
        <v>42101</v>
      </c>
      <c r="U967" s="1">
        <v>42103</v>
      </c>
      <c r="V967">
        <v>-88.624800000000008</v>
      </c>
      <c r="W967">
        <v>5</v>
      </c>
      <c r="X967">
        <v>272.86</v>
      </c>
      <c r="Y967">
        <v>90653</v>
      </c>
    </row>
    <row r="968" spans="1:25" x14ac:dyDescent="0.35">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1">
        <v>42098</v>
      </c>
      <c r="U968" s="1">
        <v>42100</v>
      </c>
      <c r="V968">
        <v>-662.52</v>
      </c>
      <c r="W968">
        <v>34</v>
      </c>
      <c r="X968">
        <v>2119.54</v>
      </c>
      <c r="Y968">
        <v>3841</v>
      </c>
    </row>
    <row r="969" spans="1:25" x14ac:dyDescent="0.35">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1">
        <v>42098</v>
      </c>
      <c r="U969" s="1">
        <v>42100</v>
      </c>
      <c r="V969">
        <v>9228.2255999999998</v>
      </c>
      <c r="W969">
        <v>36</v>
      </c>
      <c r="X969">
        <v>45737.33</v>
      </c>
      <c r="Y969">
        <v>3841</v>
      </c>
    </row>
    <row r="970" spans="1:25" x14ac:dyDescent="0.35">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1">
        <v>42183</v>
      </c>
      <c r="U970" s="1">
        <v>42184</v>
      </c>
      <c r="V970">
        <v>-32.28</v>
      </c>
      <c r="W970">
        <v>13</v>
      </c>
      <c r="X970">
        <v>438.25</v>
      </c>
      <c r="Y970">
        <v>59937</v>
      </c>
    </row>
    <row r="971" spans="1:25" x14ac:dyDescent="0.35">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1">
        <v>42098</v>
      </c>
      <c r="U971" s="1">
        <v>42100</v>
      </c>
      <c r="V971">
        <v>-596.26800000000003</v>
      </c>
      <c r="W971">
        <v>9</v>
      </c>
      <c r="X971">
        <v>561.05999999999995</v>
      </c>
      <c r="Y971">
        <v>88443</v>
      </c>
    </row>
    <row r="972" spans="1:25" x14ac:dyDescent="0.35">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1">
        <v>42098</v>
      </c>
      <c r="U972" s="1">
        <v>42100</v>
      </c>
      <c r="V972">
        <v>7889.6876999999995</v>
      </c>
      <c r="W972">
        <v>9</v>
      </c>
      <c r="X972">
        <v>11434.33</v>
      </c>
      <c r="Y972">
        <v>88443</v>
      </c>
    </row>
    <row r="973" spans="1:25" x14ac:dyDescent="0.35">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1">
        <v>42098</v>
      </c>
      <c r="U973" s="1">
        <v>42100</v>
      </c>
      <c r="V973">
        <v>1545.8097600000001</v>
      </c>
      <c r="W973">
        <v>19</v>
      </c>
      <c r="X973">
        <v>3229.24</v>
      </c>
      <c r="Y973">
        <v>88443</v>
      </c>
    </row>
    <row r="974" spans="1:25" x14ac:dyDescent="0.35">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1">
        <v>42183</v>
      </c>
      <c r="U974" s="1">
        <v>42184</v>
      </c>
      <c r="V974">
        <v>-16.14</v>
      </c>
      <c r="W974">
        <v>3</v>
      </c>
      <c r="X974">
        <v>101.13</v>
      </c>
      <c r="Y974">
        <v>88444</v>
      </c>
    </row>
    <row r="975" spans="1:25" x14ac:dyDescent="0.35">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1">
        <v>42158</v>
      </c>
      <c r="U975" s="1">
        <v>42160</v>
      </c>
      <c r="V975">
        <v>-130.42400000000001</v>
      </c>
      <c r="W975">
        <v>16</v>
      </c>
      <c r="X975">
        <v>451.83</v>
      </c>
      <c r="Y975">
        <v>85866</v>
      </c>
    </row>
    <row r="976" spans="1:25" x14ac:dyDescent="0.35">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1">
        <v>42158</v>
      </c>
      <c r="U976" s="1">
        <v>42160</v>
      </c>
      <c r="V976">
        <v>-106.42100000000001</v>
      </c>
      <c r="W976">
        <v>11</v>
      </c>
      <c r="X976">
        <v>20.239999999999998</v>
      </c>
      <c r="Y976">
        <v>85866</v>
      </c>
    </row>
    <row r="977" spans="1:25" x14ac:dyDescent="0.35">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1">
        <v>42091</v>
      </c>
      <c r="U977" s="1">
        <v>42091</v>
      </c>
      <c r="V977">
        <v>-16476.838</v>
      </c>
      <c r="W977">
        <v>10</v>
      </c>
      <c r="X977">
        <v>1486.34</v>
      </c>
      <c r="Y977">
        <v>85865</v>
      </c>
    </row>
    <row r="978" spans="1:25" x14ac:dyDescent="0.35">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1">
        <v>42169</v>
      </c>
      <c r="U978" s="1">
        <v>42176</v>
      </c>
      <c r="V978">
        <v>-108.27250000000001</v>
      </c>
      <c r="W978">
        <v>11</v>
      </c>
      <c r="X978">
        <v>406.26</v>
      </c>
      <c r="Y978">
        <v>85868</v>
      </c>
    </row>
    <row r="979" spans="1:25" x14ac:dyDescent="0.35">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1">
        <v>42127</v>
      </c>
      <c r="U979" s="1">
        <v>42128</v>
      </c>
      <c r="V979">
        <v>-90.74799999999999</v>
      </c>
      <c r="W979">
        <v>17</v>
      </c>
      <c r="X979">
        <v>5835.41</v>
      </c>
      <c r="Y979">
        <v>85867</v>
      </c>
    </row>
    <row r="980" spans="1:25" x14ac:dyDescent="0.35">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1">
        <v>42047</v>
      </c>
      <c r="U980" s="1">
        <v>42049</v>
      </c>
      <c r="V980">
        <v>-121.05807999999999</v>
      </c>
      <c r="W980">
        <v>1</v>
      </c>
      <c r="X980">
        <v>52.1</v>
      </c>
      <c r="Y980">
        <v>91025</v>
      </c>
    </row>
    <row r="981" spans="1:25" x14ac:dyDescent="0.35">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1">
        <v>42013</v>
      </c>
      <c r="U981" s="1">
        <v>42014</v>
      </c>
      <c r="V981">
        <v>-51.736999999999995</v>
      </c>
      <c r="W981">
        <v>9</v>
      </c>
      <c r="X981">
        <v>45.87</v>
      </c>
      <c r="Y981">
        <v>18561</v>
      </c>
    </row>
    <row r="982" spans="1:25" x14ac:dyDescent="0.35">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1">
        <v>42049</v>
      </c>
      <c r="U982" s="1">
        <v>42051</v>
      </c>
      <c r="V982">
        <v>116.50629999999998</v>
      </c>
      <c r="W982">
        <v>4</v>
      </c>
      <c r="X982">
        <v>256.77</v>
      </c>
      <c r="Y982">
        <v>13408</v>
      </c>
    </row>
    <row r="983" spans="1:25" x14ac:dyDescent="0.35">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1">
        <v>42167</v>
      </c>
      <c r="U983" s="1">
        <v>42169</v>
      </c>
      <c r="V983">
        <v>-247.55157000000003</v>
      </c>
      <c r="W983">
        <v>4</v>
      </c>
      <c r="X983">
        <v>605.82000000000005</v>
      </c>
      <c r="Y983">
        <v>12224</v>
      </c>
    </row>
    <row r="984" spans="1:25" x14ac:dyDescent="0.35">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1">
        <v>42167</v>
      </c>
      <c r="U984" s="1">
        <v>42167</v>
      </c>
      <c r="V984">
        <v>-277.20924000000002</v>
      </c>
      <c r="W984">
        <v>54</v>
      </c>
      <c r="X984">
        <v>1569</v>
      </c>
      <c r="Y984">
        <v>12224</v>
      </c>
    </row>
    <row r="985" spans="1:25" x14ac:dyDescent="0.35">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1">
        <v>42167</v>
      </c>
      <c r="U985" s="1">
        <v>42169</v>
      </c>
      <c r="V985">
        <v>-93.06450000000001</v>
      </c>
      <c r="W985">
        <v>1</v>
      </c>
      <c r="X985">
        <v>151.46</v>
      </c>
      <c r="Y985">
        <v>87245</v>
      </c>
    </row>
    <row r="986" spans="1:25" x14ac:dyDescent="0.35">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1">
        <v>42013</v>
      </c>
      <c r="U986" s="1">
        <v>42014</v>
      </c>
      <c r="V986">
        <v>-48.235999999999997</v>
      </c>
      <c r="W986">
        <v>2</v>
      </c>
      <c r="X986">
        <v>10.19</v>
      </c>
      <c r="Y986">
        <v>87243</v>
      </c>
    </row>
    <row r="987" spans="1:25" x14ac:dyDescent="0.35">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1">
        <v>42049</v>
      </c>
      <c r="U987" s="1">
        <v>42051</v>
      </c>
      <c r="V987">
        <v>44.291099999999993</v>
      </c>
      <c r="W987">
        <v>1</v>
      </c>
      <c r="X987">
        <v>64.19</v>
      </c>
      <c r="Y987">
        <v>87244</v>
      </c>
    </row>
    <row r="988" spans="1:25" x14ac:dyDescent="0.35">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1">
        <v>42062</v>
      </c>
      <c r="U988" s="1">
        <v>42063</v>
      </c>
      <c r="V988">
        <v>43.275199999999998</v>
      </c>
      <c r="W988">
        <v>14</v>
      </c>
      <c r="X988">
        <v>118.57</v>
      </c>
      <c r="Y988">
        <v>90178</v>
      </c>
    </row>
    <row r="989" spans="1:25" x14ac:dyDescent="0.35">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1">
        <v>42062</v>
      </c>
      <c r="U989" s="1">
        <v>42062</v>
      </c>
      <c r="V989">
        <v>-36.214620000000004</v>
      </c>
      <c r="W989">
        <v>5</v>
      </c>
      <c r="X989">
        <v>79.47</v>
      </c>
      <c r="Y989">
        <v>90178</v>
      </c>
    </row>
    <row r="990" spans="1:25" x14ac:dyDescent="0.35">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1">
        <v>42062</v>
      </c>
      <c r="U990" s="1">
        <v>42066</v>
      </c>
      <c r="V990">
        <v>7.032960000000001</v>
      </c>
      <c r="W990">
        <v>8</v>
      </c>
      <c r="X990">
        <v>627.28</v>
      </c>
      <c r="Y990">
        <v>90178</v>
      </c>
    </row>
    <row r="991" spans="1:25" x14ac:dyDescent="0.35">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1">
        <v>42026</v>
      </c>
      <c r="U991" s="1">
        <v>42026</v>
      </c>
      <c r="V991">
        <v>-16.772000000000002</v>
      </c>
      <c r="W991">
        <v>11</v>
      </c>
      <c r="X991">
        <v>1160.42</v>
      </c>
      <c r="Y991">
        <v>89775</v>
      </c>
    </row>
    <row r="992" spans="1:25" x14ac:dyDescent="0.35">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1">
        <v>42064</v>
      </c>
      <c r="U992" s="1">
        <v>42066</v>
      </c>
      <c r="V992">
        <v>514.17719999999997</v>
      </c>
      <c r="W992">
        <v>5</v>
      </c>
      <c r="X992">
        <v>103.37</v>
      </c>
      <c r="Y992">
        <v>89776</v>
      </c>
    </row>
    <row r="993" spans="1:25" x14ac:dyDescent="0.35">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1">
        <v>42064</v>
      </c>
      <c r="U993" s="1">
        <v>42065</v>
      </c>
      <c r="V993">
        <v>235.65599999999998</v>
      </c>
      <c r="W993">
        <v>23</v>
      </c>
      <c r="X993">
        <v>40.22</v>
      </c>
      <c r="Y993">
        <v>89776</v>
      </c>
    </row>
    <row r="994" spans="1:25" x14ac:dyDescent="0.35">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1">
        <v>42128</v>
      </c>
      <c r="U994" s="1">
        <v>42129</v>
      </c>
      <c r="V994">
        <v>3.5581000000000031</v>
      </c>
      <c r="W994">
        <v>8</v>
      </c>
      <c r="X994">
        <v>52.43</v>
      </c>
      <c r="Y994">
        <v>89777</v>
      </c>
    </row>
    <row r="995" spans="1:25" x14ac:dyDescent="0.35">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1">
        <v>42089</v>
      </c>
      <c r="U995" s="1">
        <v>42090</v>
      </c>
      <c r="V995">
        <v>5.3396999999999997</v>
      </c>
      <c r="W995">
        <v>16</v>
      </c>
      <c r="X995">
        <v>818.49</v>
      </c>
      <c r="Y995">
        <v>89211</v>
      </c>
    </row>
    <row r="996" spans="1:25" x14ac:dyDescent="0.35">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1">
        <v>42069</v>
      </c>
      <c r="U996" s="1">
        <v>42070</v>
      </c>
      <c r="V996">
        <v>-807.89</v>
      </c>
      <c r="W996">
        <v>7</v>
      </c>
      <c r="X996">
        <v>410.17</v>
      </c>
      <c r="Y996">
        <v>89106</v>
      </c>
    </row>
    <row r="997" spans="1:25" x14ac:dyDescent="0.35">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1">
        <v>42169</v>
      </c>
      <c r="U997" s="1">
        <v>42176</v>
      </c>
      <c r="V997">
        <v>123.89175</v>
      </c>
      <c r="W997">
        <v>21</v>
      </c>
      <c r="X997">
        <v>269.54000000000002</v>
      </c>
      <c r="Y997">
        <v>89944</v>
      </c>
    </row>
    <row r="998" spans="1:25" x14ac:dyDescent="0.35">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1">
        <v>42039</v>
      </c>
      <c r="U998" s="1">
        <v>42040</v>
      </c>
      <c r="V998">
        <v>-53.898000000000003</v>
      </c>
      <c r="W998">
        <v>19</v>
      </c>
      <c r="X998">
        <v>106.57</v>
      </c>
      <c r="Y998">
        <v>89941</v>
      </c>
    </row>
    <row r="999" spans="1:25" x14ac:dyDescent="0.35">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1">
        <v>42116</v>
      </c>
      <c r="U999" s="1">
        <v>42120</v>
      </c>
      <c r="V999">
        <v>26.502899999999997</v>
      </c>
      <c r="W999">
        <v>7</v>
      </c>
      <c r="X999">
        <v>38.409999999999997</v>
      </c>
      <c r="Y999">
        <v>89939</v>
      </c>
    </row>
    <row r="1000" spans="1:25" x14ac:dyDescent="0.35">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1">
        <v>42007</v>
      </c>
      <c r="U1000" s="1">
        <v>42012</v>
      </c>
      <c r="V1000">
        <v>90.624600000000001</v>
      </c>
      <c r="W1000">
        <v>13</v>
      </c>
      <c r="X1000">
        <v>131.34</v>
      </c>
      <c r="Y1000">
        <v>89940</v>
      </c>
    </row>
    <row r="1001" spans="1:25" x14ac:dyDescent="0.35">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1">
        <v>42096</v>
      </c>
      <c r="U1001" s="1">
        <v>42097</v>
      </c>
      <c r="V1001">
        <v>-20.876399999999997</v>
      </c>
      <c r="W1001">
        <v>12</v>
      </c>
      <c r="X1001">
        <v>251.61</v>
      </c>
      <c r="Y1001">
        <v>89942</v>
      </c>
    </row>
    <row r="1002" spans="1:25" x14ac:dyDescent="0.35">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1">
        <v>42134</v>
      </c>
      <c r="U1002" s="1">
        <v>42136</v>
      </c>
      <c r="V1002">
        <v>6.4832400000000021</v>
      </c>
      <c r="W1002">
        <v>21</v>
      </c>
      <c r="X1002">
        <v>287.99</v>
      </c>
      <c r="Y1002">
        <v>89943</v>
      </c>
    </row>
    <row r="1003" spans="1:25" x14ac:dyDescent="0.35">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1">
        <v>42134</v>
      </c>
      <c r="U1003" s="1">
        <v>42134</v>
      </c>
      <c r="V1003">
        <v>2.3320000000000003</v>
      </c>
      <c r="W1003">
        <v>3</v>
      </c>
      <c r="X1003">
        <v>46.86</v>
      </c>
      <c r="Y1003">
        <v>89943</v>
      </c>
    </row>
    <row r="1004" spans="1:25" x14ac:dyDescent="0.35">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1">
        <v>42167</v>
      </c>
      <c r="U1004" s="1">
        <v>42169</v>
      </c>
      <c r="V1004">
        <v>454.44779999999997</v>
      </c>
      <c r="W1004">
        <v>11</v>
      </c>
      <c r="X1004">
        <v>658.62</v>
      </c>
      <c r="Y1004">
        <v>89857</v>
      </c>
    </row>
    <row r="1005" spans="1:25" x14ac:dyDescent="0.35">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1">
        <v>42011</v>
      </c>
      <c r="U1005" s="1">
        <v>42016</v>
      </c>
      <c r="V1005">
        <v>15.1524</v>
      </c>
      <c r="W1005">
        <v>4</v>
      </c>
      <c r="X1005">
        <v>21.96</v>
      </c>
      <c r="Y1005">
        <v>89858</v>
      </c>
    </row>
    <row r="1006" spans="1:25" x14ac:dyDescent="0.35">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1">
        <v>42010</v>
      </c>
      <c r="U1006" s="1">
        <v>42012</v>
      </c>
      <c r="V1006">
        <v>-90.755600000000001</v>
      </c>
      <c r="W1006">
        <v>7</v>
      </c>
      <c r="X1006">
        <v>24.57</v>
      </c>
      <c r="Y1006">
        <v>89856</v>
      </c>
    </row>
    <row r="1007" spans="1:25" x14ac:dyDescent="0.35">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1">
        <v>42025</v>
      </c>
      <c r="U1007" s="1">
        <v>42026</v>
      </c>
      <c r="V1007">
        <v>960.98400000000004</v>
      </c>
      <c r="W1007">
        <v>6</v>
      </c>
      <c r="X1007">
        <v>1008.53</v>
      </c>
      <c r="Y1007">
        <v>88256</v>
      </c>
    </row>
    <row r="1008" spans="1:25" x14ac:dyDescent="0.35">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1">
        <v>42010</v>
      </c>
      <c r="U1008" s="1">
        <v>42011</v>
      </c>
      <c r="V1008">
        <v>-13706.464</v>
      </c>
      <c r="W1008">
        <v>8</v>
      </c>
      <c r="X1008">
        <v>6968.9</v>
      </c>
      <c r="Y1008">
        <v>87853</v>
      </c>
    </row>
    <row r="1009" spans="1:25" x14ac:dyDescent="0.35">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1">
        <v>42156</v>
      </c>
      <c r="U1009" s="1">
        <v>42157</v>
      </c>
      <c r="V1009">
        <v>300.92579999999998</v>
      </c>
      <c r="W1009">
        <v>11</v>
      </c>
      <c r="X1009">
        <v>41.29</v>
      </c>
      <c r="Y1009">
        <v>91543</v>
      </c>
    </row>
    <row r="1010" spans="1:25" x14ac:dyDescent="0.35">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1">
        <v>42080</v>
      </c>
      <c r="U1010" s="1">
        <v>42081</v>
      </c>
      <c r="V1010">
        <v>-40.76</v>
      </c>
      <c r="W1010">
        <v>10</v>
      </c>
      <c r="X1010">
        <v>88.64</v>
      </c>
      <c r="Y1010">
        <v>89251</v>
      </c>
    </row>
    <row r="1011" spans="1:25" x14ac:dyDescent="0.35">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1">
        <v>42147</v>
      </c>
      <c r="U1011" s="1">
        <v>42149</v>
      </c>
      <c r="V1011">
        <v>-986.52399999999989</v>
      </c>
      <c r="W1011">
        <v>17</v>
      </c>
      <c r="X1011">
        <v>1300.54</v>
      </c>
      <c r="Y1011">
        <v>90524</v>
      </c>
    </row>
    <row r="1012" spans="1:25" x14ac:dyDescent="0.35">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1">
        <v>42147</v>
      </c>
      <c r="U1012" s="1">
        <v>42149</v>
      </c>
      <c r="V1012">
        <v>-141.666</v>
      </c>
      <c r="W1012">
        <v>13</v>
      </c>
      <c r="X1012">
        <v>38.06</v>
      </c>
      <c r="Y1012">
        <v>90524</v>
      </c>
    </row>
    <row r="1013" spans="1:25" x14ac:dyDescent="0.35">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1">
        <v>42046</v>
      </c>
      <c r="U1013" s="1">
        <v>42047</v>
      </c>
      <c r="V1013">
        <v>47.334000000000003</v>
      </c>
      <c r="W1013">
        <v>14</v>
      </c>
      <c r="X1013">
        <v>1263.3499999999999</v>
      </c>
      <c r="Y1013">
        <v>90525</v>
      </c>
    </row>
    <row r="1014" spans="1:25" x14ac:dyDescent="0.35">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1">
        <v>42040</v>
      </c>
      <c r="U1014" s="1">
        <v>42042</v>
      </c>
      <c r="V1014">
        <v>60.561599999999999</v>
      </c>
      <c r="W1014">
        <v>19</v>
      </c>
      <c r="X1014">
        <v>202.38</v>
      </c>
      <c r="Y1014">
        <v>85990</v>
      </c>
    </row>
    <row r="1015" spans="1:25" x14ac:dyDescent="0.35">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1">
        <v>42109</v>
      </c>
      <c r="U1015" s="1">
        <v>42111</v>
      </c>
      <c r="V1015">
        <v>-47.243088</v>
      </c>
      <c r="W1015">
        <v>3</v>
      </c>
      <c r="X1015">
        <v>56.38</v>
      </c>
      <c r="Y1015">
        <v>85991</v>
      </c>
    </row>
    <row r="1016" spans="1:25" x14ac:dyDescent="0.35">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1">
        <v>42109</v>
      </c>
      <c r="U1016" s="1">
        <v>42112</v>
      </c>
      <c r="V1016">
        <v>9.1539999999999999</v>
      </c>
      <c r="W1016">
        <v>12</v>
      </c>
      <c r="X1016">
        <v>119.13</v>
      </c>
      <c r="Y1016">
        <v>85991</v>
      </c>
    </row>
    <row r="1017" spans="1:25" x14ac:dyDescent="0.35">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1">
        <v>42040</v>
      </c>
      <c r="U1017" s="1">
        <v>42042</v>
      </c>
      <c r="V1017">
        <v>40.92</v>
      </c>
      <c r="W1017">
        <v>76</v>
      </c>
      <c r="X1017">
        <v>809.51</v>
      </c>
      <c r="Y1017">
        <v>34435</v>
      </c>
    </row>
    <row r="1018" spans="1:25" x14ac:dyDescent="0.35">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1">
        <v>42109</v>
      </c>
      <c r="U1018" s="1">
        <v>42110</v>
      </c>
      <c r="V1018">
        <v>149.72</v>
      </c>
      <c r="W1018">
        <v>34</v>
      </c>
      <c r="X1018">
        <v>643.64</v>
      </c>
      <c r="Y1018">
        <v>47108</v>
      </c>
    </row>
    <row r="1019" spans="1:25" x14ac:dyDescent="0.35">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1">
        <v>42109</v>
      </c>
      <c r="U1019" s="1">
        <v>42111</v>
      </c>
      <c r="V1019">
        <v>-52.492319999999999</v>
      </c>
      <c r="W1019">
        <v>13</v>
      </c>
      <c r="X1019">
        <v>244.31</v>
      </c>
      <c r="Y1019">
        <v>47108</v>
      </c>
    </row>
    <row r="1020" spans="1:25" x14ac:dyDescent="0.35">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1">
        <v>42109</v>
      </c>
      <c r="U1020" s="1">
        <v>42112</v>
      </c>
      <c r="V1020">
        <v>7.9599999999999991</v>
      </c>
      <c r="W1020">
        <v>47</v>
      </c>
      <c r="X1020">
        <v>466.58</v>
      </c>
      <c r="Y1020">
        <v>47108</v>
      </c>
    </row>
    <row r="1021" spans="1:25" x14ac:dyDescent="0.35">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1">
        <v>42109</v>
      </c>
      <c r="U1021" s="1">
        <v>42110</v>
      </c>
      <c r="V1021">
        <v>-459.08280000000002</v>
      </c>
      <c r="W1021">
        <v>16</v>
      </c>
      <c r="X1021">
        <v>2290.69</v>
      </c>
      <c r="Y1021">
        <v>47108</v>
      </c>
    </row>
    <row r="1022" spans="1:25" x14ac:dyDescent="0.35">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1">
        <v>42112</v>
      </c>
      <c r="U1022" s="1">
        <v>42113</v>
      </c>
      <c r="V1022">
        <v>-517.16999999999996</v>
      </c>
      <c r="W1022">
        <v>7</v>
      </c>
      <c r="X1022">
        <v>337.59</v>
      </c>
      <c r="Y1022">
        <v>86958</v>
      </c>
    </row>
    <row r="1023" spans="1:25" x14ac:dyDescent="0.35">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1">
        <v>42136</v>
      </c>
      <c r="U1023" s="1">
        <v>42138</v>
      </c>
      <c r="V1023">
        <v>-7.61</v>
      </c>
      <c r="W1023">
        <v>1</v>
      </c>
      <c r="X1023">
        <v>10.65</v>
      </c>
      <c r="Y1023">
        <v>86959</v>
      </c>
    </row>
    <row r="1024" spans="1:25" x14ac:dyDescent="0.35">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1">
        <v>42054</v>
      </c>
      <c r="U1024" s="1">
        <v>42055</v>
      </c>
      <c r="V1024">
        <v>38.039699999999996</v>
      </c>
      <c r="W1024">
        <v>9</v>
      </c>
      <c r="X1024">
        <v>55.13</v>
      </c>
      <c r="Y1024">
        <v>86956</v>
      </c>
    </row>
    <row r="1025" spans="1:25" x14ac:dyDescent="0.35">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1">
        <v>42112</v>
      </c>
      <c r="U1025" s="1">
        <v>42115</v>
      </c>
      <c r="V1025">
        <v>-429.86</v>
      </c>
      <c r="W1025">
        <v>2</v>
      </c>
      <c r="X1025">
        <v>215.32</v>
      </c>
      <c r="Y1025">
        <v>86958</v>
      </c>
    </row>
    <row r="1026" spans="1:25" x14ac:dyDescent="0.35">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1">
        <v>42112</v>
      </c>
      <c r="U1026" s="1">
        <v>42114</v>
      </c>
      <c r="V1026">
        <v>264.16649999999998</v>
      </c>
      <c r="W1026">
        <v>5</v>
      </c>
      <c r="X1026">
        <v>382.85</v>
      </c>
      <c r="Y1026">
        <v>86958</v>
      </c>
    </row>
    <row r="1027" spans="1:25" x14ac:dyDescent="0.35">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1">
        <v>42054</v>
      </c>
      <c r="U1027" s="1">
        <v>42055</v>
      </c>
      <c r="V1027">
        <v>-47.12</v>
      </c>
      <c r="W1027">
        <v>7</v>
      </c>
      <c r="X1027">
        <v>44.8</v>
      </c>
      <c r="Y1027">
        <v>86956</v>
      </c>
    </row>
    <row r="1028" spans="1:25" x14ac:dyDescent="0.35">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1">
        <v>42010</v>
      </c>
      <c r="U1028" s="1">
        <v>42010</v>
      </c>
      <c r="V1028">
        <v>-101.24600000000001</v>
      </c>
      <c r="W1028">
        <v>14</v>
      </c>
      <c r="X1028">
        <v>100.99</v>
      </c>
      <c r="Y1028">
        <v>86960</v>
      </c>
    </row>
    <row r="1029" spans="1:25" x14ac:dyDescent="0.35">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1">
        <v>42010</v>
      </c>
      <c r="U1029" s="1">
        <v>42015</v>
      </c>
      <c r="V1029">
        <v>-1.88</v>
      </c>
      <c r="W1029">
        <v>7</v>
      </c>
      <c r="X1029">
        <v>142.06</v>
      </c>
      <c r="Y1029">
        <v>86960</v>
      </c>
    </row>
    <row r="1030" spans="1:25" x14ac:dyDescent="0.35">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1">
        <v>42088</v>
      </c>
      <c r="U1030" s="1">
        <v>42090</v>
      </c>
      <c r="V1030">
        <v>-11.69</v>
      </c>
      <c r="W1030">
        <v>5</v>
      </c>
      <c r="X1030">
        <v>58.52</v>
      </c>
      <c r="Y1030">
        <v>86957</v>
      </c>
    </row>
    <row r="1031" spans="1:25" x14ac:dyDescent="0.35">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1">
        <v>42010</v>
      </c>
      <c r="U1031" s="1">
        <v>42017</v>
      </c>
      <c r="V1031">
        <v>250.98059999999998</v>
      </c>
      <c r="W1031">
        <v>9</v>
      </c>
      <c r="X1031">
        <v>363.74</v>
      </c>
      <c r="Y1031">
        <v>86960</v>
      </c>
    </row>
    <row r="1032" spans="1:25" x14ac:dyDescent="0.35">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1">
        <v>42010</v>
      </c>
      <c r="U1032" s="1">
        <v>42019</v>
      </c>
      <c r="V1032">
        <v>-57.753</v>
      </c>
      <c r="W1032">
        <v>4</v>
      </c>
      <c r="X1032">
        <v>15.93</v>
      </c>
      <c r="Y1032">
        <v>86960</v>
      </c>
    </row>
    <row r="1033" spans="1:25" x14ac:dyDescent="0.35">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1">
        <v>42010</v>
      </c>
      <c r="U1033" s="1">
        <v>42017</v>
      </c>
      <c r="V1033">
        <v>-47.97</v>
      </c>
      <c r="W1033">
        <v>1</v>
      </c>
      <c r="X1033">
        <v>21.28</v>
      </c>
      <c r="Y1033">
        <v>86960</v>
      </c>
    </row>
    <row r="1034" spans="1:25" x14ac:dyDescent="0.35">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1">
        <v>42113</v>
      </c>
      <c r="U1034" s="1">
        <v>42114</v>
      </c>
      <c r="V1034">
        <v>-219.07908</v>
      </c>
      <c r="W1034">
        <v>5</v>
      </c>
      <c r="X1034">
        <v>675.83</v>
      </c>
      <c r="Y1034">
        <v>86600</v>
      </c>
    </row>
    <row r="1035" spans="1:25" x14ac:dyDescent="0.35">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1">
        <v>42113</v>
      </c>
      <c r="U1035" s="1">
        <v>42115</v>
      </c>
      <c r="V1035">
        <v>-18.878399999999999</v>
      </c>
      <c r="W1035">
        <v>4</v>
      </c>
      <c r="X1035">
        <v>28</v>
      </c>
      <c r="Y1035">
        <v>86600</v>
      </c>
    </row>
    <row r="1036" spans="1:25" x14ac:dyDescent="0.35">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1">
        <v>42093</v>
      </c>
      <c r="U1036" s="1">
        <v>42095</v>
      </c>
      <c r="V1036">
        <v>369.20519999999999</v>
      </c>
      <c r="W1036">
        <v>13</v>
      </c>
      <c r="X1036">
        <v>535.08000000000004</v>
      </c>
      <c r="Y1036">
        <v>86599</v>
      </c>
    </row>
    <row r="1037" spans="1:25" x14ac:dyDescent="0.35">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1">
        <v>42095</v>
      </c>
      <c r="U1037" s="1">
        <v>42097</v>
      </c>
      <c r="V1037">
        <v>19.350000000000001</v>
      </c>
      <c r="W1037">
        <v>8</v>
      </c>
      <c r="X1037">
        <v>222.71</v>
      </c>
      <c r="Y1037">
        <v>89697</v>
      </c>
    </row>
    <row r="1038" spans="1:25" x14ac:dyDescent="0.35">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1">
        <v>42095</v>
      </c>
      <c r="U1038" s="1">
        <v>42096</v>
      </c>
      <c r="V1038">
        <v>-967.83399999999995</v>
      </c>
      <c r="W1038">
        <v>2</v>
      </c>
      <c r="X1038">
        <v>220.52</v>
      </c>
      <c r="Y1038">
        <v>89697</v>
      </c>
    </row>
    <row r="1039" spans="1:25" x14ac:dyDescent="0.35">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1">
        <v>42082</v>
      </c>
      <c r="U1039" s="1">
        <v>42084</v>
      </c>
      <c r="V1039">
        <v>-28.45</v>
      </c>
      <c r="W1039">
        <v>10</v>
      </c>
      <c r="X1039">
        <v>68.34</v>
      </c>
      <c r="Y1039">
        <v>86847</v>
      </c>
    </row>
    <row r="1040" spans="1:25" x14ac:dyDescent="0.35">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1">
        <v>42082</v>
      </c>
      <c r="U1040" s="1">
        <v>42085</v>
      </c>
      <c r="V1040">
        <v>72.78</v>
      </c>
      <c r="W1040">
        <v>16</v>
      </c>
      <c r="X1040">
        <v>522.22</v>
      </c>
      <c r="Y1040">
        <v>86847</v>
      </c>
    </row>
    <row r="1041" spans="1:25" x14ac:dyDescent="0.35">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1">
        <v>42170</v>
      </c>
      <c r="U1041" s="1">
        <v>42172</v>
      </c>
      <c r="V1041">
        <v>13.2294</v>
      </c>
      <c r="W1041">
        <v>5</v>
      </c>
      <c r="X1041">
        <v>28.01</v>
      </c>
      <c r="Y1041">
        <v>86846</v>
      </c>
    </row>
    <row r="1042" spans="1:25" x14ac:dyDescent="0.35">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1">
        <v>42127</v>
      </c>
      <c r="U1042" s="1">
        <v>42128</v>
      </c>
      <c r="V1042">
        <v>-88.82</v>
      </c>
      <c r="W1042">
        <v>10</v>
      </c>
      <c r="X1042">
        <v>80.349999999999994</v>
      </c>
      <c r="Y1042">
        <v>89209</v>
      </c>
    </row>
    <row r="1043" spans="1:25" x14ac:dyDescent="0.35">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1">
        <v>42021</v>
      </c>
      <c r="U1043" s="1">
        <v>42023</v>
      </c>
      <c r="V1043">
        <v>15.353999999999999</v>
      </c>
      <c r="W1043">
        <v>1</v>
      </c>
      <c r="X1043">
        <v>99.69</v>
      </c>
      <c r="Y1043">
        <v>90099</v>
      </c>
    </row>
    <row r="1044" spans="1:25" x14ac:dyDescent="0.35">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1">
        <v>42021</v>
      </c>
      <c r="U1044" s="1">
        <v>42021</v>
      </c>
      <c r="V1044">
        <v>-357.92399999999998</v>
      </c>
      <c r="W1044">
        <v>7</v>
      </c>
      <c r="X1044">
        <v>152.49</v>
      </c>
      <c r="Y1044">
        <v>90099</v>
      </c>
    </row>
    <row r="1045" spans="1:25" x14ac:dyDescent="0.35">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1">
        <v>42033</v>
      </c>
      <c r="U1045" s="1">
        <v>42035</v>
      </c>
      <c r="V1045">
        <v>34.302</v>
      </c>
      <c r="W1045">
        <v>4</v>
      </c>
      <c r="X1045">
        <v>320.75</v>
      </c>
      <c r="Y1045">
        <v>90899</v>
      </c>
    </row>
    <row r="1046" spans="1:25" x14ac:dyDescent="0.35">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1">
        <v>42064</v>
      </c>
      <c r="U1046" s="1">
        <v>42066</v>
      </c>
      <c r="V1046">
        <v>-7.96</v>
      </c>
      <c r="W1046">
        <v>1</v>
      </c>
      <c r="X1046">
        <v>11.35</v>
      </c>
      <c r="Y1046">
        <v>87378</v>
      </c>
    </row>
    <row r="1047" spans="1:25" x14ac:dyDescent="0.35">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1">
        <v>42064</v>
      </c>
      <c r="U1047" s="1">
        <v>42066</v>
      </c>
      <c r="V1047">
        <v>4407.4399999999996</v>
      </c>
      <c r="W1047">
        <v>15</v>
      </c>
      <c r="X1047">
        <v>7029.1</v>
      </c>
      <c r="Y1047">
        <v>87378</v>
      </c>
    </row>
    <row r="1048" spans="1:25" x14ac:dyDescent="0.35">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1">
        <v>42111</v>
      </c>
      <c r="U1048" s="1">
        <v>42115</v>
      </c>
      <c r="V1048">
        <v>-1025.0172</v>
      </c>
      <c r="W1048">
        <v>14</v>
      </c>
      <c r="X1048">
        <v>1059.3800000000001</v>
      </c>
      <c r="Y1048">
        <v>90631</v>
      </c>
    </row>
    <row r="1049" spans="1:25" x14ac:dyDescent="0.35">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1">
        <v>42099</v>
      </c>
      <c r="U1049" s="1">
        <v>42101</v>
      </c>
      <c r="V1049">
        <v>429.75435600000003</v>
      </c>
      <c r="W1049">
        <v>7</v>
      </c>
      <c r="X1049">
        <v>2233.46</v>
      </c>
      <c r="Y1049">
        <v>90630</v>
      </c>
    </row>
    <row r="1050" spans="1:25" x14ac:dyDescent="0.35">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1">
        <v>42120</v>
      </c>
      <c r="U1050" s="1">
        <v>42124</v>
      </c>
      <c r="V1050">
        <v>588.54</v>
      </c>
      <c r="W1050">
        <v>5</v>
      </c>
      <c r="X1050">
        <v>928.92</v>
      </c>
      <c r="Y1050">
        <v>91262</v>
      </c>
    </row>
    <row r="1051" spans="1:25" x14ac:dyDescent="0.35">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1">
        <v>42059</v>
      </c>
      <c r="U1051" s="1">
        <v>42060</v>
      </c>
      <c r="V1051">
        <v>2653.2914999999998</v>
      </c>
      <c r="W1051">
        <v>12</v>
      </c>
      <c r="X1051">
        <v>3845.35</v>
      </c>
      <c r="Y1051">
        <v>91261</v>
      </c>
    </row>
    <row r="1052" spans="1:25" x14ac:dyDescent="0.35">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1">
        <v>42059</v>
      </c>
      <c r="U1052" s="1">
        <v>42061</v>
      </c>
      <c r="V1052">
        <v>-1.84</v>
      </c>
      <c r="W1052">
        <v>1</v>
      </c>
      <c r="X1052">
        <v>3.77</v>
      </c>
      <c r="Y1052">
        <v>91261</v>
      </c>
    </row>
    <row r="1053" spans="1:25" x14ac:dyDescent="0.35">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1">
        <v>42081</v>
      </c>
      <c r="U1053" s="1">
        <v>42082</v>
      </c>
      <c r="V1053">
        <v>237.04259999999999</v>
      </c>
      <c r="W1053">
        <v>13</v>
      </c>
      <c r="X1053">
        <v>343.54</v>
      </c>
      <c r="Y1053">
        <v>91263</v>
      </c>
    </row>
    <row r="1054" spans="1:25" x14ac:dyDescent="0.35">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1">
        <v>42141</v>
      </c>
      <c r="U1054" s="1">
        <v>42141</v>
      </c>
      <c r="V1054">
        <v>2502.6851999999999</v>
      </c>
      <c r="W1054">
        <v>22</v>
      </c>
      <c r="X1054">
        <v>3627.08</v>
      </c>
      <c r="Y1054">
        <v>86500</v>
      </c>
    </row>
    <row r="1055" spans="1:25" x14ac:dyDescent="0.35">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1">
        <v>42141</v>
      </c>
      <c r="U1055" s="1">
        <v>42150</v>
      </c>
      <c r="V1055">
        <v>0.68800000000000017</v>
      </c>
      <c r="W1055">
        <v>1</v>
      </c>
      <c r="X1055">
        <v>8.34</v>
      </c>
      <c r="Y1055">
        <v>86500</v>
      </c>
    </row>
    <row r="1056" spans="1:25" x14ac:dyDescent="0.35">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1">
        <v>42005</v>
      </c>
      <c r="U1056" s="1">
        <v>42006</v>
      </c>
      <c r="V1056">
        <v>36.905999999999999</v>
      </c>
      <c r="W1056">
        <v>2</v>
      </c>
      <c r="X1056">
        <v>63.32</v>
      </c>
      <c r="Y1056">
        <v>91371</v>
      </c>
    </row>
    <row r="1057" spans="1:25" x14ac:dyDescent="0.35">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1">
        <v>42062</v>
      </c>
      <c r="U1057" s="1">
        <v>42063</v>
      </c>
      <c r="V1057">
        <v>-216.02980000000002</v>
      </c>
      <c r="W1057">
        <v>7</v>
      </c>
      <c r="X1057">
        <v>83.72</v>
      </c>
      <c r="Y1057">
        <v>85893</v>
      </c>
    </row>
    <row r="1058" spans="1:25" x14ac:dyDescent="0.35">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1">
        <v>42110</v>
      </c>
      <c r="U1058" s="1">
        <v>42112</v>
      </c>
      <c r="V1058">
        <v>-45.471999999999994</v>
      </c>
      <c r="W1058">
        <v>9</v>
      </c>
      <c r="X1058">
        <v>1011.44</v>
      </c>
      <c r="Y1058">
        <v>85895</v>
      </c>
    </row>
    <row r="1059" spans="1:25" x14ac:dyDescent="0.35">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1">
        <v>42090</v>
      </c>
      <c r="U1059" s="1">
        <v>42091</v>
      </c>
      <c r="V1059">
        <v>16.136400000000002</v>
      </c>
      <c r="W1059">
        <v>7</v>
      </c>
      <c r="X1059">
        <v>132.22999999999999</v>
      </c>
      <c r="Y1059">
        <v>85894</v>
      </c>
    </row>
    <row r="1060" spans="1:25" x14ac:dyDescent="0.35">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1">
        <v>42064</v>
      </c>
      <c r="U1060" s="1">
        <v>42066</v>
      </c>
      <c r="V1060">
        <v>-29.61</v>
      </c>
      <c r="W1060">
        <v>10</v>
      </c>
      <c r="X1060">
        <v>210.33</v>
      </c>
      <c r="Y1060">
        <v>85897</v>
      </c>
    </row>
    <row r="1061" spans="1:25" x14ac:dyDescent="0.35">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1">
        <v>42098</v>
      </c>
      <c r="U1061" s="1">
        <v>42105</v>
      </c>
      <c r="V1061">
        <v>125.72399999999999</v>
      </c>
      <c r="W1061">
        <v>17</v>
      </c>
      <c r="X1061">
        <v>168.04</v>
      </c>
      <c r="Y1061">
        <v>85898</v>
      </c>
    </row>
    <row r="1062" spans="1:25" x14ac:dyDescent="0.35">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1">
        <v>42059</v>
      </c>
      <c r="U1062" s="1">
        <v>42060</v>
      </c>
      <c r="V1062">
        <v>114.88199999999999</v>
      </c>
      <c r="W1062">
        <v>5</v>
      </c>
      <c r="X1062">
        <v>882.93</v>
      </c>
      <c r="Y1062">
        <v>85896</v>
      </c>
    </row>
    <row r="1063" spans="1:25" x14ac:dyDescent="0.35">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1">
        <v>42041</v>
      </c>
      <c r="U1063" s="1">
        <v>42041</v>
      </c>
      <c r="V1063">
        <v>-14.448</v>
      </c>
      <c r="W1063">
        <v>8</v>
      </c>
      <c r="X1063">
        <v>1757.15</v>
      </c>
      <c r="Y1063">
        <v>88579</v>
      </c>
    </row>
    <row r="1064" spans="1:25" x14ac:dyDescent="0.35">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1">
        <v>42025</v>
      </c>
      <c r="U1064" s="1">
        <v>42025</v>
      </c>
      <c r="V1064">
        <v>-42.545999999999999</v>
      </c>
      <c r="W1064">
        <v>1</v>
      </c>
      <c r="X1064">
        <v>1786.04</v>
      </c>
      <c r="Y1064">
        <v>88580</v>
      </c>
    </row>
    <row r="1065" spans="1:25" x14ac:dyDescent="0.35">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1">
        <v>42113</v>
      </c>
      <c r="U1065" s="1">
        <v>42117</v>
      </c>
      <c r="V1065">
        <v>14</v>
      </c>
      <c r="W1065">
        <v>10</v>
      </c>
      <c r="X1065">
        <v>34.76</v>
      </c>
      <c r="Y1065">
        <v>86687</v>
      </c>
    </row>
    <row r="1066" spans="1:25" x14ac:dyDescent="0.35">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1">
        <v>42154</v>
      </c>
      <c r="U1066" s="1">
        <v>42154</v>
      </c>
      <c r="V1066">
        <v>52.988000000000056</v>
      </c>
      <c r="W1066">
        <v>3</v>
      </c>
      <c r="X1066">
        <v>561.65</v>
      </c>
      <c r="Y1066">
        <v>86688</v>
      </c>
    </row>
    <row r="1067" spans="1:25" x14ac:dyDescent="0.35">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1">
        <v>42102</v>
      </c>
      <c r="U1067" s="1">
        <v>42104</v>
      </c>
      <c r="V1067">
        <v>285.47370000000001</v>
      </c>
      <c r="W1067">
        <v>9</v>
      </c>
      <c r="X1067">
        <v>413.73</v>
      </c>
      <c r="Y1067">
        <v>86686</v>
      </c>
    </row>
    <row r="1068" spans="1:25" x14ac:dyDescent="0.35">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1">
        <v>42154</v>
      </c>
      <c r="U1068" s="1">
        <v>42160</v>
      </c>
      <c r="V1068">
        <v>10.50800000000001</v>
      </c>
      <c r="W1068">
        <v>2</v>
      </c>
      <c r="X1068">
        <v>55.6</v>
      </c>
      <c r="Y1068">
        <v>86688</v>
      </c>
    </row>
    <row r="1069" spans="1:25" x14ac:dyDescent="0.35">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1">
        <v>42154</v>
      </c>
      <c r="U1069" s="1">
        <v>42159</v>
      </c>
      <c r="V1069">
        <v>1448.7309</v>
      </c>
      <c r="W1069">
        <v>19</v>
      </c>
      <c r="X1069">
        <v>2099.61</v>
      </c>
      <c r="Y1069">
        <v>86688</v>
      </c>
    </row>
    <row r="1070" spans="1:25" x14ac:dyDescent="0.35">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1">
        <v>42154</v>
      </c>
      <c r="U1070" s="1">
        <v>42162</v>
      </c>
      <c r="V1070">
        <v>1.0040000000000004</v>
      </c>
      <c r="W1070">
        <v>23</v>
      </c>
      <c r="X1070">
        <v>96.6</v>
      </c>
      <c r="Y1070">
        <v>86688</v>
      </c>
    </row>
    <row r="1071" spans="1:25" x14ac:dyDescent="0.35">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1">
        <v>42085</v>
      </c>
      <c r="U1071" s="1">
        <v>42086</v>
      </c>
      <c r="V1071">
        <v>-521.09</v>
      </c>
      <c r="W1071">
        <v>4</v>
      </c>
      <c r="X1071">
        <v>558.16999999999996</v>
      </c>
      <c r="Y1071">
        <v>88870</v>
      </c>
    </row>
    <row r="1072" spans="1:25" x14ac:dyDescent="0.35">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1">
        <v>42085</v>
      </c>
      <c r="U1072" s="1">
        <v>42087</v>
      </c>
      <c r="V1072">
        <v>-29.49</v>
      </c>
      <c r="W1072">
        <v>1</v>
      </c>
      <c r="X1072">
        <v>8.39</v>
      </c>
      <c r="Y1072">
        <v>88870</v>
      </c>
    </row>
    <row r="1073" spans="1:25" x14ac:dyDescent="0.35">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1">
        <v>42113</v>
      </c>
      <c r="U1073" s="1">
        <v>42120</v>
      </c>
      <c r="V1073">
        <v>386.00669999999991</v>
      </c>
      <c r="W1073">
        <v>7</v>
      </c>
      <c r="X1073">
        <v>559.42999999999995</v>
      </c>
      <c r="Y1073">
        <v>88871</v>
      </c>
    </row>
    <row r="1074" spans="1:25" x14ac:dyDescent="0.35">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1">
        <v>42113</v>
      </c>
      <c r="U1074" s="1">
        <v>42118</v>
      </c>
      <c r="V1074">
        <v>-1867.97</v>
      </c>
      <c r="W1074">
        <v>10</v>
      </c>
      <c r="X1074">
        <v>1216.52</v>
      </c>
      <c r="Y1074">
        <v>88871</v>
      </c>
    </row>
    <row r="1075" spans="1:25" x14ac:dyDescent="0.35">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1">
        <v>42030</v>
      </c>
      <c r="U1075" s="1">
        <v>42032</v>
      </c>
      <c r="V1075">
        <v>-1920.9336000000001</v>
      </c>
      <c r="W1075">
        <v>12</v>
      </c>
      <c r="X1075">
        <v>1058.3599999999999</v>
      </c>
      <c r="Y1075">
        <v>86331</v>
      </c>
    </row>
    <row r="1076" spans="1:25" x14ac:dyDescent="0.35">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1">
        <v>42030</v>
      </c>
      <c r="U1076" s="1">
        <v>42032</v>
      </c>
      <c r="V1076">
        <v>-37.175200000000004</v>
      </c>
      <c r="W1076">
        <v>3</v>
      </c>
      <c r="X1076">
        <v>18.309999999999999</v>
      </c>
      <c r="Y1076">
        <v>86331</v>
      </c>
    </row>
    <row r="1077" spans="1:25" x14ac:dyDescent="0.35">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1">
        <v>42036</v>
      </c>
      <c r="U1077" s="1">
        <v>42040</v>
      </c>
      <c r="V1077">
        <v>-213.40280000000001</v>
      </c>
      <c r="W1077">
        <v>12</v>
      </c>
      <c r="X1077">
        <v>4935.22</v>
      </c>
      <c r="Y1077">
        <v>90415</v>
      </c>
    </row>
    <row r="1078" spans="1:25" x14ac:dyDescent="0.35">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1">
        <v>42010</v>
      </c>
      <c r="U1078" s="1">
        <v>42012</v>
      </c>
      <c r="V1078">
        <v>-15.48</v>
      </c>
      <c r="W1078">
        <v>7</v>
      </c>
      <c r="X1078">
        <v>51.03</v>
      </c>
      <c r="Y1078">
        <v>90414</v>
      </c>
    </row>
    <row r="1079" spans="1:25" x14ac:dyDescent="0.35">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1">
        <v>42174</v>
      </c>
      <c r="U1079" s="1">
        <v>42176</v>
      </c>
      <c r="V1079">
        <v>-50.244999999999997</v>
      </c>
      <c r="W1079">
        <v>19</v>
      </c>
      <c r="X1079">
        <v>746.91</v>
      </c>
      <c r="Y1079">
        <v>89820</v>
      </c>
    </row>
    <row r="1080" spans="1:25" x14ac:dyDescent="0.35">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1">
        <v>42101</v>
      </c>
      <c r="U1080" s="1">
        <v>42103</v>
      </c>
      <c r="V1080">
        <v>-387.1044</v>
      </c>
      <c r="W1080">
        <v>1</v>
      </c>
      <c r="X1080">
        <v>77.47</v>
      </c>
      <c r="Y1080">
        <v>89818</v>
      </c>
    </row>
    <row r="1081" spans="1:25" x14ac:dyDescent="0.35">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1">
        <v>42173</v>
      </c>
      <c r="U1081" s="1">
        <v>42177</v>
      </c>
      <c r="V1081">
        <v>-55.97</v>
      </c>
      <c r="W1081">
        <v>7</v>
      </c>
      <c r="X1081">
        <v>204.34</v>
      </c>
      <c r="Y1081">
        <v>89819</v>
      </c>
    </row>
    <row r="1082" spans="1:25" x14ac:dyDescent="0.35">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1">
        <v>42026</v>
      </c>
      <c r="U1082" s="1">
        <v>42026</v>
      </c>
      <c r="V1082">
        <v>-66.247299999999996</v>
      </c>
      <c r="W1082">
        <v>9</v>
      </c>
      <c r="X1082">
        <v>206.04</v>
      </c>
      <c r="Y1082">
        <v>28225</v>
      </c>
    </row>
    <row r="1083" spans="1:25" x14ac:dyDescent="0.35">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1">
        <v>42112</v>
      </c>
      <c r="U1083" s="1">
        <v>42121</v>
      </c>
      <c r="V1083">
        <v>-171.15770000000001</v>
      </c>
      <c r="W1083">
        <v>43</v>
      </c>
      <c r="X1083">
        <v>475.42</v>
      </c>
      <c r="Y1083">
        <v>26342</v>
      </c>
    </row>
    <row r="1084" spans="1:25" x14ac:dyDescent="0.35">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1">
        <v>42112</v>
      </c>
      <c r="U1084" s="1">
        <v>42117</v>
      </c>
      <c r="V1084">
        <v>624.23900000000003</v>
      </c>
      <c r="W1084">
        <v>74</v>
      </c>
      <c r="X1084">
        <v>3598.82</v>
      </c>
      <c r="Y1084">
        <v>26342</v>
      </c>
    </row>
    <row r="1085" spans="1:25" x14ac:dyDescent="0.35">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1">
        <v>42112</v>
      </c>
      <c r="U1085" s="1">
        <v>42119</v>
      </c>
      <c r="V1085">
        <v>-14.3241</v>
      </c>
      <c r="W1085">
        <v>5</v>
      </c>
      <c r="X1085">
        <v>41.22</v>
      </c>
      <c r="Y1085">
        <v>26342</v>
      </c>
    </row>
    <row r="1086" spans="1:25" x14ac:dyDescent="0.35">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1">
        <v>42112</v>
      </c>
      <c r="U1086" s="1">
        <v>42117</v>
      </c>
      <c r="V1086">
        <v>604.01909999999998</v>
      </c>
      <c r="W1086">
        <v>18</v>
      </c>
      <c r="X1086">
        <v>875.39</v>
      </c>
      <c r="Y1086">
        <v>88857</v>
      </c>
    </row>
    <row r="1087" spans="1:25" x14ac:dyDescent="0.35">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1">
        <v>42112</v>
      </c>
      <c r="U1087" s="1">
        <v>42119</v>
      </c>
      <c r="V1087">
        <v>-11.631599999999999</v>
      </c>
      <c r="W1087">
        <v>1</v>
      </c>
      <c r="X1087">
        <v>8.24</v>
      </c>
      <c r="Y1087">
        <v>88857</v>
      </c>
    </row>
    <row r="1088" spans="1:25" x14ac:dyDescent="0.35">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1">
        <v>42081</v>
      </c>
      <c r="U1088" s="1">
        <v>42082</v>
      </c>
      <c r="V1088">
        <v>442.36589999999995</v>
      </c>
      <c r="W1088">
        <v>8</v>
      </c>
      <c r="X1088">
        <v>641.11</v>
      </c>
      <c r="Y1088">
        <v>89456</v>
      </c>
    </row>
    <row r="1089" spans="1:25" x14ac:dyDescent="0.35">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1">
        <v>42022</v>
      </c>
      <c r="U1089" s="1">
        <v>42023</v>
      </c>
      <c r="V1089">
        <v>-259.75599999999997</v>
      </c>
      <c r="W1089">
        <v>3</v>
      </c>
      <c r="X1089">
        <v>35.479999999999997</v>
      </c>
      <c r="Y1089">
        <v>91550</v>
      </c>
    </row>
    <row r="1090" spans="1:25" x14ac:dyDescent="0.35">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1">
        <v>42022</v>
      </c>
      <c r="U1090" s="1">
        <v>42024</v>
      </c>
      <c r="V1090">
        <v>1469.7275999999999</v>
      </c>
      <c r="W1090">
        <v>6</v>
      </c>
      <c r="X1090">
        <v>2130.04</v>
      </c>
      <c r="Y1090">
        <v>91550</v>
      </c>
    </row>
    <row r="1091" spans="1:25" x14ac:dyDescent="0.35">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1">
        <v>42022</v>
      </c>
      <c r="U1091" s="1">
        <v>42024</v>
      </c>
      <c r="V1091">
        <v>-83.553060000000002</v>
      </c>
      <c r="W1091">
        <v>5</v>
      </c>
      <c r="X1091">
        <v>82.8</v>
      </c>
      <c r="Y1091">
        <v>91550</v>
      </c>
    </row>
    <row r="1092" spans="1:25" x14ac:dyDescent="0.35">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1">
        <v>42144</v>
      </c>
      <c r="U1092" s="1">
        <v>42145</v>
      </c>
      <c r="V1092">
        <v>-16.89</v>
      </c>
      <c r="W1092">
        <v>5</v>
      </c>
      <c r="X1092">
        <v>99.02</v>
      </c>
      <c r="Y1092">
        <v>89040</v>
      </c>
    </row>
    <row r="1093" spans="1:25" x14ac:dyDescent="0.35">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1">
        <v>42144</v>
      </c>
      <c r="U1093" s="1">
        <v>42145</v>
      </c>
      <c r="V1093">
        <v>25.51</v>
      </c>
      <c r="W1093">
        <v>3</v>
      </c>
      <c r="X1093">
        <v>46.4</v>
      </c>
      <c r="Y1093">
        <v>89040</v>
      </c>
    </row>
    <row r="1094" spans="1:25" x14ac:dyDescent="0.35">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1">
        <v>42014</v>
      </c>
      <c r="U1094" s="1">
        <v>42015</v>
      </c>
      <c r="V1094">
        <v>-850.65239999999994</v>
      </c>
      <c r="W1094">
        <v>8</v>
      </c>
      <c r="X1094">
        <v>551.51</v>
      </c>
      <c r="Y1094">
        <v>89039</v>
      </c>
    </row>
    <row r="1095" spans="1:25" x14ac:dyDescent="0.35">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1">
        <v>42014</v>
      </c>
      <c r="U1095" s="1">
        <v>42016</v>
      </c>
      <c r="V1095">
        <v>98.525099999999981</v>
      </c>
      <c r="W1095">
        <v>12</v>
      </c>
      <c r="X1095">
        <v>142.79</v>
      </c>
      <c r="Y1095">
        <v>89039</v>
      </c>
    </row>
    <row r="1096" spans="1:25" x14ac:dyDescent="0.35">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1">
        <v>42086</v>
      </c>
      <c r="U1096" s="1">
        <v>42088</v>
      </c>
      <c r="V1096">
        <v>214.23</v>
      </c>
      <c r="W1096">
        <v>14</v>
      </c>
      <c r="X1096">
        <v>585.08000000000004</v>
      </c>
      <c r="Y1096">
        <v>89041</v>
      </c>
    </row>
    <row r="1097" spans="1:25" x14ac:dyDescent="0.35">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1">
        <v>42129</v>
      </c>
      <c r="U1097" s="1">
        <v>42130</v>
      </c>
      <c r="V1097">
        <v>21.883400000000023</v>
      </c>
      <c r="W1097">
        <v>4</v>
      </c>
      <c r="X1097">
        <v>72.75</v>
      </c>
      <c r="Y1097">
        <v>87757</v>
      </c>
    </row>
    <row r="1098" spans="1:25" x14ac:dyDescent="0.35">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1">
        <v>42140</v>
      </c>
      <c r="U1098" s="1">
        <v>42140</v>
      </c>
      <c r="V1098">
        <v>290.202</v>
      </c>
      <c r="W1098">
        <v>38</v>
      </c>
      <c r="X1098">
        <v>269.33</v>
      </c>
      <c r="Y1098">
        <v>91258</v>
      </c>
    </row>
    <row r="1099" spans="1:25" x14ac:dyDescent="0.35">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1">
        <v>42130</v>
      </c>
      <c r="U1099" s="1">
        <v>42131</v>
      </c>
      <c r="V1099">
        <v>12.146000000000008</v>
      </c>
      <c r="W1099">
        <v>23</v>
      </c>
      <c r="X1099">
        <v>377</v>
      </c>
      <c r="Y1099">
        <v>90888</v>
      </c>
    </row>
    <row r="1100" spans="1:25" x14ac:dyDescent="0.35">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1">
        <v>42130</v>
      </c>
      <c r="U1100" s="1">
        <v>42132</v>
      </c>
      <c r="V1100">
        <v>5.6870000000000083</v>
      </c>
      <c r="W1100">
        <v>4</v>
      </c>
      <c r="X1100">
        <v>42.99</v>
      </c>
      <c r="Y1100">
        <v>90888</v>
      </c>
    </row>
    <row r="1101" spans="1:25" x14ac:dyDescent="0.35">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1">
        <v>42007</v>
      </c>
      <c r="U1101" s="1">
        <v>42008</v>
      </c>
      <c r="V1101">
        <v>-181.102</v>
      </c>
      <c r="W1101">
        <v>3</v>
      </c>
      <c r="X1101">
        <v>65.69</v>
      </c>
      <c r="Y1101">
        <v>89999</v>
      </c>
    </row>
    <row r="1102" spans="1:25" x14ac:dyDescent="0.35">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1">
        <v>42025</v>
      </c>
      <c r="U1102" s="1">
        <v>42026</v>
      </c>
      <c r="V1102">
        <v>882.93000000000006</v>
      </c>
      <c r="W1102">
        <v>8</v>
      </c>
      <c r="X1102">
        <v>2748.21</v>
      </c>
      <c r="Y1102">
        <v>90000</v>
      </c>
    </row>
    <row r="1103" spans="1:25" x14ac:dyDescent="0.35">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1">
        <v>42025</v>
      </c>
      <c r="U1103" s="1">
        <v>42026</v>
      </c>
      <c r="V1103">
        <v>6.6803999999999988</v>
      </c>
      <c r="W1103">
        <v>5</v>
      </c>
      <c r="X1103">
        <v>93.19</v>
      </c>
      <c r="Y1103">
        <v>90000</v>
      </c>
    </row>
    <row r="1104" spans="1:25" x14ac:dyDescent="0.35">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1">
        <v>42139</v>
      </c>
      <c r="U1104" s="1">
        <v>42140</v>
      </c>
      <c r="V1104">
        <v>46.29</v>
      </c>
      <c r="W1104">
        <v>11</v>
      </c>
      <c r="X1104">
        <v>363.37</v>
      </c>
      <c r="Y1104">
        <v>90001</v>
      </c>
    </row>
    <row r="1105" spans="1:25" x14ac:dyDescent="0.35">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1">
        <v>42139</v>
      </c>
      <c r="U1105" s="1">
        <v>42142</v>
      </c>
      <c r="V1105">
        <v>177.79</v>
      </c>
      <c r="W1105">
        <v>11</v>
      </c>
      <c r="X1105">
        <v>480.75</v>
      </c>
      <c r="Y1105">
        <v>90001</v>
      </c>
    </row>
    <row r="1106" spans="1:25" x14ac:dyDescent="0.35">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1">
        <v>42124</v>
      </c>
      <c r="U1106" s="1">
        <v>42124</v>
      </c>
      <c r="V1106">
        <v>-14.990400000000001</v>
      </c>
      <c r="W1106">
        <v>11</v>
      </c>
      <c r="X1106">
        <v>16.88</v>
      </c>
      <c r="Y1106">
        <v>90003</v>
      </c>
    </row>
    <row r="1107" spans="1:25" x14ac:dyDescent="0.35">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1">
        <v>42057</v>
      </c>
      <c r="U1107" s="1">
        <v>42059</v>
      </c>
      <c r="V1107">
        <v>638.38109999999995</v>
      </c>
      <c r="W1107">
        <v>18</v>
      </c>
      <c r="X1107">
        <v>925.19</v>
      </c>
      <c r="Y1107">
        <v>90002</v>
      </c>
    </row>
    <row r="1108" spans="1:25" x14ac:dyDescent="0.35">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1">
        <v>42029</v>
      </c>
      <c r="U1108" s="1">
        <v>42032</v>
      </c>
      <c r="V1108">
        <v>17.652000000000001</v>
      </c>
      <c r="W1108">
        <v>4</v>
      </c>
      <c r="X1108">
        <v>408.66</v>
      </c>
      <c r="Y1108">
        <v>90333</v>
      </c>
    </row>
    <row r="1109" spans="1:25" x14ac:dyDescent="0.35">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1">
        <v>42131</v>
      </c>
      <c r="U1109" s="1">
        <v>42132</v>
      </c>
      <c r="V1109">
        <v>739.67399999999998</v>
      </c>
      <c r="W1109">
        <v>7</v>
      </c>
      <c r="X1109">
        <v>122.93</v>
      </c>
      <c r="Y1109">
        <v>90334</v>
      </c>
    </row>
    <row r="1110" spans="1:25" x14ac:dyDescent="0.35">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1">
        <v>42157</v>
      </c>
      <c r="U1110" s="1">
        <v>42157</v>
      </c>
      <c r="V1110">
        <v>-23.155999999999999</v>
      </c>
      <c r="W1110">
        <v>1</v>
      </c>
      <c r="X1110">
        <v>32.659999999999997</v>
      </c>
      <c r="Y1110">
        <v>90335</v>
      </c>
    </row>
    <row r="1111" spans="1:25" x14ac:dyDescent="0.35">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1">
        <v>42158</v>
      </c>
      <c r="U1111" s="1">
        <v>42160</v>
      </c>
      <c r="V1111">
        <v>-10.435</v>
      </c>
      <c r="W1111">
        <v>3</v>
      </c>
      <c r="X1111">
        <v>14.85</v>
      </c>
      <c r="Y1111">
        <v>90568</v>
      </c>
    </row>
    <row r="1112" spans="1:25" x14ac:dyDescent="0.35">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1">
        <v>42111</v>
      </c>
      <c r="U1112" s="1">
        <v>42113</v>
      </c>
      <c r="V1112">
        <v>-78.916679999999999</v>
      </c>
      <c r="W1112">
        <v>10</v>
      </c>
      <c r="X1112">
        <v>45</v>
      </c>
      <c r="Y1112">
        <v>91277</v>
      </c>
    </row>
    <row r="1113" spans="1:25" x14ac:dyDescent="0.35">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1">
        <v>42111</v>
      </c>
      <c r="U1113" s="1">
        <v>42113</v>
      </c>
      <c r="V1113">
        <v>-13562.637407999999</v>
      </c>
      <c r="W1113">
        <v>1</v>
      </c>
      <c r="X1113">
        <v>6569.07</v>
      </c>
      <c r="Y1113">
        <v>91277</v>
      </c>
    </row>
    <row r="1114" spans="1:25" x14ac:dyDescent="0.35">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1">
        <v>42068</v>
      </c>
      <c r="U1114" s="1">
        <v>42069</v>
      </c>
      <c r="V1114">
        <v>-63.35</v>
      </c>
      <c r="W1114">
        <v>15</v>
      </c>
      <c r="X1114">
        <v>88.22</v>
      </c>
      <c r="Y1114">
        <v>88798</v>
      </c>
    </row>
    <row r="1115" spans="1:25" x14ac:dyDescent="0.35">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1">
        <v>42173</v>
      </c>
      <c r="U1115" s="1">
        <v>42174</v>
      </c>
      <c r="V1115">
        <v>-8.9039999999999999</v>
      </c>
      <c r="W1115">
        <v>4</v>
      </c>
      <c r="X1115">
        <v>40.29</v>
      </c>
      <c r="Y1115">
        <v>86874</v>
      </c>
    </row>
    <row r="1116" spans="1:25" x14ac:dyDescent="0.35">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1">
        <v>42085</v>
      </c>
      <c r="U1116" s="1">
        <v>42087</v>
      </c>
      <c r="V1116">
        <v>88.72</v>
      </c>
      <c r="W1116">
        <v>4</v>
      </c>
      <c r="X1116">
        <v>151.27000000000001</v>
      </c>
      <c r="Y1116">
        <v>88367</v>
      </c>
    </row>
    <row r="1117" spans="1:25" x14ac:dyDescent="0.35">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1">
        <v>42085</v>
      </c>
      <c r="U1117" s="1">
        <v>42087</v>
      </c>
      <c r="V1117">
        <v>7.2518999999999991</v>
      </c>
      <c r="W1117">
        <v>2</v>
      </c>
      <c r="X1117">
        <v>10.51</v>
      </c>
      <c r="Y1117">
        <v>88367</v>
      </c>
    </row>
    <row r="1118" spans="1:25" x14ac:dyDescent="0.35">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1">
        <v>42098</v>
      </c>
      <c r="U1118" s="1">
        <v>42098</v>
      </c>
      <c r="V1118">
        <v>-191.49</v>
      </c>
      <c r="W1118">
        <v>12</v>
      </c>
      <c r="X1118">
        <v>74.930000000000007</v>
      </c>
      <c r="Y1118">
        <v>88368</v>
      </c>
    </row>
    <row r="1119" spans="1:25" x14ac:dyDescent="0.35">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1">
        <v>42048</v>
      </c>
      <c r="U1119" s="1">
        <v>42050</v>
      </c>
      <c r="V1119">
        <v>-1330.5</v>
      </c>
      <c r="W1119">
        <v>11</v>
      </c>
      <c r="X1119">
        <v>1370.99</v>
      </c>
      <c r="Y1119">
        <v>86933</v>
      </c>
    </row>
    <row r="1120" spans="1:25" x14ac:dyDescent="0.35">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1">
        <v>42080</v>
      </c>
      <c r="U1120" s="1">
        <v>42080</v>
      </c>
      <c r="V1120">
        <v>1320.5495999999998</v>
      </c>
      <c r="W1120">
        <v>16</v>
      </c>
      <c r="X1120">
        <v>1913.84</v>
      </c>
      <c r="Y1120">
        <v>91059</v>
      </c>
    </row>
    <row r="1121" spans="1:25" x14ac:dyDescent="0.35">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1">
        <v>42080</v>
      </c>
      <c r="U1121" s="1">
        <v>42082</v>
      </c>
      <c r="V1121">
        <v>1585.5030000000002</v>
      </c>
      <c r="W1121">
        <v>16</v>
      </c>
      <c r="X1121">
        <v>2692.12</v>
      </c>
      <c r="Y1121">
        <v>91059</v>
      </c>
    </row>
    <row r="1122" spans="1:25" x14ac:dyDescent="0.35">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1">
        <v>42081</v>
      </c>
      <c r="U1122" s="1">
        <v>42083</v>
      </c>
      <c r="V1122">
        <v>526.04219999999998</v>
      </c>
      <c r="W1122">
        <v>13</v>
      </c>
      <c r="X1122">
        <v>762.38</v>
      </c>
      <c r="Y1122">
        <v>91060</v>
      </c>
    </row>
    <row r="1123" spans="1:25" x14ac:dyDescent="0.35">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1">
        <v>42142</v>
      </c>
      <c r="U1123" s="1">
        <v>42144</v>
      </c>
      <c r="V1123">
        <v>-40.432000000000002</v>
      </c>
      <c r="W1123">
        <v>20</v>
      </c>
      <c r="X1123">
        <v>36.72</v>
      </c>
      <c r="Y1123">
        <v>87117</v>
      </c>
    </row>
    <row r="1124" spans="1:25" x14ac:dyDescent="0.35">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1">
        <v>42075</v>
      </c>
      <c r="U1124" s="1">
        <v>42077</v>
      </c>
      <c r="V1124">
        <v>-88.61</v>
      </c>
      <c r="W1124">
        <v>4</v>
      </c>
      <c r="X1124">
        <v>305.70999999999998</v>
      </c>
      <c r="Y1124">
        <v>89333</v>
      </c>
    </row>
    <row r="1125" spans="1:25" x14ac:dyDescent="0.35">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1">
        <v>42115</v>
      </c>
      <c r="U1125" s="1">
        <v>42115</v>
      </c>
      <c r="V1125">
        <v>109.16</v>
      </c>
      <c r="W1125">
        <v>7</v>
      </c>
      <c r="X1125">
        <v>277.12</v>
      </c>
      <c r="Y1125">
        <v>89334</v>
      </c>
    </row>
    <row r="1126" spans="1:25" x14ac:dyDescent="0.35">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1">
        <v>42179</v>
      </c>
      <c r="U1126" s="1">
        <v>42186</v>
      </c>
      <c r="V1126">
        <v>-136.12200000000001</v>
      </c>
      <c r="W1126">
        <v>6</v>
      </c>
      <c r="X1126">
        <v>100.11</v>
      </c>
      <c r="Y1126">
        <v>88692</v>
      </c>
    </row>
    <row r="1127" spans="1:25" x14ac:dyDescent="0.35">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1">
        <v>42167</v>
      </c>
      <c r="U1127" s="1">
        <v>42169</v>
      </c>
      <c r="V1127">
        <v>-27.375</v>
      </c>
      <c r="W1127">
        <v>7</v>
      </c>
      <c r="X1127">
        <v>31.54</v>
      </c>
      <c r="Y1127">
        <v>88219</v>
      </c>
    </row>
    <row r="1128" spans="1:25" x14ac:dyDescent="0.35">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1">
        <v>42167</v>
      </c>
      <c r="U1128" s="1">
        <v>42169</v>
      </c>
      <c r="V1128">
        <v>-435.75749999999999</v>
      </c>
      <c r="W1128">
        <v>13</v>
      </c>
      <c r="X1128">
        <v>4634.6899999999996</v>
      </c>
      <c r="Y1128">
        <v>88219</v>
      </c>
    </row>
    <row r="1129" spans="1:25" x14ac:dyDescent="0.35">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1">
        <v>42167</v>
      </c>
      <c r="U1129" s="1">
        <v>42168</v>
      </c>
      <c r="V1129">
        <v>682.53</v>
      </c>
      <c r="W1129">
        <v>17</v>
      </c>
      <c r="X1129">
        <v>7304.03</v>
      </c>
      <c r="Y1129">
        <v>88219</v>
      </c>
    </row>
    <row r="1130" spans="1:25" x14ac:dyDescent="0.35">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1">
        <v>42167</v>
      </c>
      <c r="U1130" s="1">
        <v>42169</v>
      </c>
      <c r="V1130">
        <v>-277.22200000000004</v>
      </c>
      <c r="W1130">
        <v>4</v>
      </c>
      <c r="X1130">
        <v>632.65</v>
      </c>
      <c r="Y1130">
        <v>88219</v>
      </c>
    </row>
    <row r="1131" spans="1:25" x14ac:dyDescent="0.35">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1">
        <v>42176</v>
      </c>
      <c r="U1131" s="1">
        <v>42178</v>
      </c>
      <c r="V1131">
        <v>-266.68600000000004</v>
      </c>
      <c r="W1131">
        <v>19</v>
      </c>
      <c r="X1131">
        <v>290.98</v>
      </c>
      <c r="Y1131">
        <v>88220</v>
      </c>
    </row>
    <row r="1132" spans="1:25" x14ac:dyDescent="0.35">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1">
        <v>42176</v>
      </c>
      <c r="U1132" s="1">
        <v>42179</v>
      </c>
      <c r="V1132">
        <v>-12.277999999999999</v>
      </c>
      <c r="W1132">
        <v>13</v>
      </c>
      <c r="X1132">
        <v>21.77</v>
      </c>
      <c r="Y1132">
        <v>88220</v>
      </c>
    </row>
    <row r="1133" spans="1:25" x14ac:dyDescent="0.35">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1">
        <v>42054</v>
      </c>
      <c r="U1133" s="1">
        <v>42056</v>
      </c>
      <c r="V1133">
        <v>265.11180000000002</v>
      </c>
      <c r="W1133">
        <v>13</v>
      </c>
      <c r="X1133">
        <v>384.22</v>
      </c>
      <c r="Y1133">
        <v>87234</v>
      </c>
    </row>
    <row r="1134" spans="1:25" x14ac:dyDescent="0.35">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1">
        <v>42054</v>
      </c>
      <c r="U1134" s="1">
        <v>42055</v>
      </c>
      <c r="V1134">
        <v>9.5608000000000004</v>
      </c>
      <c r="W1134">
        <v>5</v>
      </c>
      <c r="X1134">
        <v>31.64</v>
      </c>
      <c r="Y1134">
        <v>87234</v>
      </c>
    </row>
    <row r="1135" spans="1:25" x14ac:dyDescent="0.35">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1">
        <v>42054</v>
      </c>
      <c r="U1135" s="1">
        <v>42055</v>
      </c>
      <c r="V1135">
        <v>390.09839999999997</v>
      </c>
      <c r="W1135">
        <v>19</v>
      </c>
      <c r="X1135">
        <v>565.36</v>
      </c>
      <c r="Y1135">
        <v>87234</v>
      </c>
    </row>
    <row r="1136" spans="1:25" x14ac:dyDescent="0.35">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1">
        <v>42048</v>
      </c>
      <c r="U1136" s="1">
        <v>42050</v>
      </c>
      <c r="V1136">
        <v>46.65</v>
      </c>
      <c r="W1136">
        <v>5</v>
      </c>
      <c r="X1136">
        <v>32.76</v>
      </c>
      <c r="Y1136">
        <v>88040</v>
      </c>
    </row>
    <row r="1137" spans="1:25" x14ac:dyDescent="0.35">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1">
        <v>42021</v>
      </c>
      <c r="U1137" s="1">
        <v>42022</v>
      </c>
      <c r="V1137">
        <v>-1250.7460000000001</v>
      </c>
      <c r="W1137">
        <v>13</v>
      </c>
      <c r="X1137">
        <v>336.92</v>
      </c>
      <c r="Y1137">
        <v>88039</v>
      </c>
    </row>
    <row r="1138" spans="1:25" x14ac:dyDescent="0.35">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1">
        <v>42090</v>
      </c>
      <c r="U1138" s="1">
        <v>42091</v>
      </c>
      <c r="V1138">
        <v>374.904</v>
      </c>
      <c r="W1138">
        <v>12</v>
      </c>
      <c r="X1138">
        <v>114.91</v>
      </c>
      <c r="Y1138">
        <v>88041</v>
      </c>
    </row>
    <row r="1139" spans="1:25" x14ac:dyDescent="0.35">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1">
        <v>42090</v>
      </c>
      <c r="U1139" s="1">
        <v>42091</v>
      </c>
      <c r="V1139">
        <v>-528.83600000000001</v>
      </c>
      <c r="W1139">
        <v>9</v>
      </c>
      <c r="X1139">
        <v>934.52</v>
      </c>
      <c r="Y1139">
        <v>88041</v>
      </c>
    </row>
    <row r="1140" spans="1:25" x14ac:dyDescent="0.35">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1">
        <v>42033</v>
      </c>
      <c r="U1140" s="1">
        <v>42035</v>
      </c>
      <c r="V1140">
        <v>-272.71320000000003</v>
      </c>
      <c r="W1140">
        <v>1</v>
      </c>
      <c r="X1140">
        <v>260.66000000000003</v>
      </c>
      <c r="Y1140">
        <v>87146</v>
      </c>
    </row>
    <row r="1141" spans="1:25" x14ac:dyDescent="0.35">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1">
        <v>42033</v>
      </c>
      <c r="U1141" s="1">
        <v>42036</v>
      </c>
      <c r="V1141">
        <v>-162.69399999999999</v>
      </c>
      <c r="W1141">
        <v>10</v>
      </c>
      <c r="X1141">
        <v>4249.37</v>
      </c>
      <c r="Y1141">
        <v>87146</v>
      </c>
    </row>
    <row r="1142" spans="1:25" x14ac:dyDescent="0.35">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1">
        <v>42181</v>
      </c>
      <c r="U1142" s="1">
        <v>42185</v>
      </c>
      <c r="V1142">
        <v>-115.90389999999999</v>
      </c>
      <c r="W1142">
        <v>22</v>
      </c>
      <c r="X1142">
        <v>6676.61</v>
      </c>
      <c r="Y1142">
        <v>87148</v>
      </c>
    </row>
    <row r="1143" spans="1:25" x14ac:dyDescent="0.35">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1">
        <v>42132</v>
      </c>
      <c r="U1143" s="1">
        <v>42132</v>
      </c>
      <c r="V1143">
        <v>-729.98799999999994</v>
      </c>
      <c r="W1143">
        <v>1</v>
      </c>
      <c r="X1143">
        <v>291.39999999999998</v>
      </c>
      <c r="Y1143">
        <v>87147</v>
      </c>
    </row>
    <row r="1144" spans="1:25" x14ac:dyDescent="0.35">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1">
        <v>42089</v>
      </c>
      <c r="U1144" s="1">
        <v>42090</v>
      </c>
      <c r="V1144">
        <v>-133.54599999999999</v>
      </c>
      <c r="W1144">
        <v>7</v>
      </c>
      <c r="X1144">
        <v>146.5</v>
      </c>
      <c r="Y1144">
        <v>85833</v>
      </c>
    </row>
    <row r="1145" spans="1:25" x14ac:dyDescent="0.35">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1">
        <v>42094</v>
      </c>
      <c r="U1145" s="1">
        <v>42095</v>
      </c>
      <c r="V1145">
        <v>272.69399999999996</v>
      </c>
      <c r="W1145">
        <v>2</v>
      </c>
      <c r="X1145">
        <v>38.979999999999997</v>
      </c>
      <c r="Y1145">
        <v>85834</v>
      </c>
    </row>
    <row r="1146" spans="1:25" x14ac:dyDescent="0.35">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1">
        <v>42113</v>
      </c>
      <c r="U1146" s="1">
        <v>42117</v>
      </c>
      <c r="V1146">
        <v>-61.6</v>
      </c>
      <c r="W1146">
        <v>8</v>
      </c>
      <c r="X1146">
        <v>34.159999999999997</v>
      </c>
      <c r="Y1146">
        <v>85835</v>
      </c>
    </row>
    <row r="1147" spans="1:25" x14ac:dyDescent="0.35">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1">
        <v>42016</v>
      </c>
      <c r="U1147" s="1">
        <v>42018</v>
      </c>
      <c r="V1147">
        <v>66.852000000000004</v>
      </c>
      <c r="W1147">
        <v>3</v>
      </c>
      <c r="X1147">
        <v>120.34</v>
      </c>
      <c r="Y1147">
        <v>88554</v>
      </c>
    </row>
    <row r="1148" spans="1:25" x14ac:dyDescent="0.35">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1">
        <v>42140</v>
      </c>
      <c r="U1148" s="1">
        <v>42144</v>
      </c>
      <c r="V1148">
        <v>17.839800000000011</v>
      </c>
      <c r="W1148">
        <v>5</v>
      </c>
      <c r="X1148">
        <v>153.61000000000001</v>
      </c>
      <c r="Y1148">
        <v>88558</v>
      </c>
    </row>
    <row r="1149" spans="1:25" x14ac:dyDescent="0.35">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1">
        <v>42036</v>
      </c>
      <c r="U1149" s="1">
        <v>42036</v>
      </c>
      <c r="V1149">
        <v>976.2672</v>
      </c>
      <c r="W1149">
        <v>23</v>
      </c>
      <c r="X1149">
        <v>1414.88</v>
      </c>
      <c r="Y1149">
        <v>88555</v>
      </c>
    </row>
    <row r="1150" spans="1:25" x14ac:dyDescent="0.35">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1">
        <v>42036</v>
      </c>
      <c r="U1150" s="1">
        <v>42037</v>
      </c>
      <c r="V1150">
        <v>23.204699999999999</v>
      </c>
      <c r="W1150">
        <v>11</v>
      </c>
      <c r="X1150">
        <v>33.630000000000003</v>
      </c>
      <c r="Y1150">
        <v>88555</v>
      </c>
    </row>
    <row r="1151" spans="1:25" x14ac:dyDescent="0.35">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1">
        <v>42140</v>
      </c>
      <c r="U1151" s="1">
        <v>42147</v>
      </c>
      <c r="V1151">
        <v>183.84300000000002</v>
      </c>
      <c r="W1151">
        <v>20</v>
      </c>
      <c r="X1151">
        <v>1063.81</v>
      </c>
      <c r="Y1151">
        <v>88558</v>
      </c>
    </row>
    <row r="1152" spans="1:25" x14ac:dyDescent="0.35">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1">
        <v>42036</v>
      </c>
      <c r="U1152" s="1">
        <v>42038</v>
      </c>
      <c r="V1152">
        <v>167.46299999999997</v>
      </c>
      <c r="W1152">
        <v>23</v>
      </c>
      <c r="X1152">
        <v>242.7</v>
      </c>
      <c r="Y1152">
        <v>88555</v>
      </c>
    </row>
    <row r="1153" spans="1:25" x14ac:dyDescent="0.35">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1">
        <v>42046</v>
      </c>
      <c r="U1153" s="1">
        <v>42048</v>
      </c>
      <c r="V1153">
        <v>1307.2692</v>
      </c>
      <c r="W1153">
        <v>14</v>
      </c>
      <c r="X1153">
        <v>3377.06</v>
      </c>
      <c r="Y1153">
        <v>88556</v>
      </c>
    </row>
    <row r="1154" spans="1:25" x14ac:dyDescent="0.35">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1">
        <v>42046</v>
      </c>
      <c r="U1154" s="1">
        <v>42048</v>
      </c>
      <c r="V1154">
        <v>-15.818400000000002</v>
      </c>
      <c r="W1154">
        <v>11</v>
      </c>
      <c r="X1154">
        <v>123.93</v>
      </c>
      <c r="Y1154">
        <v>88556</v>
      </c>
    </row>
    <row r="1155" spans="1:25" x14ac:dyDescent="0.35">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1">
        <v>42046</v>
      </c>
      <c r="U1155" s="1">
        <v>42048</v>
      </c>
      <c r="V1155">
        <v>-55.832400000000007</v>
      </c>
      <c r="W1155">
        <v>14</v>
      </c>
      <c r="X1155">
        <v>93.96</v>
      </c>
      <c r="Y1155">
        <v>88556</v>
      </c>
    </row>
    <row r="1156" spans="1:25" x14ac:dyDescent="0.35">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1">
        <v>42101</v>
      </c>
      <c r="U1156" s="1">
        <v>42103</v>
      </c>
      <c r="V1156">
        <v>550.38080000000002</v>
      </c>
      <c r="W1156">
        <v>6</v>
      </c>
      <c r="X1156">
        <v>1818.41</v>
      </c>
      <c r="Y1156">
        <v>88557</v>
      </c>
    </row>
    <row r="1157" spans="1:25" x14ac:dyDescent="0.35">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1">
        <v>42007</v>
      </c>
      <c r="U1157" s="1">
        <v>42009</v>
      </c>
      <c r="V1157">
        <v>1.68</v>
      </c>
      <c r="W1157">
        <v>6</v>
      </c>
      <c r="X1157">
        <v>8.9499999999999993</v>
      </c>
      <c r="Y1157">
        <v>86092</v>
      </c>
    </row>
    <row r="1158" spans="1:25" x14ac:dyDescent="0.35">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1">
        <v>42185</v>
      </c>
      <c r="U1158" s="1">
        <v>42191</v>
      </c>
      <c r="V1158">
        <v>450.45959999999997</v>
      </c>
      <c r="W1158">
        <v>17</v>
      </c>
      <c r="X1158">
        <v>652.84</v>
      </c>
      <c r="Y1158">
        <v>88348</v>
      </c>
    </row>
    <row r="1159" spans="1:25" x14ac:dyDescent="0.35">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1">
        <v>42185</v>
      </c>
      <c r="U1159" s="1">
        <v>42193</v>
      </c>
      <c r="V1159">
        <v>8798.1830999999984</v>
      </c>
      <c r="W1159">
        <v>22</v>
      </c>
      <c r="X1159">
        <v>12750.99</v>
      </c>
      <c r="Y1159">
        <v>88348</v>
      </c>
    </row>
    <row r="1160" spans="1:25" x14ac:dyDescent="0.35">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1">
        <v>42185</v>
      </c>
      <c r="U1160" s="1">
        <v>42189</v>
      </c>
      <c r="V1160">
        <v>-5.3849999999999998</v>
      </c>
      <c r="W1160">
        <v>5</v>
      </c>
      <c r="X1160">
        <v>20.54</v>
      </c>
      <c r="Y1160">
        <v>88348</v>
      </c>
    </row>
    <row r="1161" spans="1:25" x14ac:dyDescent="0.35">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1">
        <v>42040</v>
      </c>
      <c r="U1161" s="1">
        <v>42041</v>
      </c>
      <c r="V1161">
        <v>3031.9724000000001</v>
      </c>
      <c r="W1161">
        <v>20</v>
      </c>
      <c r="X1161">
        <v>7840.04</v>
      </c>
      <c r="Y1161">
        <v>86629</v>
      </c>
    </row>
    <row r="1162" spans="1:25" x14ac:dyDescent="0.35">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1">
        <v>42112</v>
      </c>
      <c r="U1162" s="1">
        <v>42113</v>
      </c>
      <c r="V1162">
        <v>138.018</v>
      </c>
      <c r="W1162">
        <v>4</v>
      </c>
      <c r="X1162">
        <v>1094.33</v>
      </c>
      <c r="Y1162">
        <v>87889</v>
      </c>
    </row>
    <row r="1163" spans="1:25" x14ac:dyDescent="0.35">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1">
        <v>42112</v>
      </c>
      <c r="U1163" s="1">
        <v>42114</v>
      </c>
      <c r="V1163">
        <v>38.874000000000002</v>
      </c>
      <c r="W1163">
        <v>10</v>
      </c>
      <c r="X1163">
        <v>389.97</v>
      </c>
      <c r="Y1163">
        <v>87889</v>
      </c>
    </row>
    <row r="1164" spans="1:25" x14ac:dyDescent="0.35">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1">
        <v>42012</v>
      </c>
      <c r="U1164" s="1">
        <v>42013</v>
      </c>
      <c r="V1164">
        <v>-45.528000000000006</v>
      </c>
      <c r="W1164">
        <v>6</v>
      </c>
      <c r="X1164">
        <v>84.59</v>
      </c>
      <c r="Y1164">
        <v>87888</v>
      </c>
    </row>
    <row r="1165" spans="1:25" x14ac:dyDescent="0.35">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1">
        <v>42161</v>
      </c>
      <c r="U1165" s="1">
        <v>42161</v>
      </c>
      <c r="V1165">
        <v>567.59</v>
      </c>
      <c r="W1165">
        <v>24</v>
      </c>
      <c r="X1165">
        <v>9666.7199999999993</v>
      </c>
      <c r="Y1165">
        <v>39015</v>
      </c>
    </row>
    <row r="1166" spans="1:25" x14ac:dyDescent="0.35">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1">
        <v>42161</v>
      </c>
      <c r="U1166" s="1">
        <v>42161</v>
      </c>
      <c r="V1166">
        <v>-28.45</v>
      </c>
      <c r="W1166">
        <v>20</v>
      </c>
      <c r="X1166">
        <v>134.58000000000001</v>
      </c>
      <c r="Y1166">
        <v>39015</v>
      </c>
    </row>
    <row r="1167" spans="1:25" x14ac:dyDescent="0.35">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1">
        <v>42161</v>
      </c>
      <c r="U1167" s="1">
        <v>42161</v>
      </c>
      <c r="V1167">
        <v>-14.225</v>
      </c>
      <c r="W1167">
        <v>5</v>
      </c>
      <c r="X1167">
        <v>33.65</v>
      </c>
      <c r="Y1167">
        <v>87862</v>
      </c>
    </row>
    <row r="1168" spans="1:25" x14ac:dyDescent="0.35">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1">
        <v>42089</v>
      </c>
      <c r="U1168" s="1">
        <v>42091</v>
      </c>
      <c r="V1168">
        <v>-601.80400000000009</v>
      </c>
      <c r="W1168">
        <v>10</v>
      </c>
      <c r="X1168">
        <v>66.12</v>
      </c>
      <c r="Y1168">
        <v>88403</v>
      </c>
    </row>
    <row r="1169" spans="1:25" x14ac:dyDescent="0.35">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1">
        <v>42117</v>
      </c>
      <c r="U1169" s="1">
        <v>42117</v>
      </c>
      <c r="V1169">
        <v>38.406000000000006</v>
      </c>
      <c r="W1169">
        <v>1</v>
      </c>
      <c r="X1169">
        <v>3.07</v>
      </c>
      <c r="Y1169">
        <v>88404</v>
      </c>
    </row>
    <row r="1170" spans="1:25" x14ac:dyDescent="0.35">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1">
        <v>42061</v>
      </c>
      <c r="U1170" s="1">
        <v>42062</v>
      </c>
      <c r="V1170">
        <v>53.114399999999996</v>
      </c>
      <c r="W1170">
        <v>1</v>
      </c>
      <c r="X1170">
        <v>255.83</v>
      </c>
      <c r="Y1170">
        <v>88405</v>
      </c>
    </row>
    <row r="1171" spans="1:25" x14ac:dyDescent="0.35">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1">
        <v>42061</v>
      </c>
      <c r="U1171" s="1">
        <v>42063</v>
      </c>
      <c r="V1171">
        <v>8.7420000000000009</v>
      </c>
      <c r="W1171">
        <v>20</v>
      </c>
      <c r="X1171">
        <v>421.18</v>
      </c>
      <c r="Y1171">
        <v>88405</v>
      </c>
    </row>
    <row r="1172" spans="1:25" x14ac:dyDescent="0.35">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1">
        <v>42123</v>
      </c>
      <c r="U1172" s="1">
        <v>42125</v>
      </c>
      <c r="V1172">
        <v>636.52199999999993</v>
      </c>
      <c r="W1172">
        <v>14</v>
      </c>
      <c r="X1172">
        <v>1377.46</v>
      </c>
      <c r="Y1172">
        <v>88406</v>
      </c>
    </row>
    <row r="1173" spans="1:25" x14ac:dyDescent="0.35">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1">
        <v>42114</v>
      </c>
      <c r="U1173" s="1">
        <v>42116</v>
      </c>
      <c r="V1173">
        <v>4554.4346999999998</v>
      </c>
      <c r="W1173">
        <v>20</v>
      </c>
      <c r="X1173">
        <v>6600.63</v>
      </c>
      <c r="Y1173">
        <v>90891</v>
      </c>
    </row>
    <row r="1174" spans="1:25" x14ac:dyDescent="0.35">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1">
        <v>42114</v>
      </c>
      <c r="U1174" s="1">
        <v>42115</v>
      </c>
      <c r="V1174">
        <v>618.19308000000001</v>
      </c>
      <c r="W1174">
        <v>18</v>
      </c>
      <c r="X1174">
        <v>1811.99</v>
      </c>
      <c r="Y1174">
        <v>90891</v>
      </c>
    </row>
    <row r="1175" spans="1:25" x14ac:dyDescent="0.35">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1">
        <v>42036</v>
      </c>
      <c r="U1175" s="1">
        <v>42038</v>
      </c>
      <c r="V1175">
        <v>-15.1844</v>
      </c>
      <c r="W1175">
        <v>10</v>
      </c>
      <c r="X1175">
        <v>799.76</v>
      </c>
      <c r="Y1175">
        <v>89664</v>
      </c>
    </row>
    <row r="1176" spans="1:25" x14ac:dyDescent="0.35">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1">
        <v>42005</v>
      </c>
      <c r="U1176" s="1">
        <v>42006</v>
      </c>
      <c r="V1176">
        <v>-61.194000000000003</v>
      </c>
      <c r="W1176">
        <v>13</v>
      </c>
      <c r="X1176">
        <v>609.09</v>
      </c>
      <c r="Y1176">
        <v>89665</v>
      </c>
    </row>
    <row r="1177" spans="1:25" x14ac:dyDescent="0.35">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1">
        <v>42089</v>
      </c>
      <c r="U1177" s="1">
        <v>42090</v>
      </c>
      <c r="V1177">
        <v>18.173999999999999</v>
      </c>
      <c r="W1177">
        <v>21</v>
      </c>
      <c r="X1177">
        <v>2761.94</v>
      </c>
      <c r="Y1177">
        <v>89666</v>
      </c>
    </row>
    <row r="1178" spans="1:25" x14ac:dyDescent="0.35">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1">
        <v>42081</v>
      </c>
      <c r="U1178" s="1">
        <v>42083</v>
      </c>
      <c r="V1178">
        <v>-49.53</v>
      </c>
      <c r="W1178">
        <v>6</v>
      </c>
      <c r="X1178">
        <v>33.950000000000003</v>
      </c>
      <c r="Y1178">
        <v>88418</v>
      </c>
    </row>
    <row r="1179" spans="1:25" x14ac:dyDescent="0.35">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1">
        <v>42007</v>
      </c>
      <c r="U1179" s="1">
        <v>42008</v>
      </c>
      <c r="V1179">
        <v>-407.85</v>
      </c>
      <c r="W1179">
        <v>2</v>
      </c>
      <c r="X1179">
        <v>302.33999999999997</v>
      </c>
      <c r="Y1179">
        <v>90079</v>
      </c>
    </row>
    <row r="1180" spans="1:25" x14ac:dyDescent="0.35">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1">
        <v>42014</v>
      </c>
      <c r="U1180" s="1">
        <v>42018</v>
      </c>
      <c r="V1180">
        <v>-191.25760000000002</v>
      </c>
      <c r="W1180">
        <v>11</v>
      </c>
      <c r="X1180">
        <v>334.44</v>
      </c>
      <c r="Y1180">
        <v>90078</v>
      </c>
    </row>
    <row r="1181" spans="1:25" x14ac:dyDescent="0.35">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1">
        <v>42041</v>
      </c>
      <c r="U1181" s="1">
        <v>42042</v>
      </c>
      <c r="V1181">
        <v>196.52328</v>
      </c>
      <c r="W1181">
        <v>21</v>
      </c>
      <c r="X1181">
        <v>556.61</v>
      </c>
      <c r="Y1181">
        <v>91583</v>
      </c>
    </row>
    <row r="1182" spans="1:25" x14ac:dyDescent="0.35">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1">
        <v>42035</v>
      </c>
      <c r="U1182" s="1">
        <v>42037</v>
      </c>
      <c r="V1182">
        <v>-343.86799999999999</v>
      </c>
      <c r="W1182">
        <v>9</v>
      </c>
      <c r="X1182">
        <v>64.48</v>
      </c>
      <c r="Y1182">
        <v>86002</v>
      </c>
    </row>
    <row r="1183" spans="1:25" x14ac:dyDescent="0.35">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1">
        <v>42110</v>
      </c>
      <c r="U1183" s="1">
        <v>42111</v>
      </c>
      <c r="V1183">
        <v>-3971.0627999999997</v>
      </c>
      <c r="W1183">
        <v>2</v>
      </c>
      <c r="X1183">
        <v>4845.2700000000004</v>
      </c>
      <c r="Y1183">
        <v>86003</v>
      </c>
    </row>
    <row r="1184" spans="1:25" x14ac:dyDescent="0.35">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1">
        <v>42053</v>
      </c>
      <c r="U1184" s="1">
        <v>42054</v>
      </c>
      <c r="V1184">
        <v>-18.478199999999998</v>
      </c>
      <c r="W1184">
        <v>3</v>
      </c>
      <c r="X1184">
        <v>19.68</v>
      </c>
      <c r="Y1184">
        <v>87570</v>
      </c>
    </row>
    <row r="1185" spans="1:25" x14ac:dyDescent="0.35">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1">
        <v>42053</v>
      </c>
      <c r="U1185" s="1">
        <v>42055</v>
      </c>
      <c r="V1185">
        <v>-381.84119999999996</v>
      </c>
      <c r="W1185">
        <v>18</v>
      </c>
      <c r="X1185">
        <v>9798.84</v>
      </c>
      <c r="Y1185">
        <v>87570</v>
      </c>
    </row>
    <row r="1186" spans="1:25" x14ac:dyDescent="0.35">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1">
        <v>42053</v>
      </c>
      <c r="U1186" s="1">
        <v>42054</v>
      </c>
      <c r="V1186">
        <v>12.5504</v>
      </c>
      <c r="W1186">
        <v>7</v>
      </c>
      <c r="X1186">
        <v>154.11000000000001</v>
      </c>
      <c r="Y1186">
        <v>87570</v>
      </c>
    </row>
    <row r="1187" spans="1:25" x14ac:dyDescent="0.35">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1">
        <v>42053</v>
      </c>
      <c r="U1187" s="1">
        <v>42055</v>
      </c>
      <c r="V1187">
        <v>45.3324</v>
      </c>
      <c r="W1187">
        <v>7</v>
      </c>
      <c r="X1187">
        <v>242.97</v>
      </c>
      <c r="Y1187">
        <v>87570</v>
      </c>
    </row>
    <row r="1188" spans="1:25" x14ac:dyDescent="0.35">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1">
        <v>42168</v>
      </c>
      <c r="U1188" s="1">
        <v>42171</v>
      </c>
      <c r="V1188">
        <v>33.659999999999997</v>
      </c>
      <c r="W1188">
        <v>12</v>
      </c>
      <c r="X1188">
        <v>200.61</v>
      </c>
      <c r="Y1188">
        <v>87569</v>
      </c>
    </row>
    <row r="1189" spans="1:25" x14ac:dyDescent="0.35">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1">
        <v>42045</v>
      </c>
      <c r="U1189" s="1">
        <v>42047</v>
      </c>
      <c r="V1189">
        <v>15.677999999999999</v>
      </c>
      <c r="W1189">
        <v>11</v>
      </c>
      <c r="X1189">
        <v>237.83</v>
      </c>
      <c r="Y1189">
        <v>87072</v>
      </c>
    </row>
    <row r="1190" spans="1:25" x14ac:dyDescent="0.35">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1">
        <v>42010</v>
      </c>
      <c r="U1190" s="1">
        <v>42014</v>
      </c>
      <c r="V1190">
        <v>52.775999999999996</v>
      </c>
      <c r="W1190">
        <v>2</v>
      </c>
      <c r="X1190">
        <v>53.02</v>
      </c>
      <c r="Y1190">
        <v>87071</v>
      </c>
    </row>
    <row r="1191" spans="1:25" x14ac:dyDescent="0.35">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1">
        <v>42009</v>
      </c>
      <c r="U1191" s="1">
        <v>42010</v>
      </c>
      <c r="V1191">
        <v>-162.8244</v>
      </c>
      <c r="W1191">
        <v>1</v>
      </c>
      <c r="X1191">
        <v>248.84</v>
      </c>
      <c r="Y1191">
        <v>90404</v>
      </c>
    </row>
    <row r="1192" spans="1:25" x14ac:dyDescent="0.35">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1">
        <v>42044</v>
      </c>
      <c r="U1192" s="1">
        <v>42046</v>
      </c>
      <c r="V1192">
        <v>-6.9308200000000006</v>
      </c>
      <c r="W1192">
        <v>1</v>
      </c>
      <c r="X1192">
        <v>7.21</v>
      </c>
      <c r="Y1192">
        <v>90405</v>
      </c>
    </row>
    <row r="1193" spans="1:25" x14ac:dyDescent="0.35">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1">
        <v>42079</v>
      </c>
      <c r="U1193" s="1">
        <v>42079</v>
      </c>
      <c r="V1193">
        <v>-118.54</v>
      </c>
      <c r="W1193">
        <v>4</v>
      </c>
      <c r="X1193">
        <v>253.87</v>
      </c>
      <c r="Y1193">
        <v>90385</v>
      </c>
    </row>
    <row r="1194" spans="1:25" x14ac:dyDescent="0.35">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1">
        <v>42079</v>
      </c>
      <c r="U1194" s="1">
        <v>42088</v>
      </c>
      <c r="V1194">
        <v>2963.48</v>
      </c>
      <c r="W1194">
        <v>14</v>
      </c>
      <c r="X1194">
        <v>5880.46</v>
      </c>
      <c r="Y1194">
        <v>90385</v>
      </c>
    </row>
    <row r="1195" spans="1:25" x14ac:dyDescent="0.35">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1">
        <v>42127</v>
      </c>
      <c r="U1195" s="1">
        <v>42128</v>
      </c>
      <c r="V1195">
        <v>398.30249999999995</v>
      </c>
      <c r="W1195">
        <v>19</v>
      </c>
      <c r="X1195">
        <v>577.25</v>
      </c>
      <c r="Y1195">
        <v>90386</v>
      </c>
    </row>
    <row r="1196" spans="1:25" x14ac:dyDescent="0.35">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1">
        <v>42127</v>
      </c>
      <c r="U1196" s="1">
        <v>42128</v>
      </c>
      <c r="V1196">
        <v>709.85200000000009</v>
      </c>
      <c r="W1196">
        <v>14</v>
      </c>
      <c r="X1196">
        <v>4075.18</v>
      </c>
      <c r="Y1196">
        <v>90386</v>
      </c>
    </row>
    <row r="1197" spans="1:25" x14ac:dyDescent="0.35">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1">
        <v>42127</v>
      </c>
      <c r="U1197" s="1">
        <v>42129</v>
      </c>
      <c r="V1197">
        <v>80.809200000000089</v>
      </c>
      <c r="W1197">
        <v>6</v>
      </c>
      <c r="X1197">
        <v>1798.23</v>
      </c>
      <c r="Y1197">
        <v>90386</v>
      </c>
    </row>
    <row r="1198" spans="1:25" x14ac:dyDescent="0.35">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1">
        <v>42144</v>
      </c>
      <c r="U1198" s="1">
        <v>42145</v>
      </c>
      <c r="V1198">
        <v>371.27200000000005</v>
      </c>
      <c r="W1198">
        <v>25</v>
      </c>
      <c r="X1198">
        <v>727.2</v>
      </c>
      <c r="Y1198">
        <v>90387</v>
      </c>
    </row>
    <row r="1199" spans="1:25" x14ac:dyDescent="0.35">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1">
        <v>42144</v>
      </c>
      <c r="U1199" s="1">
        <v>42146</v>
      </c>
      <c r="V1199">
        <v>77.000895400000104</v>
      </c>
      <c r="W1199">
        <v>41</v>
      </c>
      <c r="X1199">
        <v>6173.42</v>
      </c>
      <c r="Y1199">
        <v>90387</v>
      </c>
    </row>
    <row r="1200" spans="1:25" x14ac:dyDescent="0.35">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1">
        <v>42144</v>
      </c>
      <c r="U1200" s="1">
        <v>42146</v>
      </c>
      <c r="V1200">
        <v>27.968600000000009</v>
      </c>
      <c r="W1200">
        <v>33</v>
      </c>
      <c r="X1200">
        <v>1553.7</v>
      </c>
      <c r="Y1200">
        <v>90387</v>
      </c>
    </row>
    <row r="1201" spans="1:25" x14ac:dyDescent="0.35">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1">
        <v>42013</v>
      </c>
      <c r="U1201" s="1">
        <v>42014</v>
      </c>
      <c r="V1201">
        <v>-66.779579999999996</v>
      </c>
      <c r="W1201">
        <v>3</v>
      </c>
      <c r="X1201">
        <v>18.68</v>
      </c>
      <c r="Y1201">
        <v>88794</v>
      </c>
    </row>
    <row r="1202" spans="1:25" x14ac:dyDescent="0.35">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1">
        <v>42013</v>
      </c>
      <c r="U1202" s="1">
        <v>42013</v>
      </c>
      <c r="V1202">
        <v>-144.9188</v>
      </c>
      <c r="W1202">
        <v>11</v>
      </c>
      <c r="X1202">
        <v>36.299999999999997</v>
      </c>
      <c r="Y1202">
        <v>88794</v>
      </c>
    </row>
    <row r="1203" spans="1:25" x14ac:dyDescent="0.35">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1">
        <v>42013</v>
      </c>
      <c r="U1203" s="1">
        <v>42015</v>
      </c>
      <c r="V1203">
        <v>-5.0716000000000001</v>
      </c>
      <c r="W1203">
        <v>6</v>
      </c>
      <c r="X1203">
        <v>16.03</v>
      </c>
      <c r="Y1203">
        <v>88794</v>
      </c>
    </row>
    <row r="1204" spans="1:25" x14ac:dyDescent="0.35">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1">
        <v>42031</v>
      </c>
      <c r="U1204" s="1">
        <v>42033</v>
      </c>
      <c r="V1204">
        <v>-1.18</v>
      </c>
      <c r="W1204">
        <v>9</v>
      </c>
      <c r="X1204">
        <v>25.35</v>
      </c>
      <c r="Y1204">
        <v>89465</v>
      </c>
    </row>
    <row r="1205" spans="1:25" x14ac:dyDescent="0.35">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1">
        <v>42170</v>
      </c>
      <c r="U1205" s="1">
        <v>42172</v>
      </c>
      <c r="V1205">
        <v>-203.09799999999998</v>
      </c>
      <c r="W1205">
        <v>12</v>
      </c>
      <c r="X1205">
        <v>19.32</v>
      </c>
      <c r="Y1205">
        <v>91571</v>
      </c>
    </row>
    <row r="1206" spans="1:25" x14ac:dyDescent="0.35">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1">
        <v>42132</v>
      </c>
      <c r="U1206" s="1">
        <v>42134</v>
      </c>
      <c r="V1206">
        <v>-48.57</v>
      </c>
      <c r="W1206">
        <v>5</v>
      </c>
      <c r="X1206">
        <v>86.8</v>
      </c>
      <c r="Y1206">
        <v>89440</v>
      </c>
    </row>
    <row r="1207" spans="1:25" x14ac:dyDescent="0.35">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1">
        <v>42132</v>
      </c>
      <c r="U1207" s="1">
        <v>42134</v>
      </c>
      <c r="V1207">
        <v>-48.57</v>
      </c>
      <c r="W1207">
        <v>22</v>
      </c>
      <c r="X1207">
        <v>381.91</v>
      </c>
      <c r="Y1207">
        <v>7364</v>
      </c>
    </row>
    <row r="1208" spans="1:25" x14ac:dyDescent="0.35">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1">
        <v>42049</v>
      </c>
      <c r="U1208" s="1">
        <v>42051</v>
      </c>
      <c r="V1208">
        <v>-47.28</v>
      </c>
      <c r="W1208">
        <v>45</v>
      </c>
      <c r="X1208">
        <v>761.67</v>
      </c>
      <c r="Y1208">
        <v>41636</v>
      </c>
    </row>
    <row r="1209" spans="1:25" x14ac:dyDescent="0.35">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1">
        <v>42049</v>
      </c>
      <c r="U1209" s="1">
        <v>42051</v>
      </c>
      <c r="V1209">
        <v>722.24099999999999</v>
      </c>
      <c r="W1209">
        <v>49</v>
      </c>
      <c r="X1209">
        <v>5014.07</v>
      </c>
      <c r="Y1209">
        <v>41636</v>
      </c>
    </row>
    <row r="1210" spans="1:25" x14ac:dyDescent="0.35">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1">
        <v>42049</v>
      </c>
      <c r="U1210" s="1">
        <v>42051</v>
      </c>
      <c r="V1210">
        <v>-161</v>
      </c>
      <c r="W1210">
        <v>11</v>
      </c>
      <c r="X1210">
        <v>186.19</v>
      </c>
      <c r="Y1210">
        <v>90685</v>
      </c>
    </row>
    <row r="1211" spans="1:25" x14ac:dyDescent="0.35">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1">
        <v>42049</v>
      </c>
      <c r="U1211" s="1">
        <v>42051</v>
      </c>
      <c r="V1211">
        <v>848.3646</v>
      </c>
      <c r="W1211">
        <v>12</v>
      </c>
      <c r="X1211">
        <v>1227.94</v>
      </c>
      <c r="Y1211">
        <v>90685</v>
      </c>
    </row>
    <row r="1212" spans="1:25" x14ac:dyDescent="0.35">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1">
        <v>42101</v>
      </c>
      <c r="U1212" s="1">
        <v>42102</v>
      </c>
      <c r="V1212">
        <v>-88.840800000000002</v>
      </c>
      <c r="W1212">
        <v>11</v>
      </c>
      <c r="X1212">
        <v>294.97000000000003</v>
      </c>
      <c r="Y1212">
        <v>89175</v>
      </c>
    </row>
    <row r="1213" spans="1:25" x14ac:dyDescent="0.35">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1">
        <v>42101</v>
      </c>
      <c r="U1213" s="1">
        <v>42102</v>
      </c>
      <c r="V1213">
        <v>1208.9903999999999</v>
      </c>
      <c r="W1213">
        <v>14</v>
      </c>
      <c r="X1213">
        <v>2458.0500000000002</v>
      </c>
      <c r="Y1213">
        <v>89175</v>
      </c>
    </row>
    <row r="1214" spans="1:25" x14ac:dyDescent="0.35">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1">
        <v>42101</v>
      </c>
      <c r="U1214" s="1">
        <v>42103</v>
      </c>
      <c r="V1214">
        <v>9.9911999999999992</v>
      </c>
      <c r="W1214">
        <v>19</v>
      </c>
      <c r="X1214">
        <v>2465.75</v>
      </c>
      <c r="Y1214">
        <v>89175</v>
      </c>
    </row>
    <row r="1215" spans="1:25" x14ac:dyDescent="0.35">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1">
        <v>42181</v>
      </c>
      <c r="U1215" s="1">
        <v>42182</v>
      </c>
      <c r="V1215">
        <v>126.22500000000001</v>
      </c>
      <c r="W1215">
        <v>7</v>
      </c>
      <c r="X1215">
        <v>650.25</v>
      </c>
      <c r="Y1215">
        <v>89176</v>
      </c>
    </row>
    <row r="1216" spans="1:25" x14ac:dyDescent="0.35">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1">
        <v>42181</v>
      </c>
      <c r="U1216" s="1">
        <v>42182</v>
      </c>
      <c r="V1216">
        <v>187.7628</v>
      </c>
      <c r="W1216">
        <v>19</v>
      </c>
      <c r="X1216">
        <v>272.12</v>
      </c>
      <c r="Y1216">
        <v>89176</v>
      </c>
    </row>
    <row r="1217" spans="1:25" x14ac:dyDescent="0.35">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1">
        <v>42146</v>
      </c>
      <c r="U1217" s="1">
        <v>42149</v>
      </c>
      <c r="V1217">
        <v>295.90649999999999</v>
      </c>
      <c r="W1217">
        <v>16</v>
      </c>
      <c r="X1217">
        <v>428.85</v>
      </c>
      <c r="Y1217">
        <v>89174</v>
      </c>
    </row>
    <row r="1218" spans="1:25" x14ac:dyDescent="0.35">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1">
        <v>42146</v>
      </c>
      <c r="U1218" s="1">
        <v>42146</v>
      </c>
      <c r="V1218">
        <v>-2111.36</v>
      </c>
      <c r="W1218">
        <v>16</v>
      </c>
      <c r="X1218">
        <v>342.54</v>
      </c>
      <c r="Y1218">
        <v>89174</v>
      </c>
    </row>
    <row r="1219" spans="1:25" x14ac:dyDescent="0.35">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1">
        <v>42088</v>
      </c>
      <c r="U1219" s="1">
        <v>42090</v>
      </c>
      <c r="V1219">
        <v>-9.1300000000000008</v>
      </c>
      <c r="W1219">
        <v>1</v>
      </c>
      <c r="X1219">
        <v>27.96</v>
      </c>
      <c r="Y1219">
        <v>86054</v>
      </c>
    </row>
    <row r="1220" spans="1:25" x14ac:dyDescent="0.35">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1">
        <v>42035</v>
      </c>
      <c r="U1220" s="1">
        <v>42035</v>
      </c>
      <c r="V1220">
        <v>357.428</v>
      </c>
      <c r="W1220">
        <v>11</v>
      </c>
      <c r="X1220">
        <v>1635.38</v>
      </c>
      <c r="Y1220">
        <v>86050</v>
      </c>
    </row>
    <row r="1221" spans="1:25" x14ac:dyDescent="0.35">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1">
        <v>42035</v>
      </c>
      <c r="U1221" s="1">
        <v>42035</v>
      </c>
      <c r="V1221">
        <v>40.351199999999992</v>
      </c>
      <c r="W1221">
        <v>10</v>
      </c>
      <c r="X1221">
        <v>58.48</v>
      </c>
      <c r="Y1221">
        <v>86050</v>
      </c>
    </row>
    <row r="1222" spans="1:25" x14ac:dyDescent="0.35">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1">
        <v>42035</v>
      </c>
      <c r="U1222" s="1">
        <v>42042</v>
      </c>
      <c r="V1222">
        <v>27.634499999999996</v>
      </c>
      <c r="W1222">
        <v>8</v>
      </c>
      <c r="X1222">
        <v>40.049999999999997</v>
      </c>
      <c r="Y1222">
        <v>86050</v>
      </c>
    </row>
    <row r="1223" spans="1:25" x14ac:dyDescent="0.35">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1">
        <v>42039</v>
      </c>
      <c r="U1223" s="1">
        <v>42039</v>
      </c>
      <c r="V1223">
        <v>751.58</v>
      </c>
      <c r="W1223">
        <v>8</v>
      </c>
      <c r="X1223">
        <v>1117.6600000000001</v>
      </c>
      <c r="Y1223">
        <v>86051</v>
      </c>
    </row>
    <row r="1224" spans="1:25" x14ac:dyDescent="0.35">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1">
        <v>42008</v>
      </c>
      <c r="U1224" s="1">
        <v>42010</v>
      </c>
      <c r="V1224">
        <v>-663.51419999999996</v>
      </c>
      <c r="W1224">
        <v>2</v>
      </c>
      <c r="X1224">
        <v>807</v>
      </c>
      <c r="Y1224">
        <v>86052</v>
      </c>
    </row>
    <row r="1225" spans="1:25" x14ac:dyDescent="0.35">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1">
        <v>42039</v>
      </c>
      <c r="U1225" s="1">
        <v>42043</v>
      </c>
      <c r="V1225">
        <v>-157.56</v>
      </c>
      <c r="W1225">
        <v>5</v>
      </c>
      <c r="X1225">
        <v>169.46</v>
      </c>
      <c r="Y1225">
        <v>86051</v>
      </c>
    </row>
    <row r="1226" spans="1:25" x14ac:dyDescent="0.35">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1">
        <v>42045</v>
      </c>
      <c r="U1226" s="1">
        <v>42046</v>
      </c>
      <c r="V1226">
        <v>-87.998040000000003</v>
      </c>
      <c r="W1226">
        <v>20</v>
      </c>
      <c r="X1226">
        <v>5768.12</v>
      </c>
      <c r="Y1226">
        <v>86053</v>
      </c>
    </row>
    <row r="1227" spans="1:25" x14ac:dyDescent="0.35">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1">
        <v>42009</v>
      </c>
      <c r="U1227" s="1">
        <v>42010</v>
      </c>
      <c r="V1227">
        <v>-35.290399999999998</v>
      </c>
      <c r="W1227">
        <v>2</v>
      </c>
      <c r="X1227">
        <v>55.25</v>
      </c>
      <c r="Y1227">
        <v>86258</v>
      </c>
    </row>
    <row r="1228" spans="1:25" x14ac:dyDescent="0.35">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1">
        <v>42009</v>
      </c>
      <c r="U1228" s="1">
        <v>42011</v>
      </c>
      <c r="V1228">
        <v>-74.883600000000001</v>
      </c>
      <c r="W1228">
        <v>3</v>
      </c>
      <c r="X1228">
        <v>551.22</v>
      </c>
      <c r="Y1228">
        <v>86258</v>
      </c>
    </row>
    <row r="1229" spans="1:25" x14ac:dyDescent="0.35">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1">
        <v>42026</v>
      </c>
      <c r="U1229" s="1">
        <v>42033</v>
      </c>
      <c r="V1229">
        <v>-98.056000000000012</v>
      </c>
      <c r="W1229">
        <v>12</v>
      </c>
      <c r="X1229">
        <v>83.93</v>
      </c>
      <c r="Y1229">
        <v>88030</v>
      </c>
    </row>
    <row r="1230" spans="1:25" x14ac:dyDescent="0.35">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1">
        <v>42005</v>
      </c>
      <c r="U1230" s="1">
        <v>42007</v>
      </c>
      <c r="V1230">
        <v>-425.20840000000004</v>
      </c>
      <c r="W1230">
        <v>2</v>
      </c>
      <c r="X1230">
        <v>193.88</v>
      </c>
      <c r="Y1230">
        <v>88028</v>
      </c>
    </row>
    <row r="1231" spans="1:25" x14ac:dyDescent="0.35">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1">
        <v>42113</v>
      </c>
      <c r="U1231" s="1">
        <v>42115</v>
      </c>
      <c r="V1231">
        <v>631.33000000000004</v>
      </c>
      <c r="W1231">
        <v>5</v>
      </c>
      <c r="X1231">
        <v>990.25</v>
      </c>
      <c r="Y1231">
        <v>88029</v>
      </c>
    </row>
    <row r="1232" spans="1:25" x14ac:dyDescent="0.35">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1">
        <v>42178</v>
      </c>
      <c r="U1232" s="1">
        <v>42178</v>
      </c>
      <c r="V1232">
        <v>-22.175999999999998</v>
      </c>
      <c r="W1232">
        <v>4</v>
      </c>
      <c r="X1232">
        <v>14.76</v>
      </c>
      <c r="Y1232">
        <v>90314</v>
      </c>
    </row>
    <row r="1233" spans="1:25" x14ac:dyDescent="0.35">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1">
        <v>42178</v>
      </c>
      <c r="U1233" s="1">
        <v>42185</v>
      </c>
      <c r="V1233">
        <v>-214.10399999999998</v>
      </c>
      <c r="W1233">
        <v>3</v>
      </c>
      <c r="X1233">
        <v>808.44</v>
      </c>
      <c r="Y1233">
        <v>90314</v>
      </c>
    </row>
    <row r="1234" spans="1:25" x14ac:dyDescent="0.35">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1">
        <v>42178</v>
      </c>
      <c r="U1234" s="1">
        <v>42180</v>
      </c>
      <c r="V1234">
        <v>-26.936</v>
      </c>
      <c r="W1234">
        <v>10</v>
      </c>
      <c r="X1234">
        <v>67.41</v>
      </c>
      <c r="Y1234">
        <v>90314</v>
      </c>
    </row>
    <row r="1235" spans="1:25" x14ac:dyDescent="0.35">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1">
        <v>42063</v>
      </c>
      <c r="U1235" s="1">
        <v>42064</v>
      </c>
      <c r="V1235">
        <v>-324.73</v>
      </c>
      <c r="W1235">
        <v>4</v>
      </c>
      <c r="X1235">
        <v>55.08</v>
      </c>
      <c r="Y1235">
        <v>91036</v>
      </c>
    </row>
    <row r="1236" spans="1:25" x14ac:dyDescent="0.35">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1">
        <v>42056</v>
      </c>
      <c r="U1236" s="1">
        <v>42057</v>
      </c>
      <c r="V1236">
        <v>1500.12</v>
      </c>
      <c r="W1236">
        <v>15</v>
      </c>
      <c r="X1236">
        <v>1608.11</v>
      </c>
      <c r="Y1236">
        <v>89970</v>
      </c>
    </row>
    <row r="1237" spans="1:25" x14ac:dyDescent="0.35">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1">
        <v>42100</v>
      </c>
      <c r="U1237" s="1">
        <v>42107</v>
      </c>
      <c r="V1237">
        <v>-313.02180000000004</v>
      </c>
      <c r="W1237">
        <v>7</v>
      </c>
      <c r="X1237">
        <v>99.75</v>
      </c>
      <c r="Y1237">
        <v>89102</v>
      </c>
    </row>
    <row r="1238" spans="1:25" x14ac:dyDescent="0.35">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1">
        <v>42107</v>
      </c>
      <c r="U1238" s="1">
        <v>42114</v>
      </c>
      <c r="V1238">
        <v>-192.5532</v>
      </c>
      <c r="W1238">
        <v>22</v>
      </c>
      <c r="X1238">
        <v>51.41</v>
      </c>
      <c r="Y1238">
        <v>86699</v>
      </c>
    </row>
    <row r="1239" spans="1:25" x14ac:dyDescent="0.35">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1">
        <v>42031</v>
      </c>
      <c r="U1239" s="1">
        <v>42036</v>
      </c>
      <c r="V1239">
        <v>-464.28200000000004</v>
      </c>
      <c r="W1239">
        <v>12</v>
      </c>
      <c r="X1239">
        <v>68.72</v>
      </c>
      <c r="Y1239">
        <v>89278</v>
      </c>
    </row>
    <row r="1240" spans="1:25" x14ac:dyDescent="0.35">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1">
        <v>42122</v>
      </c>
      <c r="U1240" s="1">
        <v>42124</v>
      </c>
      <c r="V1240">
        <v>156.74339999999998</v>
      </c>
      <c r="W1240">
        <v>14</v>
      </c>
      <c r="X1240">
        <v>618.96</v>
      </c>
      <c r="Y1240">
        <v>89279</v>
      </c>
    </row>
    <row r="1241" spans="1:25" x14ac:dyDescent="0.35">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1">
        <v>42122</v>
      </c>
      <c r="U1241" s="1">
        <v>42122</v>
      </c>
      <c r="V1241">
        <v>110.11799999999999</v>
      </c>
      <c r="W1241">
        <v>13</v>
      </c>
      <c r="X1241">
        <v>77.540000000000006</v>
      </c>
      <c r="Y1241">
        <v>89279</v>
      </c>
    </row>
    <row r="1242" spans="1:25" x14ac:dyDescent="0.35">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1">
        <v>42006</v>
      </c>
      <c r="U1242" s="1">
        <v>42008</v>
      </c>
      <c r="V1242">
        <v>-42.588000000000001</v>
      </c>
      <c r="W1242">
        <v>6</v>
      </c>
      <c r="X1242">
        <v>361.72</v>
      </c>
      <c r="Y1242">
        <v>87963</v>
      </c>
    </row>
    <row r="1243" spans="1:25" x14ac:dyDescent="0.35">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1">
        <v>42087</v>
      </c>
      <c r="U1243" s="1">
        <v>42089</v>
      </c>
      <c r="V1243">
        <v>-222.95</v>
      </c>
      <c r="W1243">
        <v>20</v>
      </c>
      <c r="X1243">
        <v>1373.47</v>
      </c>
      <c r="Y1243">
        <v>87964</v>
      </c>
    </row>
    <row r="1244" spans="1:25" x14ac:dyDescent="0.35">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1">
        <v>42167</v>
      </c>
      <c r="U1244" s="1">
        <v>42168</v>
      </c>
      <c r="V1244">
        <v>7.6244999999999994</v>
      </c>
      <c r="W1244">
        <v>14</v>
      </c>
      <c r="X1244">
        <v>91.92</v>
      </c>
      <c r="Y1244">
        <v>87965</v>
      </c>
    </row>
    <row r="1245" spans="1:25" x14ac:dyDescent="0.35">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1">
        <v>42072</v>
      </c>
      <c r="U1245" s="1">
        <v>42076</v>
      </c>
      <c r="V1245">
        <v>-1676.6119999999999</v>
      </c>
      <c r="W1245">
        <v>9</v>
      </c>
      <c r="X1245">
        <v>73.290000000000006</v>
      </c>
      <c r="Y1245">
        <v>87962</v>
      </c>
    </row>
    <row r="1246" spans="1:25" x14ac:dyDescent="0.35">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1">
        <v>42072</v>
      </c>
      <c r="U1246" s="1">
        <v>42076</v>
      </c>
      <c r="V1246">
        <v>45.127799999999993</v>
      </c>
      <c r="W1246">
        <v>8</v>
      </c>
      <c r="X1246">
        <v>2961.32</v>
      </c>
      <c r="Y1246">
        <v>87962</v>
      </c>
    </row>
    <row r="1247" spans="1:25" x14ac:dyDescent="0.35">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1">
        <v>42050</v>
      </c>
      <c r="U1247" s="1">
        <v>42051</v>
      </c>
      <c r="V1247">
        <v>-52.863999999999997</v>
      </c>
      <c r="W1247">
        <v>17</v>
      </c>
      <c r="X1247">
        <v>87.11</v>
      </c>
      <c r="Y1247">
        <v>89601</v>
      </c>
    </row>
    <row r="1248" spans="1:25" x14ac:dyDescent="0.35">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1">
        <v>42050</v>
      </c>
      <c r="U1248" s="1">
        <v>42051</v>
      </c>
      <c r="V1248">
        <v>45.378</v>
      </c>
      <c r="W1248">
        <v>9</v>
      </c>
      <c r="X1248">
        <v>170.46</v>
      </c>
      <c r="Y1248">
        <v>89601</v>
      </c>
    </row>
    <row r="1249" spans="1:25" x14ac:dyDescent="0.35">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1">
        <v>42115</v>
      </c>
      <c r="U1249" s="1">
        <v>42116</v>
      </c>
      <c r="V1249">
        <v>4949.9160000000002</v>
      </c>
      <c r="W1249">
        <v>1</v>
      </c>
      <c r="X1249">
        <v>4.95</v>
      </c>
      <c r="Y1249">
        <v>89602</v>
      </c>
    </row>
    <row r="1250" spans="1:25" x14ac:dyDescent="0.35">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1">
        <v>42115</v>
      </c>
      <c r="U1250" s="1">
        <v>42117</v>
      </c>
      <c r="V1250">
        <v>1055.6039999999998</v>
      </c>
      <c r="W1250">
        <v>4</v>
      </c>
      <c r="X1250">
        <v>461.24</v>
      </c>
      <c r="Y1250">
        <v>89602</v>
      </c>
    </row>
    <row r="1251" spans="1:25" x14ac:dyDescent="0.35">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1">
        <v>42030</v>
      </c>
      <c r="U1251" s="1">
        <v>42033</v>
      </c>
      <c r="V1251">
        <v>359.83</v>
      </c>
      <c r="W1251">
        <v>3</v>
      </c>
      <c r="X1251">
        <v>577.75</v>
      </c>
      <c r="Y1251">
        <v>86611</v>
      </c>
    </row>
    <row r="1252" spans="1:25" x14ac:dyDescent="0.35">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1">
        <v>42033</v>
      </c>
      <c r="U1252" s="1">
        <v>42036</v>
      </c>
      <c r="V1252">
        <v>-69.873999999999995</v>
      </c>
      <c r="W1252">
        <v>8</v>
      </c>
      <c r="X1252">
        <v>59.4</v>
      </c>
      <c r="Y1252">
        <v>86612</v>
      </c>
    </row>
    <row r="1253" spans="1:25" x14ac:dyDescent="0.35">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1">
        <v>42033</v>
      </c>
      <c r="U1253" s="1">
        <v>42035</v>
      </c>
      <c r="V1253">
        <v>-135.74</v>
      </c>
      <c r="W1253">
        <v>10</v>
      </c>
      <c r="X1253">
        <v>66.459999999999994</v>
      </c>
      <c r="Y1253">
        <v>86612</v>
      </c>
    </row>
    <row r="1254" spans="1:25" x14ac:dyDescent="0.35">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1">
        <v>42150</v>
      </c>
      <c r="U1254" s="1">
        <v>42152</v>
      </c>
      <c r="V1254">
        <v>-14.52</v>
      </c>
      <c r="W1254">
        <v>3</v>
      </c>
      <c r="X1254">
        <v>35.35</v>
      </c>
      <c r="Y1254">
        <v>86610</v>
      </c>
    </row>
    <row r="1255" spans="1:25" x14ac:dyDescent="0.35">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1">
        <v>42150</v>
      </c>
      <c r="U1255" s="1">
        <v>42151</v>
      </c>
      <c r="V1255">
        <v>171.26489999999998</v>
      </c>
      <c r="W1255">
        <v>16</v>
      </c>
      <c r="X1255">
        <v>248.21</v>
      </c>
      <c r="Y1255">
        <v>86610</v>
      </c>
    </row>
    <row r="1256" spans="1:25" x14ac:dyDescent="0.35">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1">
        <v>42158</v>
      </c>
      <c r="U1256" s="1">
        <v>42162</v>
      </c>
      <c r="V1256">
        <v>138.22199999999998</v>
      </c>
      <c r="W1256">
        <v>17</v>
      </c>
      <c r="X1256">
        <v>4086.5</v>
      </c>
      <c r="Y1256">
        <v>89571</v>
      </c>
    </row>
    <row r="1257" spans="1:25" x14ac:dyDescent="0.35">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1">
        <v>42041</v>
      </c>
      <c r="U1257" s="1">
        <v>42043</v>
      </c>
      <c r="V1257">
        <v>711.24479999999994</v>
      </c>
      <c r="W1257">
        <v>18</v>
      </c>
      <c r="X1257">
        <v>375.03</v>
      </c>
      <c r="Y1257">
        <v>89572</v>
      </c>
    </row>
    <row r="1258" spans="1:25" x14ac:dyDescent="0.35">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1">
        <v>42041</v>
      </c>
      <c r="U1258" s="1">
        <v>42046</v>
      </c>
      <c r="V1258">
        <v>-1084.8469632000001</v>
      </c>
      <c r="W1258">
        <v>12</v>
      </c>
      <c r="X1258">
        <v>22.11</v>
      </c>
      <c r="Y1258">
        <v>89572</v>
      </c>
    </row>
    <row r="1259" spans="1:25" x14ac:dyDescent="0.35">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1">
        <v>42041</v>
      </c>
      <c r="U1259" s="1">
        <v>42046</v>
      </c>
      <c r="V1259">
        <v>-156.77199999999999</v>
      </c>
      <c r="W1259">
        <v>17</v>
      </c>
      <c r="X1259">
        <v>2875.35</v>
      </c>
      <c r="Y1259">
        <v>89572</v>
      </c>
    </row>
    <row r="1260" spans="1:25" x14ac:dyDescent="0.35">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1">
        <v>42079</v>
      </c>
      <c r="U1260" s="1">
        <v>42081</v>
      </c>
      <c r="V1260">
        <v>-37.6</v>
      </c>
      <c r="W1260">
        <v>5</v>
      </c>
      <c r="X1260">
        <v>78.08</v>
      </c>
      <c r="Y1260">
        <v>90110</v>
      </c>
    </row>
    <row r="1261" spans="1:25" x14ac:dyDescent="0.35">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1">
        <v>42129</v>
      </c>
      <c r="U1261" s="1">
        <v>42129</v>
      </c>
      <c r="V1261">
        <v>1389.5771999999999</v>
      </c>
      <c r="W1261">
        <v>17</v>
      </c>
      <c r="X1261">
        <v>2013.88</v>
      </c>
      <c r="Y1261">
        <v>90109</v>
      </c>
    </row>
    <row r="1262" spans="1:25" x14ac:dyDescent="0.35">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1">
        <v>42129</v>
      </c>
      <c r="U1262" s="1">
        <v>42129</v>
      </c>
      <c r="V1262">
        <v>-222.816</v>
      </c>
      <c r="W1262">
        <v>4</v>
      </c>
      <c r="X1262">
        <v>201.32</v>
      </c>
      <c r="Y1262">
        <v>90109</v>
      </c>
    </row>
    <row r="1263" spans="1:25" x14ac:dyDescent="0.35">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1">
        <v>42129</v>
      </c>
      <c r="U1263" s="1">
        <v>42133</v>
      </c>
      <c r="V1263">
        <v>-133.71</v>
      </c>
      <c r="W1263">
        <v>12</v>
      </c>
      <c r="X1263">
        <v>298.51</v>
      </c>
      <c r="Y1263">
        <v>90109</v>
      </c>
    </row>
    <row r="1264" spans="1:25" x14ac:dyDescent="0.35">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1">
        <v>42185</v>
      </c>
      <c r="U1264" s="1">
        <v>42185</v>
      </c>
      <c r="V1264">
        <v>2653.7813999999998</v>
      </c>
      <c r="W1264">
        <v>22</v>
      </c>
      <c r="X1264">
        <v>3846.06</v>
      </c>
      <c r="Y1264">
        <v>91502</v>
      </c>
    </row>
    <row r="1265" spans="1:25" x14ac:dyDescent="0.35">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1">
        <v>42177</v>
      </c>
      <c r="U1265" s="1">
        <v>42181</v>
      </c>
      <c r="V1265">
        <v>10.32</v>
      </c>
      <c r="W1265">
        <v>7</v>
      </c>
      <c r="X1265">
        <v>35.93</v>
      </c>
      <c r="Y1265">
        <v>85949</v>
      </c>
    </row>
    <row r="1266" spans="1:25" x14ac:dyDescent="0.35">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1">
        <v>42031</v>
      </c>
      <c r="U1266" s="1">
        <v>42032</v>
      </c>
      <c r="V1266">
        <v>997.38144000000011</v>
      </c>
      <c r="W1266">
        <v>10</v>
      </c>
      <c r="X1266">
        <v>1610.84</v>
      </c>
      <c r="Y1266">
        <v>85948</v>
      </c>
    </row>
    <row r="1267" spans="1:25" x14ac:dyDescent="0.35">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1">
        <v>42040</v>
      </c>
      <c r="U1267" s="1">
        <v>42042</v>
      </c>
      <c r="V1267">
        <v>-36.030800000000006</v>
      </c>
      <c r="W1267">
        <v>14</v>
      </c>
      <c r="X1267">
        <v>86.12</v>
      </c>
      <c r="Y1267">
        <v>85950</v>
      </c>
    </row>
    <row r="1268" spans="1:25" x14ac:dyDescent="0.35">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1">
        <v>42028</v>
      </c>
      <c r="U1268" s="1">
        <v>42030</v>
      </c>
      <c r="V1268">
        <v>-28.954000000000001</v>
      </c>
      <c r="W1268">
        <v>6</v>
      </c>
      <c r="X1268">
        <v>76.87</v>
      </c>
      <c r="Y1268">
        <v>85947</v>
      </c>
    </row>
    <row r="1269" spans="1:25" x14ac:dyDescent="0.35">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1">
        <v>42076</v>
      </c>
      <c r="U1269" s="1">
        <v>42078</v>
      </c>
      <c r="V1269">
        <v>-85.021999999999991</v>
      </c>
      <c r="W1269">
        <v>21</v>
      </c>
      <c r="X1269">
        <v>374.6</v>
      </c>
      <c r="Y1269">
        <v>90148</v>
      </c>
    </row>
    <row r="1270" spans="1:25" x14ac:dyDescent="0.35">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1">
        <v>42039</v>
      </c>
      <c r="U1270" s="1">
        <v>42041</v>
      </c>
      <c r="V1270">
        <v>99.198000000000008</v>
      </c>
      <c r="W1270">
        <v>12</v>
      </c>
      <c r="X1270">
        <v>61.87</v>
      </c>
      <c r="Y1270">
        <v>90145</v>
      </c>
    </row>
    <row r="1271" spans="1:25" x14ac:dyDescent="0.35">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1">
        <v>42039</v>
      </c>
      <c r="U1271" s="1">
        <v>42040</v>
      </c>
      <c r="V1271">
        <v>136.03139999999999</v>
      </c>
      <c r="W1271">
        <v>6</v>
      </c>
      <c r="X1271">
        <v>48.88</v>
      </c>
      <c r="Y1271">
        <v>90145</v>
      </c>
    </row>
    <row r="1272" spans="1:25" x14ac:dyDescent="0.35">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1">
        <v>42039</v>
      </c>
      <c r="U1272" s="1">
        <v>42042</v>
      </c>
      <c r="V1272">
        <v>-100.072</v>
      </c>
      <c r="W1272">
        <v>3</v>
      </c>
      <c r="X1272">
        <v>21.56</v>
      </c>
      <c r="Y1272">
        <v>90145</v>
      </c>
    </row>
    <row r="1273" spans="1:25" x14ac:dyDescent="0.35">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1">
        <v>42088</v>
      </c>
      <c r="U1273" s="1">
        <v>42088</v>
      </c>
      <c r="V1273">
        <v>-12.026699999999998</v>
      </c>
      <c r="W1273">
        <v>8</v>
      </c>
      <c r="X1273">
        <v>164.67</v>
      </c>
      <c r="Y1273">
        <v>90146</v>
      </c>
    </row>
    <row r="1274" spans="1:25" x14ac:dyDescent="0.35">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1">
        <v>42088</v>
      </c>
      <c r="U1274" s="1">
        <v>42089</v>
      </c>
      <c r="V1274">
        <v>122.508</v>
      </c>
      <c r="W1274">
        <v>6</v>
      </c>
      <c r="X1274">
        <v>72.739999999999995</v>
      </c>
      <c r="Y1274">
        <v>90146</v>
      </c>
    </row>
    <row r="1275" spans="1:25" x14ac:dyDescent="0.35">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1">
        <v>42088</v>
      </c>
      <c r="U1275" s="1">
        <v>42090</v>
      </c>
      <c r="V1275">
        <v>-12.026699999999998</v>
      </c>
      <c r="W1275">
        <v>12</v>
      </c>
      <c r="X1275">
        <v>418.75</v>
      </c>
      <c r="Y1275">
        <v>90146</v>
      </c>
    </row>
    <row r="1276" spans="1:25" x14ac:dyDescent="0.35">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1">
        <v>42054</v>
      </c>
      <c r="U1276" s="1">
        <v>42059</v>
      </c>
      <c r="V1276">
        <v>34.067999999999998</v>
      </c>
      <c r="W1276">
        <v>9</v>
      </c>
      <c r="X1276">
        <v>469.59</v>
      </c>
      <c r="Y1276">
        <v>90147</v>
      </c>
    </row>
    <row r="1277" spans="1:25" x14ac:dyDescent="0.35">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1">
        <v>42128</v>
      </c>
      <c r="U1277" s="1">
        <v>42128</v>
      </c>
      <c r="V1277">
        <v>2.9700000000000006</v>
      </c>
      <c r="W1277">
        <v>17</v>
      </c>
      <c r="X1277">
        <v>136.25</v>
      </c>
      <c r="Y1277">
        <v>88165</v>
      </c>
    </row>
    <row r="1278" spans="1:25" x14ac:dyDescent="0.35">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1">
        <v>42010</v>
      </c>
      <c r="U1278" s="1">
        <v>42012</v>
      </c>
      <c r="V1278">
        <v>385.30289999999997</v>
      </c>
      <c r="W1278">
        <v>12</v>
      </c>
      <c r="X1278">
        <v>558.41</v>
      </c>
      <c r="Y1278">
        <v>88163</v>
      </c>
    </row>
    <row r="1279" spans="1:25" x14ac:dyDescent="0.35">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1">
        <v>42010</v>
      </c>
      <c r="U1279" s="1">
        <v>42012</v>
      </c>
      <c r="V1279">
        <v>187.2</v>
      </c>
      <c r="W1279">
        <v>13</v>
      </c>
      <c r="X1279">
        <v>290.22000000000003</v>
      </c>
      <c r="Y1279">
        <v>88163</v>
      </c>
    </row>
    <row r="1280" spans="1:25" x14ac:dyDescent="0.35">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1">
        <v>42039</v>
      </c>
      <c r="U1280" s="1">
        <v>42041</v>
      </c>
      <c r="V1280">
        <v>779.47230000000002</v>
      </c>
      <c r="W1280">
        <v>15</v>
      </c>
      <c r="X1280">
        <v>1129.67</v>
      </c>
      <c r="Y1280">
        <v>88164</v>
      </c>
    </row>
    <row r="1281" spans="1:25" x14ac:dyDescent="0.35">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1">
        <v>42046</v>
      </c>
      <c r="U1281" s="1">
        <v>42048</v>
      </c>
      <c r="V1281">
        <v>27.725999999999999</v>
      </c>
      <c r="W1281">
        <v>9</v>
      </c>
      <c r="X1281">
        <v>2439.37</v>
      </c>
      <c r="Y1281">
        <v>87695</v>
      </c>
    </row>
    <row r="1282" spans="1:25" x14ac:dyDescent="0.35">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1">
        <v>42007</v>
      </c>
      <c r="U1282" s="1">
        <v>42008</v>
      </c>
      <c r="V1282">
        <v>244.464</v>
      </c>
      <c r="W1282">
        <v>8</v>
      </c>
      <c r="X1282">
        <v>92.02</v>
      </c>
      <c r="Y1282">
        <v>87696</v>
      </c>
    </row>
    <row r="1283" spans="1:25" x14ac:dyDescent="0.35">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1">
        <v>42007</v>
      </c>
      <c r="U1283" s="1">
        <v>42008</v>
      </c>
      <c r="V1283">
        <v>-473.57799999999997</v>
      </c>
      <c r="W1283">
        <v>2</v>
      </c>
      <c r="X1283">
        <v>283.55</v>
      </c>
      <c r="Y1283">
        <v>87696</v>
      </c>
    </row>
    <row r="1284" spans="1:25" x14ac:dyDescent="0.35">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1">
        <v>42046</v>
      </c>
      <c r="U1284" s="1">
        <v>42048</v>
      </c>
      <c r="V1284">
        <v>-96.05</v>
      </c>
      <c r="W1284">
        <v>36</v>
      </c>
      <c r="X1284">
        <v>9757.48</v>
      </c>
      <c r="Y1284">
        <v>47493</v>
      </c>
    </row>
    <row r="1285" spans="1:25" x14ac:dyDescent="0.35">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1">
        <v>42007</v>
      </c>
      <c r="U1285" s="1">
        <v>42008</v>
      </c>
      <c r="V1285">
        <v>-270.85000000000002</v>
      </c>
      <c r="W1285">
        <v>6</v>
      </c>
      <c r="X1285">
        <v>850.64</v>
      </c>
      <c r="Y1285">
        <v>37987</v>
      </c>
    </row>
    <row r="1286" spans="1:25" x14ac:dyDescent="0.35">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1">
        <v>42176</v>
      </c>
      <c r="U1286" s="1">
        <v>42179</v>
      </c>
      <c r="V1286">
        <v>800.25509999999986</v>
      </c>
      <c r="W1286">
        <v>12</v>
      </c>
      <c r="X1286">
        <v>1159.79</v>
      </c>
      <c r="Y1286">
        <v>89869</v>
      </c>
    </row>
    <row r="1287" spans="1:25" x14ac:dyDescent="0.35">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1">
        <v>42087</v>
      </c>
      <c r="U1287" s="1">
        <v>42089</v>
      </c>
      <c r="V1287">
        <v>-50.4</v>
      </c>
      <c r="W1287">
        <v>2</v>
      </c>
      <c r="X1287">
        <v>20.22</v>
      </c>
      <c r="Y1287">
        <v>90557</v>
      </c>
    </row>
    <row r="1288" spans="1:25" x14ac:dyDescent="0.35">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1">
        <v>42087</v>
      </c>
      <c r="U1288" s="1">
        <v>42091</v>
      </c>
      <c r="V1288">
        <v>-348.75400000000002</v>
      </c>
      <c r="W1288">
        <v>8</v>
      </c>
      <c r="X1288">
        <v>1548.97</v>
      </c>
      <c r="Y1288">
        <v>90557</v>
      </c>
    </row>
    <row r="1289" spans="1:25" x14ac:dyDescent="0.35">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1">
        <v>42079</v>
      </c>
      <c r="U1289" s="1">
        <v>42080</v>
      </c>
      <c r="V1289">
        <v>-550.42999999999995</v>
      </c>
      <c r="W1289">
        <v>5</v>
      </c>
      <c r="X1289">
        <v>337.86</v>
      </c>
      <c r="Y1289">
        <v>88721</v>
      </c>
    </row>
    <row r="1290" spans="1:25" x14ac:dyDescent="0.35">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1">
        <v>42079</v>
      </c>
      <c r="U1290" s="1">
        <v>42081</v>
      </c>
      <c r="V1290">
        <v>-52.12</v>
      </c>
      <c r="W1290">
        <v>4</v>
      </c>
      <c r="X1290">
        <v>84.21</v>
      </c>
      <c r="Y1290">
        <v>88721</v>
      </c>
    </row>
    <row r="1291" spans="1:25" x14ac:dyDescent="0.35">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1">
        <v>42174</v>
      </c>
      <c r="U1291" s="1">
        <v>42174</v>
      </c>
      <c r="V1291">
        <v>-27.004999999999999</v>
      </c>
      <c r="W1291">
        <v>7</v>
      </c>
      <c r="X1291">
        <v>38.74</v>
      </c>
      <c r="Y1291">
        <v>88722</v>
      </c>
    </row>
    <row r="1292" spans="1:25" x14ac:dyDescent="0.35">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1">
        <v>42087</v>
      </c>
      <c r="U1292" s="1">
        <v>42090</v>
      </c>
      <c r="V1292">
        <v>74.638500000000008</v>
      </c>
      <c r="W1292">
        <v>5</v>
      </c>
      <c r="X1292">
        <v>134.09</v>
      </c>
      <c r="Y1292">
        <v>90964</v>
      </c>
    </row>
    <row r="1293" spans="1:25" x14ac:dyDescent="0.35">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1">
        <v>42178</v>
      </c>
      <c r="U1293" s="1">
        <v>42179</v>
      </c>
      <c r="V1293">
        <v>-122.235</v>
      </c>
      <c r="W1293">
        <v>1</v>
      </c>
      <c r="X1293">
        <v>191.73</v>
      </c>
      <c r="Y1293">
        <v>89611</v>
      </c>
    </row>
    <row r="1294" spans="1:25" x14ac:dyDescent="0.35">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1">
        <v>42100</v>
      </c>
      <c r="U1294" s="1">
        <v>42102</v>
      </c>
      <c r="V1294">
        <v>427.00649999999996</v>
      </c>
      <c r="W1294">
        <v>10</v>
      </c>
      <c r="X1294">
        <v>618.85</v>
      </c>
      <c r="Y1294">
        <v>89608</v>
      </c>
    </row>
    <row r="1295" spans="1:25" x14ac:dyDescent="0.35">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1">
        <v>42103</v>
      </c>
      <c r="U1295" s="1">
        <v>42105</v>
      </c>
      <c r="V1295">
        <v>-190.49</v>
      </c>
      <c r="W1295">
        <v>8</v>
      </c>
      <c r="X1295">
        <v>115.99</v>
      </c>
      <c r="Y1295">
        <v>89609</v>
      </c>
    </row>
    <row r="1296" spans="1:25" x14ac:dyDescent="0.35">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1">
        <v>42103</v>
      </c>
      <c r="U1296" s="1">
        <v>42104</v>
      </c>
      <c r="V1296">
        <v>-8.77</v>
      </c>
      <c r="W1296">
        <v>7</v>
      </c>
      <c r="X1296">
        <v>19.46</v>
      </c>
      <c r="Y1296">
        <v>89609</v>
      </c>
    </row>
    <row r="1297" spans="1:25" x14ac:dyDescent="0.35">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1">
        <v>42157</v>
      </c>
      <c r="U1297" s="1">
        <v>42164</v>
      </c>
      <c r="V1297">
        <v>-7.6849999999999996</v>
      </c>
      <c r="W1297">
        <v>12</v>
      </c>
      <c r="X1297">
        <v>44.75</v>
      </c>
      <c r="Y1297">
        <v>89610</v>
      </c>
    </row>
    <row r="1298" spans="1:25" x14ac:dyDescent="0.35">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1">
        <v>42017</v>
      </c>
      <c r="U1298" s="1">
        <v>42017</v>
      </c>
      <c r="V1298">
        <v>-82.559200000000004</v>
      </c>
      <c r="W1298">
        <v>4</v>
      </c>
      <c r="X1298">
        <v>9.23</v>
      </c>
      <c r="Y1298">
        <v>91480</v>
      </c>
    </row>
    <row r="1299" spans="1:25" x14ac:dyDescent="0.35">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1">
        <v>42092</v>
      </c>
      <c r="U1299" s="1">
        <v>42092</v>
      </c>
      <c r="V1299">
        <v>18.147500000000001</v>
      </c>
      <c r="W1299">
        <v>15</v>
      </c>
      <c r="X1299">
        <v>96.13</v>
      </c>
      <c r="Y1299">
        <v>91481</v>
      </c>
    </row>
    <row r="1300" spans="1:25" x14ac:dyDescent="0.35">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1">
        <v>42149</v>
      </c>
      <c r="U1300" s="1">
        <v>42152</v>
      </c>
      <c r="V1300">
        <v>2.8060000000000027</v>
      </c>
      <c r="W1300">
        <v>6</v>
      </c>
      <c r="X1300">
        <v>73.959999999999994</v>
      </c>
      <c r="Y1300">
        <v>91482</v>
      </c>
    </row>
    <row r="1301" spans="1:25" x14ac:dyDescent="0.35">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1">
        <v>42077</v>
      </c>
      <c r="U1301" s="1">
        <v>42078</v>
      </c>
      <c r="V1301">
        <v>-132.42600000000002</v>
      </c>
      <c r="W1301">
        <v>9</v>
      </c>
      <c r="X1301">
        <v>1805.9</v>
      </c>
      <c r="Y1301">
        <v>89504</v>
      </c>
    </row>
    <row r="1302" spans="1:25" x14ac:dyDescent="0.35">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1">
        <v>42077</v>
      </c>
      <c r="U1302" s="1">
        <v>42077</v>
      </c>
      <c r="V1302">
        <v>-411.23599999999999</v>
      </c>
      <c r="W1302">
        <v>2</v>
      </c>
      <c r="X1302">
        <v>311.41000000000003</v>
      </c>
      <c r="Y1302">
        <v>89504</v>
      </c>
    </row>
    <row r="1303" spans="1:25" x14ac:dyDescent="0.35">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1">
        <v>42014</v>
      </c>
      <c r="U1303" s="1">
        <v>42019</v>
      </c>
      <c r="V1303">
        <v>-48.971999999999994</v>
      </c>
      <c r="W1303">
        <v>12</v>
      </c>
      <c r="X1303">
        <v>3707.05</v>
      </c>
      <c r="Y1303">
        <v>89503</v>
      </c>
    </row>
    <row r="1304" spans="1:25" x14ac:dyDescent="0.35">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1">
        <v>42144</v>
      </c>
      <c r="U1304" s="1">
        <v>42145</v>
      </c>
      <c r="V1304">
        <v>62.297999999999995</v>
      </c>
      <c r="W1304">
        <v>17</v>
      </c>
      <c r="X1304">
        <v>2805.18</v>
      </c>
      <c r="Y1304">
        <v>89505</v>
      </c>
    </row>
    <row r="1305" spans="1:25" x14ac:dyDescent="0.35">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1">
        <v>42093</v>
      </c>
      <c r="U1305" s="1">
        <v>42096</v>
      </c>
      <c r="V1305">
        <v>-119.32</v>
      </c>
      <c r="W1305">
        <v>13</v>
      </c>
      <c r="X1305">
        <v>80.86</v>
      </c>
      <c r="Y1305">
        <v>86163</v>
      </c>
    </row>
    <row r="1306" spans="1:25" x14ac:dyDescent="0.35">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1">
        <v>42175</v>
      </c>
      <c r="U1306" s="1">
        <v>42178</v>
      </c>
      <c r="V1306">
        <v>756.67470000000003</v>
      </c>
      <c r="W1306">
        <v>18</v>
      </c>
      <c r="X1306">
        <v>1096.6300000000001</v>
      </c>
      <c r="Y1306">
        <v>86165</v>
      </c>
    </row>
    <row r="1307" spans="1:25" x14ac:dyDescent="0.35">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1">
        <v>42175</v>
      </c>
      <c r="U1307" s="1">
        <v>42178</v>
      </c>
      <c r="V1307">
        <v>-222.34299999999999</v>
      </c>
      <c r="W1307">
        <v>4</v>
      </c>
      <c r="X1307">
        <v>632.12</v>
      </c>
      <c r="Y1307">
        <v>86165</v>
      </c>
    </row>
    <row r="1308" spans="1:25" x14ac:dyDescent="0.35">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1">
        <v>42178</v>
      </c>
      <c r="U1308" s="1">
        <v>42179</v>
      </c>
      <c r="V1308">
        <v>-1537.1356000000003</v>
      </c>
      <c r="W1308">
        <v>19</v>
      </c>
      <c r="X1308">
        <v>1302.98</v>
      </c>
      <c r="Y1308">
        <v>86166</v>
      </c>
    </row>
    <row r="1309" spans="1:25" x14ac:dyDescent="0.35">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1">
        <v>42123</v>
      </c>
      <c r="U1309" s="1">
        <v>42124</v>
      </c>
      <c r="V1309">
        <v>52.697600000000001</v>
      </c>
      <c r="W1309">
        <v>22</v>
      </c>
      <c r="X1309">
        <v>131.79</v>
      </c>
      <c r="Y1309">
        <v>86164</v>
      </c>
    </row>
    <row r="1310" spans="1:25" x14ac:dyDescent="0.35">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1">
        <v>42123</v>
      </c>
      <c r="U1310" s="1">
        <v>42124</v>
      </c>
      <c r="V1310">
        <v>-78.194159999999982</v>
      </c>
      <c r="W1310">
        <v>2</v>
      </c>
      <c r="X1310">
        <v>35.33</v>
      </c>
      <c r="Y1310">
        <v>86164</v>
      </c>
    </row>
    <row r="1311" spans="1:25" x14ac:dyDescent="0.35">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1">
        <v>42050</v>
      </c>
      <c r="U1311" s="1">
        <v>42051</v>
      </c>
      <c r="V1311">
        <v>465.43949999999995</v>
      </c>
      <c r="W1311">
        <v>9</v>
      </c>
      <c r="X1311">
        <v>674.55</v>
      </c>
      <c r="Y1311">
        <v>91304</v>
      </c>
    </row>
    <row r="1312" spans="1:25" x14ac:dyDescent="0.35">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1">
        <v>42171</v>
      </c>
      <c r="U1312" s="1">
        <v>42173</v>
      </c>
      <c r="V1312">
        <v>-89.27</v>
      </c>
      <c r="W1312">
        <v>12</v>
      </c>
      <c r="X1312">
        <v>1721.24</v>
      </c>
      <c r="Y1312">
        <v>91306</v>
      </c>
    </row>
    <row r="1313" spans="1:25" x14ac:dyDescent="0.35">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1">
        <v>42078</v>
      </c>
      <c r="U1313" s="1">
        <v>42080</v>
      </c>
      <c r="V1313">
        <v>385.37</v>
      </c>
      <c r="W1313">
        <v>22</v>
      </c>
      <c r="X1313">
        <v>668.38</v>
      </c>
      <c r="Y1313">
        <v>91305</v>
      </c>
    </row>
    <row r="1314" spans="1:25" x14ac:dyDescent="0.35">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1">
        <v>42067</v>
      </c>
      <c r="U1314" s="1">
        <v>42071</v>
      </c>
      <c r="V1314">
        <v>147</v>
      </c>
      <c r="W1314">
        <v>2</v>
      </c>
      <c r="X1314">
        <v>324.62</v>
      </c>
      <c r="Y1314">
        <v>88267</v>
      </c>
    </row>
    <row r="1315" spans="1:25" x14ac:dyDescent="0.35">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1">
        <v>42049</v>
      </c>
      <c r="U1315" s="1">
        <v>42051</v>
      </c>
      <c r="V1315">
        <v>-1045.0160000000001</v>
      </c>
      <c r="W1315">
        <v>19</v>
      </c>
      <c r="X1315">
        <v>40.93</v>
      </c>
      <c r="Y1315">
        <v>88268</v>
      </c>
    </row>
    <row r="1316" spans="1:25" x14ac:dyDescent="0.35">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1">
        <v>42040</v>
      </c>
      <c r="U1316" s="1">
        <v>42040</v>
      </c>
      <c r="V1316">
        <v>167.16000000000003</v>
      </c>
      <c r="W1316">
        <v>7</v>
      </c>
      <c r="X1316">
        <v>53.42</v>
      </c>
      <c r="Y1316">
        <v>88265</v>
      </c>
    </row>
    <row r="1317" spans="1:25" x14ac:dyDescent="0.35">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1">
        <v>42060</v>
      </c>
      <c r="U1317" s="1">
        <v>42061</v>
      </c>
      <c r="V1317">
        <v>-344.82000000000005</v>
      </c>
      <c r="W1317">
        <v>1</v>
      </c>
      <c r="X1317">
        <v>8.49</v>
      </c>
      <c r="Y1317">
        <v>88266</v>
      </c>
    </row>
    <row r="1318" spans="1:25" x14ac:dyDescent="0.35">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1">
        <v>42105</v>
      </c>
      <c r="U1318" s="1">
        <v>42107</v>
      </c>
      <c r="V1318">
        <v>-61.5276</v>
      </c>
      <c r="W1318">
        <v>11</v>
      </c>
      <c r="X1318">
        <v>69.89</v>
      </c>
      <c r="Y1318">
        <v>90040</v>
      </c>
    </row>
    <row r="1319" spans="1:25" x14ac:dyDescent="0.35">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1">
        <v>42017</v>
      </c>
      <c r="U1319" s="1">
        <v>42019</v>
      </c>
      <c r="V1319">
        <v>-41.972700000000003</v>
      </c>
      <c r="W1319">
        <v>13</v>
      </c>
      <c r="X1319">
        <v>77.42</v>
      </c>
      <c r="Y1319">
        <v>90408</v>
      </c>
    </row>
    <row r="1320" spans="1:25" x14ac:dyDescent="0.35">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1">
        <v>42078</v>
      </c>
      <c r="U1320" s="1">
        <v>42079</v>
      </c>
      <c r="V1320">
        <v>-1.56</v>
      </c>
      <c r="W1320">
        <v>4</v>
      </c>
      <c r="X1320">
        <v>7.2</v>
      </c>
      <c r="Y1320">
        <v>90714</v>
      </c>
    </row>
    <row r="1321" spans="1:25" x14ac:dyDescent="0.35">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1">
        <v>42068</v>
      </c>
      <c r="U1321" s="1">
        <v>42069</v>
      </c>
      <c r="V1321">
        <v>-100.24</v>
      </c>
      <c r="W1321">
        <v>18</v>
      </c>
      <c r="X1321">
        <v>61.29</v>
      </c>
      <c r="Y1321">
        <v>91321</v>
      </c>
    </row>
    <row r="1322" spans="1:25" x14ac:dyDescent="0.35">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1">
        <v>42068</v>
      </c>
      <c r="U1322" s="1">
        <v>42070</v>
      </c>
      <c r="V1322">
        <v>-262.62</v>
      </c>
      <c r="W1322">
        <v>15</v>
      </c>
      <c r="X1322">
        <v>109.15</v>
      </c>
      <c r="Y1322">
        <v>91321</v>
      </c>
    </row>
    <row r="1323" spans="1:25" x14ac:dyDescent="0.35">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1">
        <v>42129</v>
      </c>
      <c r="U1323" s="1">
        <v>42131</v>
      </c>
      <c r="V1323">
        <v>1019.7095999999999</v>
      </c>
      <c r="W1323">
        <v>12</v>
      </c>
      <c r="X1323">
        <v>1477.84</v>
      </c>
      <c r="Y1323">
        <v>86655</v>
      </c>
    </row>
    <row r="1324" spans="1:25" x14ac:dyDescent="0.35">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1">
        <v>42120</v>
      </c>
      <c r="U1324" s="1">
        <v>42122</v>
      </c>
      <c r="V1324">
        <v>19.04</v>
      </c>
      <c r="W1324">
        <v>9</v>
      </c>
      <c r="X1324">
        <v>29.08</v>
      </c>
      <c r="Y1324">
        <v>86654</v>
      </c>
    </row>
    <row r="1325" spans="1:25" x14ac:dyDescent="0.35">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1">
        <v>42129</v>
      </c>
      <c r="U1325" s="1">
        <v>42131</v>
      </c>
      <c r="V1325">
        <v>-1069.72</v>
      </c>
      <c r="W1325">
        <v>17</v>
      </c>
      <c r="X1325">
        <v>1162.46</v>
      </c>
      <c r="Y1325">
        <v>86655</v>
      </c>
    </row>
    <row r="1326" spans="1:25" x14ac:dyDescent="0.35">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1">
        <v>42120</v>
      </c>
      <c r="U1326" s="1">
        <v>42122</v>
      </c>
      <c r="V1326">
        <v>19.04</v>
      </c>
      <c r="W1326">
        <v>34</v>
      </c>
      <c r="X1326">
        <v>109.86</v>
      </c>
      <c r="Y1326">
        <v>13606</v>
      </c>
    </row>
    <row r="1327" spans="1:25" x14ac:dyDescent="0.35">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1">
        <v>42129</v>
      </c>
      <c r="U1327" s="1">
        <v>42131</v>
      </c>
      <c r="V1327">
        <v>1408.1865</v>
      </c>
      <c r="W1327">
        <v>48</v>
      </c>
      <c r="X1327">
        <v>5911.35</v>
      </c>
      <c r="Y1327">
        <v>962</v>
      </c>
    </row>
    <row r="1328" spans="1:25" x14ac:dyDescent="0.35">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1">
        <v>42129</v>
      </c>
      <c r="U1328" s="1">
        <v>42131</v>
      </c>
      <c r="V1328">
        <v>-1069.72</v>
      </c>
      <c r="W1328">
        <v>68</v>
      </c>
      <c r="X1328">
        <v>4649.8500000000004</v>
      </c>
      <c r="Y1328">
        <v>962</v>
      </c>
    </row>
    <row r="1329" spans="1:25" x14ac:dyDescent="0.35">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1">
        <v>42146</v>
      </c>
      <c r="U1329" s="1">
        <v>42148</v>
      </c>
      <c r="V1329">
        <v>2000.11</v>
      </c>
      <c r="W1329">
        <v>18</v>
      </c>
      <c r="X1329">
        <v>2259.9899999999998</v>
      </c>
      <c r="Y1329">
        <v>89184</v>
      </c>
    </row>
    <row r="1330" spans="1:25" x14ac:dyDescent="0.35">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1">
        <v>42149</v>
      </c>
      <c r="U1330" s="1">
        <v>42150</v>
      </c>
      <c r="V1330">
        <v>-45.64</v>
      </c>
      <c r="W1330">
        <v>9</v>
      </c>
      <c r="X1330">
        <v>42.46</v>
      </c>
      <c r="Y1330">
        <v>91122</v>
      </c>
    </row>
    <row r="1331" spans="1:25" x14ac:dyDescent="0.35">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1">
        <v>42149</v>
      </c>
      <c r="U1331" s="1">
        <v>42151</v>
      </c>
      <c r="V1331">
        <v>204.49</v>
      </c>
      <c r="W1331">
        <v>12</v>
      </c>
      <c r="X1331">
        <v>314.06</v>
      </c>
      <c r="Y1331">
        <v>91122</v>
      </c>
    </row>
    <row r="1332" spans="1:25" x14ac:dyDescent="0.35">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1">
        <v>42159</v>
      </c>
      <c r="U1332" s="1">
        <v>42161</v>
      </c>
      <c r="V1332">
        <v>-1455.9971999999998</v>
      </c>
      <c r="W1332">
        <v>1</v>
      </c>
      <c r="X1332">
        <v>1009.99</v>
      </c>
      <c r="Y1332">
        <v>91123</v>
      </c>
    </row>
    <row r="1333" spans="1:25" x14ac:dyDescent="0.35">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1">
        <v>42159</v>
      </c>
      <c r="U1333" s="1">
        <v>42160</v>
      </c>
      <c r="V1333">
        <v>-22.56</v>
      </c>
      <c r="W1333">
        <v>13</v>
      </c>
      <c r="X1333">
        <v>92.16</v>
      </c>
      <c r="Y1333">
        <v>91123</v>
      </c>
    </row>
    <row r="1334" spans="1:25" x14ac:dyDescent="0.35">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1">
        <v>42153</v>
      </c>
      <c r="U1334" s="1">
        <v>42155</v>
      </c>
      <c r="V1334">
        <v>-1191.5260000000001</v>
      </c>
      <c r="W1334">
        <v>2</v>
      </c>
      <c r="X1334">
        <v>16.5</v>
      </c>
      <c r="Y1334">
        <v>86950</v>
      </c>
    </row>
    <row r="1335" spans="1:25" x14ac:dyDescent="0.35">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1">
        <v>42008</v>
      </c>
      <c r="U1335" s="1">
        <v>42010</v>
      </c>
      <c r="V1335">
        <v>-45.01</v>
      </c>
      <c r="W1335">
        <v>12</v>
      </c>
      <c r="X1335">
        <v>1202.6600000000001</v>
      </c>
      <c r="Y1335">
        <v>86951</v>
      </c>
    </row>
    <row r="1336" spans="1:25" x14ac:dyDescent="0.35">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1">
        <v>42125</v>
      </c>
      <c r="U1336" s="1">
        <v>42127</v>
      </c>
      <c r="V1336">
        <v>39.209999999999994</v>
      </c>
      <c r="W1336">
        <v>16</v>
      </c>
      <c r="X1336">
        <v>196.69</v>
      </c>
      <c r="Y1336">
        <v>86949</v>
      </c>
    </row>
    <row r="1337" spans="1:25" x14ac:dyDescent="0.35">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1">
        <v>42125</v>
      </c>
      <c r="U1337" s="1">
        <v>42125</v>
      </c>
      <c r="V1337">
        <v>100.38000000000001</v>
      </c>
      <c r="W1337">
        <v>9</v>
      </c>
      <c r="X1337">
        <v>40.28</v>
      </c>
      <c r="Y1337">
        <v>86949</v>
      </c>
    </row>
    <row r="1338" spans="1:25" x14ac:dyDescent="0.35">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1">
        <v>42086</v>
      </c>
      <c r="U1338" s="1">
        <v>42087</v>
      </c>
      <c r="V1338">
        <v>79.423200000000008</v>
      </c>
      <c r="W1338">
        <v>15</v>
      </c>
      <c r="X1338">
        <v>904.31</v>
      </c>
      <c r="Y1338">
        <v>86952</v>
      </c>
    </row>
    <row r="1339" spans="1:25" x14ac:dyDescent="0.35">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1">
        <v>42059</v>
      </c>
      <c r="U1339" s="1">
        <v>42061</v>
      </c>
      <c r="V1339">
        <v>-15.090400000000001</v>
      </c>
      <c r="W1339">
        <v>12</v>
      </c>
      <c r="X1339">
        <v>96.86</v>
      </c>
      <c r="Y1339">
        <v>86373</v>
      </c>
    </row>
    <row r="1340" spans="1:25" x14ac:dyDescent="0.35">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1">
        <v>42077</v>
      </c>
      <c r="U1340" s="1">
        <v>42078</v>
      </c>
      <c r="V1340">
        <v>-60.563999999999993</v>
      </c>
      <c r="W1340">
        <v>13</v>
      </c>
      <c r="X1340">
        <v>765.65</v>
      </c>
      <c r="Y1340">
        <v>86754</v>
      </c>
    </row>
    <row r="1341" spans="1:25" x14ac:dyDescent="0.35">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1">
        <v>42010</v>
      </c>
      <c r="U1341" s="1">
        <v>42011</v>
      </c>
      <c r="V1341">
        <v>-1473.9059999999999</v>
      </c>
      <c r="W1341">
        <v>4</v>
      </c>
      <c r="X1341">
        <v>8.7200000000000006</v>
      </c>
      <c r="Y1341">
        <v>86750</v>
      </c>
    </row>
    <row r="1342" spans="1:25" x14ac:dyDescent="0.35">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1">
        <v>42014</v>
      </c>
      <c r="U1342" s="1">
        <v>42015</v>
      </c>
      <c r="V1342">
        <v>-343.12599999999998</v>
      </c>
      <c r="W1342">
        <v>11</v>
      </c>
      <c r="X1342">
        <v>6355.69</v>
      </c>
      <c r="Y1342">
        <v>86753</v>
      </c>
    </row>
    <row r="1343" spans="1:25" x14ac:dyDescent="0.35">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1">
        <v>42014</v>
      </c>
      <c r="U1343" s="1">
        <v>42016</v>
      </c>
      <c r="V1343">
        <v>66.359999999999985</v>
      </c>
      <c r="W1343">
        <v>10</v>
      </c>
      <c r="X1343">
        <v>28.09</v>
      </c>
      <c r="Y1343">
        <v>86753</v>
      </c>
    </row>
    <row r="1344" spans="1:25" x14ac:dyDescent="0.35">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1">
        <v>42089</v>
      </c>
      <c r="U1344" s="1">
        <v>42089</v>
      </c>
      <c r="V1344">
        <v>-162.91800000000001</v>
      </c>
      <c r="W1344">
        <v>5</v>
      </c>
      <c r="X1344">
        <v>1130.1500000000001</v>
      </c>
      <c r="Y1344">
        <v>86751</v>
      </c>
    </row>
    <row r="1345" spans="1:25" x14ac:dyDescent="0.35">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1">
        <v>42089</v>
      </c>
      <c r="U1345" s="1">
        <v>42092</v>
      </c>
      <c r="V1345">
        <v>859.7177999999999</v>
      </c>
      <c r="W1345">
        <v>7</v>
      </c>
      <c r="X1345">
        <v>54.37</v>
      </c>
      <c r="Y1345">
        <v>86751</v>
      </c>
    </row>
    <row r="1346" spans="1:25" x14ac:dyDescent="0.35">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1">
        <v>42130</v>
      </c>
      <c r="U1346" s="1">
        <v>42130</v>
      </c>
      <c r="V1346">
        <v>-23.072000000000003</v>
      </c>
      <c r="W1346">
        <v>11</v>
      </c>
      <c r="X1346">
        <v>100.87</v>
      </c>
      <c r="Y1346">
        <v>86752</v>
      </c>
    </row>
    <row r="1347" spans="1:25" x14ac:dyDescent="0.35">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1">
        <v>42148</v>
      </c>
      <c r="U1347" s="1">
        <v>42149</v>
      </c>
      <c r="V1347">
        <v>650.29999999999995</v>
      </c>
      <c r="W1347">
        <v>12</v>
      </c>
      <c r="X1347">
        <v>1857.08</v>
      </c>
      <c r="Y1347">
        <v>89053</v>
      </c>
    </row>
    <row r="1348" spans="1:25" x14ac:dyDescent="0.35">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1">
        <v>42026</v>
      </c>
      <c r="U1348" s="1">
        <v>42028</v>
      </c>
      <c r="V1348">
        <v>-154.30700000000002</v>
      </c>
      <c r="W1348">
        <v>10</v>
      </c>
      <c r="X1348">
        <v>42.56</v>
      </c>
      <c r="Y1348">
        <v>89055</v>
      </c>
    </row>
    <row r="1349" spans="1:25" x14ac:dyDescent="0.35">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1">
        <v>42025</v>
      </c>
      <c r="U1349" s="1">
        <v>42030</v>
      </c>
      <c r="V1349">
        <v>269.94</v>
      </c>
      <c r="W1349">
        <v>4</v>
      </c>
      <c r="X1349">
        <v>414.91</v>
      </c>
      <c r="Y1349">
        <v>89054</v>
      </c>
    </row>
    <row r="1350" spans="1:25" x14ac:dyDescent="0.35">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1">
        <v>42078</v>
      </c>
      <c r="U1350" s="1">
        <v>42079</v>
      </c>
      <c r="V1350">
        <v>63.059099999999994</v>
      </c>
      <c r="W1350">
        <v>3</v>
      </c>
      <c r="X1350">
        <v>91.39</v>
      </c>
      <c r="Y1350">
        <v>90859</v>
      </c>
    </row>
    <row r="1351" spans="1:25" x14ac:dyDescent="0.35">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1">
        <v>42126</v>
      </c>
      <c r="U1351" s="1">
        <v>42126</v>
      </c>
      <c r="V1351">
        <v>139.58009999999999</v>
      </c>
      <c r="W1351">
        <v>37</v>
      </c>
      <c r="X1351">
        <v>202.29</v>
      </c>
      <c r="Y1351">
        <v>90861</v>
      </c>
    </row>
    <row r="1352" spans="1:25" x14ac:dyDescent="0.35">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1">
        <v>42126</v>
      </c>
      <c r="U1352" s="1">
        <v>42133</v>
      </c>
      <c r="V1352">
        <v>109.67000000000002</v>
      </c>
      <c r="W1352">
        <v>9</v>
      </c>
      <c r="X1352">
        <v>168.71</v>
      </c>
      <c r="Y1352">
        <v>90861</v>
      </c>
    </row>
    <row r="1353" spans="1:25" x14ac:dyDescent="0.35">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1">
        <v>42052</v>
      </c>
      <c r="U1353" s="1">
        <v>42053</v>
      </c>
      <c r="V1353">
        <v>395.30799999999999</v>
      </c>
      <c r="W1353">
        <v>21</v>
      </c>
      <c r="X1353">
        <v>885.65</v>
      </c>
      <c r="Y1353">
        <v>90860</v>
      </c>
    </row>
    <row r="1354" spans="1:25" x14ac:dyDescent="0.35">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1">
        <v>42087</v>
      </c>
      <c r="U1354" s="1">
        <v>42088</v>
      </c>
      <c r="V1354">
        <v>104.9145</v>
      </c>
      <c r="W1354">
        <v>11</v>
      </c>
      <c r="X1354">
        <v>152.05000000000001</v>
      </c>
      <c r="Y1354">
        <v>91108</v>
      </c>
    </row>
    <row r="1355" spans="1:25" x14ac:dyDescent="0.35">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1">
        <v>42104</v>
      </c>
      <c r="U1355" s="1">
        <v>42105</v>
      </c>
      <c r="V1355">
        <v>24.59</v>
      </c>
      <c r="W1355">
        <v>7</v>
      </c>
      <c r="X1355">
        <v>49.1</v>
      </c>
      <c r="Y1355">
        <v>91109</v>
      </c>
    </row>
    <row r="1356" spans="1:25" x14ac:dyDescent="0.35">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1">
        <v>42092</v>
      </c>
      <c r="U1356" s="1">
        <v>42100</v>
      </c>
      <c r="V1356">
        <v>-458.74400000000003</v>
      </c>
      <c r="W1356">
        <v>2</v>
      </c>
      <c r="X1356">
        <v>246.44</v>
      </c>
      <c r="Y1356">
        <v>91110</v>
      </c>
    </row>
    <row r="1357" spans="1:25" x14ac:dyDescent="0.35">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1">
        <v>42165</v>
      </c>
      <c r="U1357" s="1">
        <v>42166</v>
      </c>
      <c r="V1357">
        <v>-9.1769999999999996</v>
      </c>
      <c r="W1357">
        <v>21</v>
      </c>
      <c r="X1357">
        <v>199.08</v>
      </c>
      <c r="Y1357">
        <v>24869</v>
      </c>
    </row>
    <row r="1358" spans="1:25" x14ac:dyDescent="0.35">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1">
        <v>42143</v>
      </c>
      <c r="U1358" s="1">
        <v>42143</v>
      </c>
      <c r="V1358">
        <v>-121.75</v>
      </c>
      <c r="W1358">
        <v>14</v>
      </c>
      <c r="X1358">
        <v>2039.07</v>
      </c>
      <c r="Y1358">
        <v>5920</v>
      </c>
    </row>
    <row r="1359" spans="1:25" x14ac:dyDescent="0.35">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1">
        <v>42143</v>
      </c>
      <c r="U1359" s="1">
        <v>42143</v>
      </c>
      <c r="V1359">
        <v>24.350000000000023</v>
      </c>
      <c r="W1359">
        <v>3</v>
      </c>
      <c r="X1359">
        <v>436.94</v>
      </c>
      <c r="Y1359">
        <v>89096</v>
      </c>
    </row>
    <row r="1360" spans="1:25" x14ac:dyDescent="0.35">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1">
        <v>42161</v>
      </c>
      <c r="U1360" s="1">
        <v>42163</v>
      </c>
      <c r="V1360">
        <v>-34.764499999999998</v>
      </c>
      <c r="W1360">
        <v>6</v>
      </c>
      <c r="X1360">
        <v>37.380000000000003</v>
      </c>
      <c r="Y1360">
        <v>89097</v>
      </c>
    </row>
    <row r="1361" spans="1:25" x14ac:dyDescent="0.35">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1">
        <v>42165</v>
      </c>
      <c r="U1361" s="1">
        <v>42166</v>
      </c>
      <c r="V1361">
        <v>-7.3415999999999997</v>
      </c>
      <c r="W1361">
        <v>5</v>
      </c>
      <c r="X1361">
        <v>47.4</v>
      </c>
      <c r="Y1361">
        <v>89095</v>
      </c>
    </row>
    <row r="1362" spans="1:25" x14ac:dyDescent="0.35">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1">
        <v>42064</v>
      </c>
      <c r="U1362" s="1">
        <v>42066</v>
      </c>
      <c r="V1362">
        <v>35.290000000000049</v>
      </c>
      <c r="W1362">
        <v>3</v>
      </c>
      <c r="X1362">
        <v>260</v>
      </c>
      <c r="Y1362">
        <v>90301</v>
      </c>
    </row>
    <row r="1363" spans="1:25" x14ac:dyDescent="0.35">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1">
        <v>42098</v>
      </c>
      <c r="U1363" s="1">
        <v>42098</v>
      </c>
      <c r="V1363">
        <v>-100.17</v>
      </c>
      <c r="W1363">
        <v>11</v>
      </c>
      <c r="X1363">
        <v>709.7</v>
      </c>
      <c r="Y1363">
        <v>89300</v>
      </c>
    </row>
    <row r="1364" spans="1:25" x14ac:dyDescent="0.35">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1">
        <v>42098</v>
      </c>
      <c r="U1364" s="1">
        <v>42100</v>
      </c>
      <c r="V1364">
        <v>-3.9479999999999995</v>
      </c>
      <c r="W1364">
        <v>5</v>
      </c>
      <c r="X1364">
        <v>27.42</v>
      </c>
      <c r="Y1364">
        <v>89300</v>
      </c>
    </row>
    <row r="1365" spans="1:25" x14ac:dyDescent="0.35">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1">
        <v>42022</v>
      </c>
      <c r="U1365" s="1">
        <v>42022</v>
      </c>
      <c r="V1365">
        <v>1633.9859999999999</v>
      </c>
      <c r="W1365">
        <v>13</v>
      </c>
      <c r="X1365">
        <v>739.06</v>
      </c>
      <c r="Y1365">
        <v>89299</v>
      </c>
    </row>
    <row r="1366" spans="1:25" x14ac:dyDescent="0.35">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1">
        <v>42156</v>
      </c>
      <c r="U1366" s="1">
        <v>42158</v>
      </c>
      <c r="V1366">
        <v>-2002.6314000000002</v>
      </c>
      <c r="W1366">
        <v>13</v>
      </c>
      <c r="X1366">
        <v>30.47</v>
      </c>
      <c r="Y1366">
        <v>89301</v>
      </c>
    </row>
    <row r="1367" spans="1:25" x14ac:dyDescent="0.35">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1">
        <v>42184</v>
      </c>
      <c r="U1367" s="1">
        <v>42186</v>
      </c>
      <c r="V1367">
        <v>-126.208</v>
      </c>
      <c r="W1367">
        <v>16</v>
      </c>
      <c r="X1367">
        <v>96.96</v>
      </c>
      <c r="Y1367">
        <v>87790</v>
      </c>
    </row>
    <row r="1368" spans="1:25" x14ac:dyDescent="0.35">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1">
        <v>42147</v>
      </c>
      <c r="U1368" s="1">
        <v>42149</v>
      </c>
      <c r="V1368">
        <v>-5.54</v>
      </c>
      <c r="W1368">
        <v>1</v>
      </c>
      <c r="X1368">
        <v>4.21</v>
      </c>
      <c r="Y1368">
        <v>90322</v>
      </c>
    </row>
    <row r="1369" spans="1:25" x14ac:dyDescent="0.35">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1">
        <v>42064</v>
      </c>
      <c r="U1369" s="1">
        <v>42067</v>
      </c>
      <c r="V1369">
        <v>-68.432000000000002</v>
      </c>
      <c r="W1369">
        <v>1</v>
      </c>
      <c r="X1369">
        <v>3550.28</v>
      </c>
      <c r="Y1369">
        <v>89219</v>
      </c>
    </row>
    <row r="1370" spans="1:25" x14ac:dyDescent="0.35">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1">
        <v>42026</v>
      </c>
      <c r="U1370" s="1">
        <v>42027</v>
      </c>
      <c r="V1370">
        <v>733.2822000000001</v>
      </c>
      <c r="W1370">
        <v>7</v>
      </c>
      <c r="X1370">
        <v>1188.6300000000001</v>
      </c>
      <c r="Y1370">
        <v>89218</v>
      </c>
    </row>
    <row r="1371" spans="1:25" x14ac:dyDescent="0.35">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1">
        <v>42026</v>
      </c>
      <c r="U1371" s="1">
        <v>42027</v>
      </c>
      <c r="V1371">
        <v>-905.99039999999991</v>
      </c>
      <c r="W1371">
        <v>11</v>
      </c>
      <c r="X1371">
        <v>1009.93</v>
      </c>
      <c r="Y1371">
        <v>89218</v>
      </c>
    </row>
    <row r="1372" spans="1:25" x14ac:dyDescent="0.35">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1">
        <v>42026</v>
      </c>
      <c r="U1372" s="1">
        <v>42026</v>
      </c>
      <c r="V1372">
        <v>-21.63242</v>
      </c>
      <c r="W1372">
        <v>9</v>
      </c>
      <c r="X1372">
        <v>140.69999999999999</v>
      </c>
      <c r="Y1372">
        <v>89218</v>
      </c>
    </row>
    <row r="1373" spans="1:25" x14ac:dyDescent="0.35">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1">
        <v>42007</v>
      </c>
      <c r="U1373" s="1">
        <v>42009</v>
      </c>
      <c r="V1373">
        <v>-35.04</v>
      </c>
      <c r="W1373">
        <v>2</v>
      </c>
      <c r="X1373">
        <v>15.95</v>
      </c>
      <c r="Y1373">
        <v>91285</v>
      </c>
    </row>
    <row r="1374" spans="1:25" x14ac:dyDescent="0.35">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1">
        <v>42147</v>
      </c>
      <c r="U1374" s="1">
        <v>42149</v>
      </c>
      <c r="V1374">
        <v>5.980000000000004</v>
      </c>
      <c r="W1374">
        <v>3</v>
      </c>
      <c r="X1374">
        <v>42.35</v>
      </c>
      <c r="Y1374">
        <v>91286</v>
      </c>
    </row>
    <row r="1375" spans="1:25" x14ac:dyDescent="0.35">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1">
        <v>42007</v>
      </c>
      <c r="U1375" s="1">
        <v>42009</v>
      </c>
      <c r="V1375">
        <v>-35.04</v>
      </c>
      <c r="W1375">
        <v>8</v>
      </c>
      <c r="X1375">
        <v>63.78</v>
      </c>
      <c r="Y1375">
        <v>30785</v>
      </c>
    </row>
    <row r="1376" spans="1:25" x14ac:dyDescent="0.35">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1">
        <v>42007</v>
      </c>
      <c r="U1376" s="1">
        <v>42010</v>
      </c>
      <c r="V1376">
        <v>149.53</v>
      </c>
      <c r="W1376">
        <v>46</v>
      </c>
      <c r="X1376">
        <v>451.61</v>
      </c>
      <c r="Y1376">
        <v>30785</v>
      </c>
    </row>
    <row r="1377" spans="1:25" x14ac:dyDescent="0.35">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1">
        <v>42135</v>
      </c>
      <c r="U1377" s="1">
        <v>42137</v>
      </c>
      <c r="V1377">
        <v>608.26199999999994</v>
      </c>
      <c r="W1377">
        <v>4</v>
      </c>
      <c r="X1377">
        <v>10.41</v>
      </c>
      <c r="Y1377">
        <v>88713</v>
      </c>
    </row>
    <row r="1378" spans="1:25" x14ac:dyDescent="0.35">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1">
        <v>42135</v>
      </c>
      <c r="U1378" s="1">
        <v>42135</v>
      </c>
      <c r="V1378">
        <v>-570.16960000000006</v>
      </c>
      <c r="W1378">
        <v>16</v>
      </c>
      <c r="X1378">
        <v>2849.64</v>
      </c>
      <c r="Y1378">
        <v>88713</v>
      </c>
    </row>
    <row r="1379" spans="1:25" x14ac:dyDescent="0.35">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1">
        <v>42024</v>
      </c>
      <c r="U1379" s="1">
        <v>42027</v>
      </c>
      <c r="V1379">
        <v>1.278</v>
      </c>
      <c r="W1379">
        <v>6</v>
      </c>
      <c r="X1379">
        <v>38.04</v>
      </c>
      <c r="Y1379">
        <v>88714</v>
      </c>
    </row>
    <row r="1380" spans="1:25" x14ac:dyDescent="0.35">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1">
        <v>42024</v>
      </c>
      <c r="U1380" s="1">
        <v>42025</v>
      </c>
      <c r="V1380">
        <v>424.28999999999996</v>
      </c>
      <c r="W1380">
        <v>14</v>
      </c>
      <c r="X1380">
        <v>42.53</v>
      </c>
      <c r="Y1380">
        <v>88714</v>
      </c>
    </row>
    <row r="1381" spans="1:25" x14ac:dyDescent="0.35">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1">
        <v>42062</v>
      </c>
      <c r="U1381" s="1">
        <v>42063</v>
      </c>
      <c r="V1381">
        <v>-3.71956</v>
      </c>
      <c r="W1381">
        <v>7</v>
      </c>
      <c r="X1381">
        <v>14.77</v>
      </c>
      <c r="Y1381">
        <v>88136</v>
      </c>
    </row>
    <row r="1382" spans="1:25" x14ac:dyDescent="0.35">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1">
        <v>42062</v>
      </c>
      <c r="U1382" s="1">
        <v>42063</v>
      </c>
      <c r="V1382">
        <v>101.97200000000001</v>
      </c>
      <c r="W1382">
        <v>8</v>
      </c>
      <c r="X1382">
        <v>438.33</v>
      </c>
      <c r="Y1382">
        <v>88136</v>
      </c>
    </row>
    <row r="1383" spans="1:25" x14ac:dyDescent="0.35">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1">
        <v>42062</v>
      </c>
      <c r="U1383" s="1">
        <v>42062</v>
      </c>
      <c r="V1383">
        <v>-16.634799999999998</v>
      </c>
      <c r="W1383">
        <v>7</v>
      </c>
      <c r="X1383">
        <v>38.11</v>
      </c>
      <c r="Y1383">
        <v>88136</v>
      </c>
    </row>
    <row r="1384" spans="1:25" x14ac:dyDescent="0.35">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1">
        <v>42121</v>
      </c>
      <c r="U1384" s="1">
        <v>42123</v>
      </c>
      <c r="V1384">
        <v>765.75</v>
      </c>
      <c r="W1384">
        <v>3</v>
      </c>
      <c r="X1384">
        <v>169.46</v>
      </c>
      <c r="Y1384">
        <v>88135</v>
      </c>
    </row>
    <row r="1385" spans="1:25" x14ac:dyDescent="0.35">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1">
        <v>42076</v>
      </c>
      <c r="U1385" s="1">
        <v>42077</v>
      </c>
      <c r="V1385">
        <v>-335.041</v>
      </c>
      <c r="W1385">
        <v>13</v>
      </c>
      <c r="X1385">
        <v>724.57</v>
      </c>
      <c r="Y1385">
        <v>88137</v>
      </c>
    </row>
    <row r="1386" spans="1:25" x14ac:dyDescent="0.35">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1">
        <v>42056</v>
      </c>
      <c r="U1386" s="1">
        <v>42056</v>
      </c>
      <c r="V1386">
        <v>35.279699999999998</v>
      </c>
      <c r="W1386">
        <v>10</v>
      </c>
      <c r="X1386">
        <v>51.13</v>
      </c>
      <c r="Y1386">
        <v>86514</v>
      </c>
    </row>
    <row r="1387" spans="1:25" x14ac:dyDescent="0.35">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1">
        <v>42100</v>
      </c>
      <c r="U1387" s="1">
        <v>42102</v>
      </c>
      <c r="V1387">
        <v>-188.03399999999999</v>
      </c>
      <c r="W1387">
        <v>14</v>
      </c>
      <c r="X1387">
        <v>79.61</v>
      </c>
      <c r="Y1387">
        <v>91000</v>
      </c>
    </row>
    <row r="1388" spans="1:25" x14ac:dyDescent="0.35">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1">
        <v>42076</v>
      </c>
      <c r="U1388" s="1">
        <v>42077</v>
      </c>
      <c r="V1388">
        <v>322.12199999999996</v>
      </c>
      <c r="W1388">
        <v>16</v>
      </c>
      <c r="X1388">
        <v>109.99</v>
      </c>
      <c r="Y1388">
        <v>88998</v>
      </c>
    </row>
    <row r="1389" spans="1:25" x14ac:dyDescent="0.35">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1">
        <v>42076</v>
      </c>
      <c r="U1389" s="1">
        <v>42077</v>
      </c>
      <c r="V1389">
        <v>366.53999999999996</v>
      </c>
      <c r="W1389">
        <v>8</v>
      </c>
      <c r="X1389">
        <v>900.12</v>
      </c>
      <c r="Y1389">
        <v>88998</v>
      </c>
    </row>
    <row r="1390" spans="1:25" x14ac:dyDescent="0.35">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1">
        <v>42041</v>
      </c>
      <c r="U1390" s="1">
        <v>42042</v>
      </c>
      <c r="V1390">
        <v>-439.90800000000002</v>
      </c>
      <c r="W1390">
        <v>4</v>
      </c>
      <c r="X1390">
        <v>237.62</v>
      </c>
      <c r="Y1390">
        <v>91414</v>
      </c>
    </row>
    <row r="1391" spans="1:25" x14ac:dyDescent="0.35">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1">
        <v>42041</v>
      </c>
      <c r="U1391" s="1">
        <v>42043</v>
      </c>
      <c r="V1391">
        <v>1087.7159999999999</v>
      </c>
      <c r="W1391">
        <v>1</v>
      </c>
      <c r="X1391">
        <v>176.42</v>
      </c>
      <c r="Y1391">
        <v>91414</v>
      </c>
    </row>
    <row r="1392" spans="1:25" x14ac:dyDescent="0.35">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1">
        <v>42038</v>
      </c>
      <c r="U1392" s="1">
        <v>42040</v>
      </c>
      <c r="V1392">
        <v>9.2040000000000006</v>
      </c>
      <c r="W1392">
        <v>11</v>
      </c>
      <c r="X1392">
        <v>2084.16</v>
      </c>
      <c r="Y1392">
        <v>91416</v>
      </c>
    </row>
    <row r="1393" spans="1:25" x14ac:dyDescent="0.35">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1">
        <v>42175</v>
      </c>
      <c r="U1393" s="1">
        <v>42176</v>
      </c>
      <c r="V1393">
        <v>257.08319999999998</v>
      </c>
      <c r="W1393">
        <v>14</v>
      </c>
      <c r="X1393">
        <v>43.41</v>
      </c>
      <c r="Y1393">
        <v>91415</v>
      </c>
    </row>
    <row r="1394" spans="1:25" x14ac:dyDescent="0.35">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1">
        <v>42175</v>
      </c>
      <c r="U1394" s="1">
        <v>42176</v>
      </c>
      <c r="V1394">
        <v>0.7854000000000001</v>
      </c>
      <c r="W1394">
        <v>18</v>
      </c>
      <c r="X1394">
        <v>46.42</v>
      </c>
      <c r="Y1394">
        <v>91415</v>
      </c>
    </row>
    <row r="1395" spans="1:25" x14ac:dyDescent="0.35">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1">
        <v>42157</v>
      </c>
      <c r="U1395" s="1">
        <v>42158</v>
      </c>
      <c r="V1395">
        <v>88.56</v>
      </c>
      <c r="W1395">
        <v>8</v>
      </c>
      <c r="X1395">
        <v>1140.95</v>
      </c>
      <c r="Y1395">
        <v>91417</v>
      </c>
    </row>
    <row r="1396" spans="1:25" x14ac:dyDescent="0.35">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1">
        <v>42103</v>
      </c>
      <c r="U1396" s="1">
        <v>42103</v>
      </c>
      <c r="V1396">
        <v>12.726000000000001</v>
      </c>
      <c r="W1396">
        <v>9</v>
      </c>
      <c r="X1396">
        <v>42.69</v>
      </c>
      <c r="Y1396">
        <v>86887</v>
      </c>
    </row>
    <row r="1397" spans="1:25" x14ac:dyDescent="0.35">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1">
        <v>42103</v>
      </c>
      <c r="U1397" s="1">
        <v>42104</v>
      </c>
      <c r="V1397">
        <v>160.8066</v>
      </c>
      <c r="W1397">
        <v>11</v>
      </c>
      <c r="X1397">
        <v>327.41000000000003</v>
      </c>
      <c r="Y1397">
        <v>86887</v>
      </c>
    </row>
    <row r="1398" spans="1:25" x14ac:dyDescent="0.35">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1">
        <v>42046</v>
      </c>
      <c r="U1398" s="1">
        <v>42048</v>
      </c>
      <c r="V1398">
        <v>-1596.7457999999999</v>
      </c>
      <c r="W1398">
        <v>2</v>
      </c>
      <c r="X1398">
        <v>3786.84</v>
      </c>
      <c r="Y1398">
        <v>86883</v>
      </c>
    </row>
    <row r="1399" spans="1:25" x14ac:dyDescent="0.35">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1">
        <v>42120</v>
      </c>
      <c r="U1399" s="1">
        <v>42121</v>
      </c>
      <c r="V1399">
        <v>1388.3558999999998</v>
      </c>
      <c r="W1399">
        <v>5</v>
      </c>
      <c r="X1399">
        <v>2012.11</v>
      </c>
      <c r="Y1399">
        <v>86885</v>
      </c>
    </row>
    <row r="1400" spans="1:25" x14ac:dyDescent="0.35">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1">
        <v>42016</v>
      </c>
      <c r="U1400" s="1">
        <v>42016</v>
      </c>
      <c r="V1400">
        <v>109.83600000000001</v>
      </c>
      <c r="W1400">
        <v>9</v>
      </c>
      <c r="X1400">
        <v>471.66</v>
      </c>
      <c r="Y1400">
        <v>86886</v>
      </c>
    </row>
    <row r="1401" spans="1:25" x14ac:dyDescent="0.35">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1">
        <v>42049</v>
      </c>
      <c r="U1401" s="1">
        <v>42051</v>
      </c>
      <c r="V1401">
        <v>-93.849999999999909</v>
      </c>
      <c r="W1401">
        <v>2</v>
      </c>
      <c r="X1401">
        <v>662.8</v>
      </c>
      <c r="Y1401">
        <v>86884</v>
      </c>
    </row>
    <row r="1402" spans="1:25" x14ac:dyDescent="0.35">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1">
        <v>42016</v>
      </c>
      <c r="U1402" s="1">
        <v>42018</v>
      </c>
      <c r="V1402">
        <v>82.703399999999988</v>
      </c>
      <c r="W1402">
        <v>11</v>
      </c>
      <c r="X1402">
        <v>119.86</v>
      </c>
      <c r="Y1402">
        <v>86886</v>
      </c>
    </row>
    <row r="1403" spans="1:25" x14ac:dyDescent="0.35">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1">
        <v>42049</v>
      </c>
      <c r="U1403" s="1">
        <v>42051</v>
      </c>
      <c r="V1403">
        <v>-93.849999999999909</v>
      </c>
      <c r="W1403">
        <v>8</v>
      </c>
      <c r="X1403">
        <v>2651.21</v>
      </c>
      <c r="Y1403">
        <v>48836</v>
      </c>
    </row>
    <row r="1404" spans="1:25" x14ac:dyDescent="0.35">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1">
        <v>42120</v>
      </c>
      <c r="U1404" s="1">
        <v>42122</v>
      </c>
      <c r="V1404">
        <v>0.36999999999999922</v>
      </c>
      <c r="W1404">
        <v>9</v>
      </c>
      <c r="X1404">
        <v>38.96</v>
      </c>
      <c r="Y1404">
        <v>11712</v>
      </c>
    </row>
    <row r="1405" spans="1:25" x14ac:dyDescent="0.35">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1">
        <v>42120</v>
      </c>
      <c r="U1405" s="1">
        <v>42121</v>
      </c>
      <c r="V1405">
        <v>1947.67</v>
      </c>
      <c r="W1405">
        <v>20</v>
      </c>
      <c r="X1405">
        <v>8048.45</v>
      </c>
      <c r="Y1405">
        <v>23042</v>
      </c>
    </row>
    <row r="1406" spans="1:25" x14ac:dyDescent="0.35">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1">
        <v>42016</v>
      </c>
      <c r="U1406" s="1">
        <v>42016</v>
      </c>
      <c r="V1406">
        <v>109.83600000000001</v>
      </c>
      <c r="W1406">
        <v>37</v>
      </c>
      <c r="X1406">
        <v>1939.03</v>
      </c>
      <c r="Y1406">
        <v>23877</v>
      </c>
    </row>
    <row r="1407" spans="1:25" x14ac:dyDescent="0.35">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1">
        <v>42016</v>
      </c>
      <c r="U1407" s="1">
        <v>42018</v>
      </c>
      <c r="V1407">
        <v>128.03</v>
      </c>
      <c r="W1407">
        <v>42</v>
      </c>
      <c r="X1407">
        <v>457.63</v>
      </c>
      <c r="Y1407">
        <v>23877</v>
      </c>
    </row>
    <row r="1408" spans="1:25" x14ac:dyDescent="0.35">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1">
        <v>42103</v>
      </c>
      <c r="U1408" s="1">
        <v>42103</v>
      </c>
      <c r="V1408">
        <v>31.751999999999999</v>
      </c>
      <c r="W1408">
        <v>36</v>
      </c>
      <c r="X1408">
        <v>170.75</v>
      </c>
      <c r="Y1408">
        <v>14785</v>
      </c>
    </row>
    <row r="1409" spans="1:25" x14ac:dyDescent="0.35">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1">
        <v>42103</v>
      </c>
      <c r="U1409" s="1">
        <v>42104</v>
      </c>
      <c r="V1409">
        <v>117.208</v>
      </c>
      <c r="W1409">
        <v>45</v>
      </c>
      <c r="X1409">
        <v>1339.42</v>
      </c>
      <c r="Y1409">
        <v>14785</v>
      </c>
    </row>
    <row r="1410" spans="1:25" x14ac:dyDescent="0.35">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1">
        <v>42120</v>
      </c>
      <c r="U1410" s="1">
        <v>42122</v>
      </c>
      <c r="V1410">
        <v>0.36999999999999922</v>
      </c>
      <c r="W1410">
        <v>2</v>
      </c>
      <c r="X1410">
        <v>8.66</v>
      </c>
      <c r="Y1410">
        <v>86885</v>
      </c>
    </row>
    <row r="1411" spans="1:25" x14ac:dyDescent="0.35">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1">
        <v>42053</v>
      </c>
      <c r="U1411" s="1">
        <v>42055</v>
      </c>
      <c r="V1411">
        <v>1240.25</v>
      </c>
      <c r="W1411">
        <v>30</v>
      </c>
      <c r="X1411">
        <v>10554.63</v>
      </c>
      <c r="Y1411">
        <v>16547</v>
      </c>
    </row>
    <row r="1412" spans="1:25" x14ac:dyDescent="0.35">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1">
        <v>42053</v>
      </c>
      <c r="U1412" s="1">
        <v>42053</v>
      </c>
      <c r="V1412">
        <v>-533.23200000000008</v>
      </c>
      <c r="W1412">
        <v>8</v>
      </c>
      <c r="X1412">
        <v>1749.64</v>
      </c>
      <c r="Y1412">
        <v>16547</v>
      </c>
    </row>
    <row r="1413" spans="1:25" x14ac:dyDescent="0.35">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1">
        <v>42037</v>
      </c>
      <c r="U1413" s="1">
        <v>42039</v>
      </c>
      <c r="V1413">
        <v>-61.59</v>
      </c>
      <c r="W1413">
        <v>56</v>
      </c>
      <c r="X1413">
        <v>355.4</v>
      </c>
      <c r="Y1413">
        <v>54567</v>
      </c>
    </row>
    <row r="1414" spans="1:25" x14ac:dyDescent="0.35">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1">
        <v>42040</v>
      </c>
      <c r="U1414" s="1">
        <v>42041</v>
      </c>
      <c r="V1414">
        <v>-46.25</v>
      </c>
      <c r="W1414">
        <v>88</v>
      </c>
      <c r="X1414">
        <v>148.36000000000001</v>
      </c>
      <c r="Y1414">
        <v>20007</v>
      </c>
    </row>
    <row r="1415" spans="1:25" x14ac:dyDescent="0.35">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1">
        <v>42053</v>
      </c>
      <c r="U1415" s="1">
        <v>42055</v>
      </c>
      <c r="V1415">
        <v>1240.25</v>
      </c>
      <c r="W1415">
        <v>8</v>
      </c>
      <c r="X1415">
        <v>2814.57</v>
      </c>
      <c r="Y1415">
        <v>88319</v>
      </c>
    </row>
    <row r="1416" spans="1:25" x14ac:dyDescent="0.35">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1">
        <v>42037</v>
      </c>
      <c r="U1416" s="1">
        <v>42039</v>
      </c>
      <c r="V1416">
        <v>-32.026800000000001</v>
      </c>
      <c r="W1416">
        <v>14</v>
      </c>
      <c r="X1416">
        <v>88.85</v>
      </c>
      <c r="Y1416">
        <v>88320</v>
      </c>
    </row>
    <row r="1417" spans="1:25" x14ac:dyDescent="0.35">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1">
        <v>42082</v>
      </c>
      <c r="U1417" s="1">
        <v>42082</v>
      </c>
      <c r="V1417">
        <v>-45.816000000000003</v>
      </c>
      <c r="W1417">
        <v>3</v>
      </c>
      <c r="X1417">
        <v>70.819999999999993</v>
      </c>
      <c r="Y1417">
        <v>91310</v>
      </c>
    </row>
    <row r="1418" spans="1:25" x14ac:dyDescent="0.35">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1">
        <v>42082</v>
      </c>
      <c r="U1418" s="1">
        <v>42083</v>
      </c>
      <c r="V1418">
        <v>30.63</v>
      </c>
      <c r="W1418">
        <v>7</v>
      </c>
      <c r="X1418">
        <v>90.44</v>
      </c>
      <c r="Y1418">
        <v>91310</v>
      </c>
    </row>
    <row r="1419" spans="1:25" x14ac:dyDescent="0.35">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1">
        <v>42160</v>
      </c>
      <c r="U1419" s="1">
        <v>42162</v>
      </c>
      <c r="V1419">
        <v>-6.835</v>
      </c>
      <c r="W1419">
        <v>1</v>
      </c>
      <c r="X1419">
        <v>10.72</v>
      </c>
      <c r="Y1419">
        <v>87033</v>
      </c>
    </row>
    <row r="1420" spans="1:25" x14ac:dyDescent="0.35">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1">
        <v>42160</v>
      </c>
      <c r="U1420" s="1">
        <v>42162</v>
      </c>
      <c r="V1420">
        <v>7024.2068999999992</v>
      </c>
      <c r="W1420">
        <v>15</v>
      </c>
      <c r="X1420">
        <v>10180.01</v>
      </c>
      <c r="Y1420">
        <v>87033</v>
      </c>
    </row>
    <row r="1421" spans="1:25" x14ac:dyDescent="0.35">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1">
        <v>42012</v>
      </c>
      <c r="U1421" s="1">
        <v>42016</v>
      </c>
      <c r="V1421">
        <v>-137.494</v>
      </c>
      <c r="W1421">
        <v>7</v>
      </c>
      <c r="X1421">
        <v>42.44</v>
      </c>
      <c r="Y1421">
        <v>87031</v>
      </c>
    </row>
    <row r="1422" spans="1:25" x14ac:dyDescent="0.35">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1">
        <v>42129</v>
      </c>
      <c r="U1422" s="1">
        <v>42129</v>
      </c>
      <c r="V1422">
        <v>308.67</v>
      </c>
      <c r="W1422">
        <v>15</v>
      </c>
      <c r="X1422">
        <v>462.57</v>
      </c>
      <c r="Y1422">
        <v>87029</v>
      </c>
    </row>
    <row r="1423" spans="1:25" x14ac:dyDescent="0.35">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1">
        <v>42170</v>
      </c>
      <c r="U1423" s="1">
        <v>42172</v>
      </c>
      <c r="V1423">
        <v>-223.94400000000002</v>
      </c>
      <c r="W1423">
        <v>19</v>
      </c>
      <c r="X1423">
        <v>125.37</v>
      </c>
      <c r="Y1423">
        <v>87030</v>
      </c>
    </row>
    <row r="1424" spans="1:25" x14ac:dyDescent="0.35">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1">
        <v>42160</v>
      </c>
      <c r="U1424" s="1">
        <v>42162</v>
      </c>
      <c r="V1424">
        <v>36.494999999999997</v>
      </c>
      <c r="W1424">
        <v>11</v>
      </c>
      <c r="X1424">
        <v>190.85</v>
      </c>
      <c r="Y1424">
        <v>87033</v>
      </c>
    </row>
    <row r="1425" spans="1:25" x14ac:dyDescent="0.35">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1">
        <v>42160</v>
      </c>
      <c r="U1425" s="1">
        <v>42161</v>
      </c>
      <c r="V1425">
        <v>255.76919999999998</v>
      </c>
      <c r="W1425">
        <v>12</v>
      </c>
      <c r="X1425">
        <v>370.68</v>
      </c>
      <c r="Y1425">
        <v>87033</v>
      </c>
    </row>
    <row r="1426" spans="1:25" x14ac:dyDescent="0.35">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1">
        <v>42053</v>
      </c>
      <c r="U1426" s="1">
        <v>42056</v>
      </c>
      <c r="V1426">
        <v>1656.6554999999998</v>
      </c>
      <c r="W1426">
        <v>15</v>
      </c>
      <c r="X1426">
        <v>2400.9499999999998</v>
      </c>
      <c r="Y1426">
        <v>87032</v>
      </c>
    </row>
    <row r="1427" spans="1:25" x14ac:dyDescent="0.35">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1">
        <v>42160</v>
      </c>
      <c r="U1427" s="1">
        <v>42163</v>
      </c>
      <c r="V1427">
        <v>2639.0099999999998</v>
      </c>
      <c r="W1427">
        <v>6</v>
      </c>
      <c r="X1427">
        <v>7303.05</v>
      </c>
      <c r="Y1427">
        <v>87033</v>
      </c>
    </row>
    <row r="1428" spans="1:25" x14ac:dyDescent="0.35">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1">
        <v>42147</v>
      </c>
      <c r="U1428" s="1">
        <v>42149</v>
      </c>
      <c r="V1428">
        <v>395.76</v>
      </c>
      <c r="W1428">
        <v>24</v>
      </c>
      <c r="X1428">
        <v>58.05</v>
      </c>
      <c r="Y1428">
        <v>87208</v>
      </c>
    </row>
    <row r="1429" spans="1:25" x14ac:dyDescent="0.35">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1">
        <v>42147</v>
      </c>
      <c r="U1429" s="1">
        <v>42149</v>
      </c>
      <c r="V1429">
        <v>-39.396000000000001</v>
      </c>
      <c r="W1429">
        <v>3</v>
      </c>
      <c r="X1429">
        <v>68.64</v>
      </c>
      <c r="Y1429">
        <v>87208</v>
      </c>
    </row>
    <row r="1430" spans="1:25" x14ac:dyDescent="0.35">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1">
        <v>42092</v>
      </c>
      <c r="U1430" s="1">
        <v>42093</v>
      </c>
      <c r="V1430">
        <v>-89.5</v>
      </c>
      <c r="W1430">
        <v>7</v>
      </c>
      <c r="X1430">
        <v>277.07</v>
      </c>
      <c r="Y1430">
        <v>87451</v>
      </c>
    </row>
    <row r="1431" spans="1:25" x14ac:dyDescent="0.35">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1">
        <v>42126</v>
      </c>
      <c r="U1431" s="1">
        <v>42128</v>
      </c>
      <c r="V1431">
        <v>28.4</v>
      </c>
      <c r="W1431">
        <v>14</v>
      </c>
      <c r="X1431">
        <v>51.99</v>
      </c>
      <c r="Y1431">
        <v>87452</v>
      </c>
    </row>
    <row r="1432" spans="1:25" x14ac:dyDescent="0.35">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1">
        <v>42092</v>
      </c>
      <c r="U1432" s="1">
        <v>42094</v>
      </c>
      <c r="V1432">
        <v>103.27229999999999</v>
      </c>
      <c r="W1432">
        <v>5</v>
      </c>
      <c r="X1432">
        <v>149.66999999999999</v>
      </c>
      <c r="Y1432">
        <v>87451</v>
      </c>
    </row>
    <row r="1433" spans="1:25" x14ac:dyDescent="0.35">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1">
        <v>42101</v>
      </c>
      <c r="U1433" s="1">
        <v>42102</v>
      </c>
      <c r="V1433">
        <v>215.71799999999999</v>
      </c>
      <c r="W1433">
        <v>5</v>
      </c>
      <c r="X1433">
        <v>61.1</v>
      </c>
      <c r="Y1433">
        <v>91017</v>
      </c>
    </row>
    <row r="1434" spans="1:25" x14ac:dyDescent="0.35">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1">
        <v>42101</v>
      </c>
      <c r="U1434" s="1">
        <v>42102</v>
      </c>
      <c r="V1434">
        <v>106.98479999999999</v>
      </c>
      <c r="W1434">
        <v>1</v>
      </c>
      <c r="X1434">
        <v>193.81</v>
      </c>
      <c r="Y1434">
        <v>91017</v>
      </c>
    </row>
    <row r="1435" spans="1:25" x14ac:dyDescent="0.35">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1">
        <v>42166</v>
      </c>
      <c r="U1435" s="1">
        <v>42167</v>
      </c>
      <c r="V1435">
        <v>3.54</v>
      </c>
      <c r="W1435">
        <v>17</v>
      </c>
      <c r="X1435">
        <v>257.48</v>
      </c>
      <c r="Y1435">
        <v>87917</v>
      </c>
    </row>
    <row r="1436" spans="1:25" x14ac:dyDescent="0.35">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1">
        <v>42166</v>
      </c>
      <c r="U1436" s="1">
        <v>42167</v>
      </c>
      <c r="V1436">
        <v>40.283999999999999</v>
      </c>
      <c r="W1436">
        <v>19</v>
      </c>
      <c r="X1436">
        <v>3194.99</v>
      </c>
      <c r="Y1436">
        <v>87917</v>
      </c>
    </row>
    <row r="1437" spans="1:25" x14ac:dyDescent="0.35">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1">
        <v>42073</v>
      </c>
      <c r="U1437" s="1">
        <v>42075</v>
      </c>
      <c r="V1437">
        <v>90.024000000000001</v>
      </c>
      <c r="W1437">
        <v>2</v>
      </c>
      <c r="X1437">
        <v>202.98</v>
      </c>
      <c r="Y1437">
        <v>87915</v>
      </c>
    </row>
    <row r="1438" spans="1:25" x14ac:dyDescent="0.35">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1">
        <v>42113</v>
      </c>
      <c r="U1438" s="1">
        <v>42113</v>
      </c>
      <c r="V1438">
        <v>2.2320000000000002</v>
      </c>
      <c r="W1438">
        <v>1</v>
      </c>
      <c r="X1438">
        <v>10.86</v>
      </c>
      <c r="Y1438">
        <v>87916</v>
      </c>
    </row>
    <row r="1439" spans="1:25" x14ac:dyDescent="0.35">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1">
        <v>42098</v>
      </c>
      <c r="U1439" s="1">
        <v>42105</v>
      </c>
      <c r="V1439">
        <v>840.05099999999993</v>
      </c>
      <c r="W1439">
        <v>46</v>
      </c>
      <c r="X1439">
        <v>1477.57</v>
      </c>
      <c r="Y1439">
        <v>46436</v>
      </c>
    </row>
    <row r="1440" spans="1:25" x14ac:dyDescent="0.35">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1">
        <v>42115</v>
      </c>
      <c r="U1440" s="1">
        <v>42115</v>
      </c>
      <c r="V1440">
        <v>61.47</v>
      </c>
      <c r="W1440">
        <v>12</v>
      </c>
      <c r="X1440">
        <v>382.29</v>
      </c>
      <c r="Y1440">
        <v>40997</v>
      </c>
    </row>
    <row r="1441" spans="1:25" x14ac:dyDescent="0.35">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1">
        <v>42115</v>
      </c>
      <c r="U1441" s="1">
        <v>42122</v>
      </c>
      <c r="V1441">
        <v>18.27</v>
      </c>
      <c r="W1441">
        <v>37</v>
      </c>
      <c r="X1441">
        <v>881.74</v>
      </c>
      <c r="Y1441">
        <v>40997</v>
      </c>
    </row>
    <row r="1442" spans="1:25" x14ac:dyDescent="0.35">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1">
        <v>42115</v>
      </c>
      <c r="U1442" s="1">
        <v>42119</v>
      </c>
      <c r="V1442">
        <v>-513.79042000000004</v>
      </c>
      <c r="W1442">
        <v>33</v>
      </c>
      <c r="X1442">
        <v>7384.18</v>
      </c>
      <c r="Y1442">
        <v>40997</v>
      </c>
    </row>
    <row r="1443" spans="1:25" x14ac:dyDescent="0.35">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1">
        <v>42159</v>
      </c>
      <c r="U1443" s="1">
        <v>42162</v>
      </c>
      <c r="V1443">
        <v>23.87</v>
      </c>
      <c r="W1443">
        <v>81</v>
      </c>
      <c r="X1443">
        <v>448.26</v>
      </c>
      <c r="Y1443">
        <v>29889</v>
      </c>
    </row>
    <row r="1444" spans="1:25" x14ac:dyDescent="0.35">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1">
        <v>42115</v>
      </c>
      <c r="U1444" s="1">
        <v>42115</v>
      </c>
      <c r="V1444">
        <v>61.47</v>
      </c>
      <c r="W1444">
        <v>3</v>
      </c>
      <c r="X1444">
        <v>95.57</v>
      </c>
      <c r="Y1444">
        <v>88657</v>
      </c>
    </row>
    <row r="1445" spans="1:25" x14ac:dyDescent="0.35">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1">
        <v>42115</v>
      </c>
      <c r="U1445" s="1">
        <v>42122</v>
      </c>
      <c r="V1445">
        <v>18.27</v>
      </c>
      <c r="W1445">
        <v>9</v>
      </c>
      <c r="X1445">
        <v>214.48</v>
      </c>
      <c r="Y1445">
        <v>88657</v>
      </c>
    </row>
    <row r="1446" spans="1:25" x14ac:dyDescent="0.35">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1">
        <v>42115</v>
      </c>
      <c r="U1446" s="1">
        <v>42119</v>
      </c>
      <c r="V1446">
        <v>-513.79042000000004</v>
      </c>
      <c r="W1446">
        <v>8</v>
      </c>
      <c r="X1446">
        <v>1790.1</v>
      </c>
      <c r="Y1446">
        <v>88657</v>
      </c>
    </row>
    <row r="1447" spans="1:25" x14ac:dyDescent="0.35">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1">
        <v>42159</v>
      </c>
      <c r="U1447" s="1">
        <v>42162</v>
      </c>
      <c r="V1447">
        <v>35.805</v>
      </c>
      <c r="W1447">
        <v>20</v>
      </c>
      <c r="X1447">
        <v>110.68</v>
      </c>
      <c r="Y1447">
        <v>88658</v>
      </c>
    </row>
    <row r="1448" spans="1:25" x14ac:dyDescent="0.35">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1">
        <v>42098</v>
      </c>
      <c r="U1448" s="1">
        <v>42105</v>
      </c>
      <c r="V1448">
        <v>265.96049999999997</v>
      </c>
      <c r="W1448">
        <v>12</v>
      </c>
      <c r="X1448">
        <v>385.45</v>
      </c>
      <c r="Y1448">
        <v>88656</v>
      </c>
    </row>
    <row r="1449" spans="1:25" x14ac:dyDescent="0.35">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1">
        <v>42047</v>
      </c>
      <c r="U1449" s="1">
        <v>42048</v>
      </c>
      <c r="V1449">
        <v>-20.320500000000003</v>
      </c>
      <c r="W1449">
        <v>1</v>
      </c>
      <c r="X1449">
        <v>19.32</v>
      </c>
      <c r="Y1449">
        <v>86528</v>
      </c>
    </row>
    <row r="1450" spans="1:25" x14ac:dyDescent="0.35">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1">
        <v>42013</v>
      </c>
      <c r="U1450" s="1">
        <v>42018</v>
      </c>
      <c r="V1450">
        <v>-88.039999999999992</v>
      </c>
      <c r="W1450">
        <v>12</v>
      </c>
      <c r="X1450">
        <v>30.1</v>
      </c>
      <c r="Y1450">
        <v>86527</v>
      </c>
    </row>
    <row r="1451" spans="1:25" x14ac:dyDescent="0.35">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1">
        <v>42037</v>
      </c>
      <c r="U1451" s="1">
        <v>42038</v>
      </c>
      <c r="V1451">
        <v>180.23489999999998</v>
      </c>
      <c r="W1451">
        <v>19</v>
      </c>
      <c r="X1451">
        <v>261.20999999999998</v>
      </c>
      <c r="Y1451">
        <v>86529</v>
      </c>
    </row>
    <row r="1452" spans="1:25" x14ac:dyDescent="0.35">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1">
        <v>42037</v>
      </c>
      <c r="U1452" s="1">
        <v>42037</v>
      </c>
      <c r="V1452">
        <v>29.525099999999998</v>
      </c>
      <c r="W1452">
        <v>9</v>
      </c>
      <c r="X1452">
        <v>42.79</v>
      </c>
      <c r="Y1452">
        <v>86529</v>
      </c>
    </row>
    <row r="1453" spans="1:25" x14ac:dyDescent="0.35">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1">
        <v>42085</v>
      </c>
      <c r="U1453" s="1">
        <v>42088</v>
      </c>
      <c r="V1453">
        <v>1261.4718</v>
      </c>
      <c r="W1453">
        <v>11</v>
      </c>
      <c r="X1453">
        <v>1828.22</v>
      </c>
      <c r="Y1453">
        <v>86465</v>
      </c>
    </row>
    <row r="1454" spans="1:25" x14ac:dyDescent="0.35">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1">
        <v>42102</v>
      </c>
      <c r="U1454" s="1">
        <v>42104</v>
      </c>
      <c r="V1454">
        <v>-59.963760000000001</v>
      </c>
      <c r="W1454">
        <v>7</v>
      </c>
      <c r="X1454">
        <v>29.77</v>
      </c>
      <c r="Y1454">
        <v>86466</v>
      </c>
    </row>
    <row r="1455" spans="1:25" x14ac:dyDescent="0.35">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1">
        <v>42102</v>
      </c>
      <c r="U1455" s="1">
        <v>42102</v>
      </c>
      <c r="V1455">
        <v>89.4148</v>
      </c>
      <c r="W1455">
        <v>12</v>
      </c>
      <c r="X1455">
        <v>147.19</v>
      </c>
      <c r="Y1455">
        <v>86466</v>
      </c>
    </row>
    <row r="1456" spans="1:25" x14ac:dyDescent="0.35">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1">
        <v>42102</v>
      </c>
      <c r="U1456" s="1">
        <v>42103</v>
      </c>
      <c r="V1456">
        <v>27.0273</v>
      </c>
      <c r="W1456">
        <v>9</v>
      </c>
      <c r="X1456">
        <v>39.17</v>
      </c>
      <c r="Y1456">
        <v>91447</v>
      </c>
    </row>
    <row r="1457" spans="1:25" x14ac:dyDescent="0.35">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1">
        <v>42119</v>
      </c>
      <c r="U1457" s="1">
        <v>42121</v>
      </c>
      <c r="V1457">
        <v>-150.2604</v>
      </c>
      <c r="W1457">
        <v>19</v>
      </c>
      <c r="X1457">
        <v>87.85</v>
      </c>
      <c r="Y1457">
        <v>90327</v>
      </c>
    </row>
    <row r="1458" spans="1:25" x14ac:dyDescent="0.35">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1">
        <v>42119</v>
      </c>
      <c r="U1458" s="1">
        <v>42120</v>
      </c>
      <c r="V1458">
        <v>4899.1288000000004</v>
      </c>
      <c r="W1458">
        <v>14</v>
      </c>
      <c r="X1458">
        <v>7429.63</v>
      </c>
      <c r="Y1458">
        <v>90327</v>
      </c>
    </row>
    <row r="1459" spans="1:25" x14ac:dyDescent="0.35">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1">
        <v>42119</v>
      </c>
      <c r="U1459" s="1">
        <v>42119</v>
      </c>
      <c r="V1459">
        <v>44.712000000000003</v>
      </c>
      <c r="W1459">
        <v>18</v>
      </c>
      <c r="X1459">
        <v>224.29</v>
      </c>
      <c r="Y1459">
        <v>90327</v>
      </c>
    </row>
    <row r="1460" spans="1:25" x14ac:dyDescent="0.35">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1">
        <v>42119</v>
      </c>
      <c r="U1460" s="1">
        <v>42120</v>
      </c>
      <c r="V1460">
        <v>-22.626000000000001</v>
      </c>
      <c r="W1460">
        <v>7</v>
      </c>
      <c r="X1460">
        <v>51.2</v>
      </c>
      <c r="Y1460">
        <v>90327</v>
      </c>
    </row>
    <row r="1461" spans="1:25" x14ac:dyDescent="0.35">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1">
        <v>42119</v>
      </c>
      <c r="U1461" s="1">
        <v>42120</v>
      </c>
      <c r="V1461">
        <v>4260.1120000000001</v>
      </c>
      <c r="W1461">
        <v>56</v>
      </c>
      <c r="X1461">
        <v>29718.53</v>
      </c>
      <c r="Y1461">
        <v>50656</v>
      </c>
    </row>
    <row r="1462" spans="1:25" x14ac:dyDescent="0.35">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1">
        <v>42119</v>
      </c>
      <c r="U1462" s="1">
        <v>42120</v>
      </c>
      <c r="V1462">
        <v>-25.14</v>
      </c>
      <c r="W1462">
        <v>27</v>
      </c>
      <c r="X1462">
        <v>197.48</v>
      </c>
      <c r="Y1462">
        <v>50656</v>
      </c>
    </row>
    <row r="1463" spans="1:25" x14ac:dyDescent="0.35">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1">
        <v>42126</v>
      </c>
      <c r="U1463" s="1">
        <v>42128</v>
      </c>
      <c r="V1463">
        <v>309.71159999999998</v>
      </c>
      <c r="W1463">
        <v>5</v>
      </c>
      <c r="X1463">
        <v>46.85</v>
      </c>
      <c r="Y1463">
        <v>88298</v>
      </c>
    </row>
    <row r="1464" spans="1:25" x14ac:dyDescent="0.35">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1">
        <v>42126</v>
      </c>
      <c r="U1464" s="1">
        <v>42130</v>
      </c>
      <c r="V1464">
        <v>-128.85599999999999</v>
      </c>
      <c r="W1464">
        <v>26</v>
      </c>
      <c r="X1464">
        <v>93.57</v>
      </c>
      <c r="Y1464">
        <v>88298</v>
      </c>
    </row>
    <row r="1465" spans="1:25" x14ac:dyDescent="0.35">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1">
        <v>42126</v>
      </c>
      <c r="U1465" s="1">
        <v>42133</v>
      </c>
      <c r="V1465">
        <v>-36.945999999999998</v>
      </c>
      <c r="W1465">
        <v>34</v>
      </c>
      <c r="X1465">
        <v>2694.49</v>
      </c>
      <c r="Y1465">
        <v>88298</v>
      </c>
    </row>
    <row r="1466" spans="1:25" x14ac:dyDescent="0.35">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1">
        <v>42007</v>
      </c>
      <c r="U1466" s="1">
        <v>42008</v>
      </c>
      <c r="V1466">
        <v>-274.49799999999999</v>
      </c>
      <c r="W1466">
        <v>1</v>
      </c>
      <c r="X1466">
        <v>174.5</v>
      </c>
      <c r="Y1466">
        <v>88296</v>
      </c>
    </row>
    <row r="1467" spans="1:25" x14ac:dyDescent="0.35">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1">
        <v>42021</v>
      </c>
      <c r="U1467" s="1">
        <v>42021</v>
      </c>
      <c r="V1467">
        <v>0.58800000000001096</v>
      </c>
      <c r="W1467">
        <v>15</v>
      </c>
      <c r="X1467">
        <v>26.01</v>
      </c>
      <c r="Y1467">
        <v>88297</v>
      </c>
    </row>
    <row r="1468" spans="1:25" x14ac:dyDescent="0.35">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1">
        <v>42162</v>
      </c>
      <c r="U1468" s="1">
        <v>42164</v>
      </c>
      <c r="V1468">
        <v>-251.40390000000002</v>
      </c>
      <c r="W1468">
        <v>3</v>
      </c>
      <c r="X1468">
        <v>1527.97</v>
      </c>
      <c r="Y1468">
        <v>89657</v>
      </c>
    </row>
    <row r="1469" spans="1:25" x14ac:dyDescent="0.35">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1">
        <v>42162</v>
      </c>
      <c r="U1469" s="1">
        <v>42164</v>
      </c>
      <c r="V1469">
        <v>-2.3450000000000002</v>
      </c>
      <c r="W1469">
        <v>23</v>
      </c>
      <c r="X1469">
        <v>110.86</v>
      </c>
      <c r="Y1469">
        <v>89657</v>
      </c>
    </row>
    <row r="1470" spans="1:25" x14ac:dyDescent="0.35">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1">
        <v>42164</v>
      </c>
      <c r="U1470" s="1">
        <v>42166</v>
      </c>
      <c r="V1470">
        <v>67.606200000000001</v>
      </c>
      <c r="W1470">
        <v>15</v>
      </c>
      <c r="X1470">
        <v>97.98</v>
      </c>
      <c r="Y1470">
        <v>89658</v>
      </c>
    </row>
    <row r="1471" spans="1:25" x14ac:dyDescent="0.35">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1">
        <v>42063</v>
      </c>
      <c r="U1471" s="1">
        <v>42063</v>
      </c>
      <c r="V1471">
        <v>-46.5244</v>
      </c>
      <c r="W1471">
        <v>18</v>
      </c>
      <c r="X1471">
        <v>127.83</v>
      </c>
      <c r="Y1471">
        <v>91166</v>
      </c>
    </row>
    <row r="1472" spans="1:25" x14ac:dyDescent="0.35">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1">
        <v>42181</v>
      </c>
      <c r="U1472" s="1">
        <v>42181</v>
      </c>
      <c r="V1472">
        <v>200.01719999999997</v>
      </c>
      <c r="W1472">
        <v>12</v>
      </c>
      <c r="X1472">
        <v>289.88</v>
      </c>
      <c r="Y1472">
        <v>91167</v>
      </c>
    </row>
    <row r="1473" spans="1:25" x14ac:dyDescent="0.35">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1">
        <v>42111</v>
      </c>
      <c r="U1473" s="1">
        <v>42111</v>
      </c>
      <c r="V1473">
        <v>-39.606000000000002</v>
      </c>
      <c r="W1473">
        <v>10</v>
      </c>
      <c r="X1473">
        <v>4354.55</v>
      </c>
      <c r="Y1473">
        <v>87772</v>
      </c>
    </row>
    <row r="1474" spans="1:25" x14ac:dyDescent="0.35">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1">
        <v>42075</v>
      </c>
      <c r="U1474" s="1">
        <v>42080</v>
      </c>
      <c r="V1474">
        <v>311.72999999999996</v>
      </c>
      <c r="W1474">
        <v>2</v>
      </c>
      <c r="X1474">
        <v>146.16999999999999</v>
      </c>
      <c r="Y1474">
        <v>87773</v>
      </c>
    </row>
    <row r="1475" spans="1:25" x14ac:dyDescent="0.35">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1">
        <v>42084</v>
      </c>
      <c r="U1475" s="1">
        <v>42089</v>
      </c>
      <c r="V1475">
        <v>-50.75</v>
      </c>
      <c r="W1475">
        <v>7</v>
      </c>
      <c r="X1475">
        <v>42.02</v>
      </c>
      <c r="Y1475">
        <v>87382</v>
      </c>
    </row>
    <row r="1476" spans="1:25" x14ac:dyDescent="0.35">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1">
        <v>42099</v>
      </c>
      <c r="U1476" s="1">
        <v>42100</v>
      </c>
      <c r="V1476">
        <v>2225.0761200000002</v>
      </c>
      <c r="W1476">
        <v>22</v>
      </c>
      <c r="X1476">
        <v>3705.14</v>
      </c>
      <c r="Y1476">
        <v>87383</v>
      </c>
    </row>
    <row r="1477" spans="1:25" x14ac:dyDescent="0.35">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1">
        <v>42099</v>
      </c>
      <c r="U1477" s="1">
        <v>42100</v>
      </c>
      <c r="V1477">
        <v>-338.18083200000001</v>
      </c>
      <c r="W1477">
        <v>3</v>
      </c>
      <c r="X1477">
        <v>945.36</v>
      </c>
      <c r="Y1477">
        <v>87383</v>
      </c>
    </row>
    <row r="1478" spans="1:25" x14ac:dyDescent="0.35">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1">
        <v>42140</v>
      </c>
      <c r="U1478" s="1">
        <v>42141</v>
      </c>
      <c r="V1478">
        <v>-136.25200000000001</v>
      </c>
      <c r="W1478">
        <v>9</v>
      </c>
      <c r="X1478">
        <v>49.24</v>
      </c>
      <c r="Y1478">
        <v>86118</v>
      </c>
    </row>
    <row r="1479" spans="1:25" x14ac:dyDescent="0.35">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1">
        <v>42028</v>
      </c>
      <c r="U1479" s="1">
        <v>42028</v>
      </c>
      <c r="V1479">
        <v>-25.76</v>
      </c>
      <c r="W1479">
        <v>1</v>
      </c>
      <c r="X1479">
        <v>68.45</v>
      </c>
      <c r="Y1479">
        <v>86119</v>
      </c>
    </row>
    <row r="1480" spans="1:25" x14ac:dyDescent="0.35">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1">
        <v>42074</v>
      </c>
      <c r="U1480" s="1">
        <v>42076</v>
      </c>
      <c r="V1480">
        <v>-45.21</v>
      </c>
      <c r="W1480">
        <v>16</v>
      </c>
      <c r="X1480">
        <v>44.75</v>
      </c>
      <c r="Y1480">
        <v>91495</v>
      </c>
    </row>
    <row r="1481" spans="1:25" x14ac:dyDescent="0.35">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1">
        <v>42182</v>
      </c>
      <c r="U1481" s="1">
        <v>42183</v>
      </c>
      <c r="V1481">
        <v>-286.245</v>
      </c>
      <c r="W1481">
        <v>6</v>
      </c>
      <c r="X1481">
        <v>40.69</v>
      </c>
      <c r="Y1481">
        <v>91496</v>
      </c>
    </row>
    <row r="1482" spans="1:25" x14ac:dyDescent="0.35">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1">
        <v>42021</v>
      </c>
      <c r="U1482" s="1">
        <v>42023</v>
      </c>
      <c r="V1482">
        <v>16.12</v>
      </c>
      <c r="W1482">
        <v>18</v>
      </c>
      <c r="X1482">
        <v>130.11000000000001</v>
      </c>
      <c r="Y1482">
        <v>46884</v>
      </c>
    </row>
    <row r="1483" spans="1:25" x14ac:dyDescent="0.35">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1">
        <v>42021</v>
      </c>
      <c r="U1483" s="1">
        <v>42023</v>
      </c>
      <c r="V1483">
        <v>-815.90079999999989</v>
      </c>
      <c r="W1483">
        <v>3</v>
      </c>
      <c r="X1483">
        <v>337.34</v>
      </c>
      <c r="Y1483">
        <v>46884</v>
      </c>
    </row>
    <row r="1484" spans="1:25" x14ac:dyDescent="0.35">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1">
        <v>42021</v>
      </c>
      <c r="U1484" s="1">
        <v>42022</v>
      </c>
      <c r="V1484">
        <v>15.808000000000003</v>
      </c>
      <c r="W1484">
        <v>25</v>
      </c>
      <c r="X1484">
        <v>280.43</v>
      </c>
      <c r="Y1484">
        <v>46884</v>
      </c>
    </row>
    <row r="1485" spans="1:25" x14ac:dyDescent="0.35">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1">
        <v>42086</v>
      </c>
      <c r="U1485" s="1">
        <v>42086</v>
      </c>
      <c r="V1485">
        <v>29.17</v>
      </c>
      <c r="W1485">
        <v>20</v>
      </c>
      <c r="X1485">
        <v>103.39</v>
      </c>
      <c r="Y1485">
        <v>34017</v>
      </c>
    </row>
    <row r="1486" spans="1:25" x14ac:dyDescent="0.35">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1">
        <v>42086</v>
      </c>
      <c r="U1486" s="1">
        <v>42088</v>
      </c>
      <c r="V1486">
        <v>-48.97</v>
      </c>
      <c r="W1486">
        <v>28</v>
      </c>
      <c r="X1486">
        <v>435.39</v>
      </c>
      <c r="Y1486">
        <v>34017</v>
      </c>
    </row>
    <row r="1487" spans="1:25" x14ac:dyDescent="0.35">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1">
        <v>42086</v>
      </c>
      <c r="U1487" s="1">
        <v>42087</v>
      </c>
      <c r="V1487">
        <v>84.05</v>
      </c>
      <c r="W1487">
        <v>53</v>
      </c>
      <c r="X1487">
        <v>1051.52</v>
      </c>
      <c r="Y1487">
        <v>53153</v>
      </c>
    </row>
    <row r="1488" spans="1:25" x14ac:dyDescent="0.35">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1">
        <v>42086</v>
      </c>
      <c r="U1488" s="1">
        <v>42086</v>
      </c>
      <c r="V1488">
        <v>17.836500000000001</v>
      </c>
      <c r="W1488">
        <v>5</v>
      </c>
      <c r="X1488">
        <v>25.85</v>
      </c>
      <c r="Y1488">
        <v>88014</v>
      </c>
    </row>
    <row r="1489" spans="1:25" x14ac:dyDescent="0.35">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1">
        <v>42044</v>
      </c>
      <c r="U1489" s="1">
        <v>42046</v>
      </c>
      <c r="V1489">
        <v>-20.222799999999999</v>
      </c>
      <c r="W1489">
        <v>4</v>
      </c>
      <c r="X1489">
        <v>119.37</v>
      </c>
      <c r="Y1489">
        <v>88015</v>
      </c>
    </row>
    <row r="1490" spans="1:25" x14ac:dyDescent="0.35">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1">
        <v>42086</v>
      </c>
      <c r="U1490" s="1">
        <v>42087</v>
      </c>
      <c r="V1490">
        <v>381.61799999999994</v>
      </c>
      <c r="W1490">
        <v>13</v>
      </c>
      <c r="X1490">
        <v>257.92</v>
      </c>
      <c r="Y1490">
        <v>88017</v>
      </c>
    </row>
    <row r="1491" spans="1:25" x14ac:dyDescent="0.35">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1">
        <v>42082</v>
      </c>
      <c r="U1491" s="1">
        <v>42083</v>
      </c>
      <c r="V1491">
        <v>-177.05799999999999</v>
      </c>
      <c r="W1491">
        <v>5</v>
      </c>
      <c r="X1491">
        <v>207.22</v>
      </c>
      <c r="Y1491">
        <v>88016</v>
      </c>
    </row>
    <row r="1492" spans="1:25" x14ac:dyDescent="0.35">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1">
        <v>42042</v>
      </c>
      <c r="U1492" s="1">
        <v>42043</v>
      </c>
      <c r="V1492">
        <v>164.08199999999999</v>
      </c>
      <c r="W1492">
        <v>6</v>
      </c>
      <c r="X1492">
        <v>237.8</v>
      </c>
      <c r="Y1492">
        <v>90927</v>
      </c>
    </row>
    <row r="1493" spans="1:25" x14ac:dyDescent="0.35">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1">
        <v>42021</v>
      </c>
      <c r="U1493" s="1">
        <v>42023</v>
      </c>
      <c r="V1493">
        <v>-54.63</v>
      </c>
      <c r="W1493">
        <v>14</v>
      </c>
      <c r="X1493">
        <v>448.47</v>
      </c>
      <c r="Y1493">
        <v>85916</v>
      </c>
    </row>
    <row r="1494" spans="1:25" x14ac:dyDescent="0.35">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1">
        <v>42009</v>
      </c>
      <c r="U1494" s="1">
        <v>42011</v>
      </c>
      <c r="V1494">
        <v>690.17939999999999</v>
      </c>
      <c r="W1494">
        <v>5</v>
      </c>
      <c r="X1494">
        <v>1000.26</v>
      </c>
      <c r="Y1494">
        <v>85914</v>
      </c>
    </row>
    <row r="1495" spans="1:25" x14ac:dyDescent="0.35">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1">
        <v>42009</v>
      </c>
      <c r="U1495" s="1">
        <v>42010</v>
      </c>
      <c r="V1495">
        <v>1507.6430999999998</v>
      </c>
      <c r="W1495">
        <v>10</v>
      </c>
      <c r="X1495">
        <v>2184.9899999999998</v>
      </c>
      <c r="Y1495">
        <v>85914</v>
      </c>
    </row>
    <row r="1496" spans="1:25" x14ac:dyDescent="0.35">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1">
        <v>42009</v>
      </c>
      <c r="U1496" s="1">
        <v>42011</v>
      </c>
      <c r="V1496">
        <v>801.74680000000012</v>
      </c>
      <c r="W1496">
        <v>8</v>
      </c>
      <c r="X1496">
        <v>1191.2</v>
      </c>
      <c r="Y1496">
        <v>85914</v>
      </c>
    </row>
    <row r="1497" spans="1:25" x14ac:dyDescent="0.35">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1">
        <v>42011</v>
      </c>
      <c r="U1497" s="1">
        <v>42012</v>
      </c>
      <c r="V1497">
        <v>-139.18256</v>
      </c>
      <c r="W1497">
        <v>3</v>
      </c>
      <c r="X1497">
        <v>165.71</v>
      </c>
      <c r="Y1497">
        <v>85915</v>
      </c>
    </row>
    <row r="1498" spans="1:25" x14ac:dyDescent="0.35">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1">
        <v>42163</v>
      </c>
      <c r="U1498" s="1">
        <v>42163</v>
      </c>
      <c r="V1498">
        <v>881.46809999999994</v>
      </c>
      <c r="W1498">
        <v>13</v>
      </c>
      <c r="X1498">
        <v>1277.49</v>
      </c>
      <c r="Y1498">
        <v>90951</v>
      </c>
    </row>
    <row r="1499" spans="1:25" x14ac:dyDescent="0.35">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1">
        <v>42082</v>
      </c>
      <c r="U1499" s="1">
        <v>42082</v>
      </c>
      <c r="V1499">
        <v>3.84</v>
      </c>
      <c r="W1499">
        <v>3</v>
      </c>
      <c r="X1499">
        <v>14.2</v>
      </c>
      <c r="Y1499">
        <v>90952</v>
      </c>
    </row>
    <row r="1500" spans="1:25" x14ac:dyDescent="0.35">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1">
        <v>42080</v>
      </c>
      <c r="U1500" s="1">
        <v>42087</v>
      </c>
      <c r="V1500">
        <v>-21.03</v>
      </c>
      <c r="W1500">
        <v>5</v>
      </c>
      <c r="X1500">
        <v>52.21</v>
      </c>
      <c r="Y1500">
        <v>91386</v>
      </c>
    </row>
    <row r="1501" spans="1:25" x14ac:dyDescent="0.35">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1">
        <v>42080</v>
      </c>
      <c r="U1501" s="1">
        <v>42082</v>
      </c>
      <c r="V1501">
        <v>117.52079999999998</v>
      </c>
      <c r="W1501">
        <v>4</v>
      </c>
      <c r="X1501">
        <v>170.32</v>
      </c>
      <c r="Y1501">
        <v>91386</v>
      </c>
    </row>
    <row r="1502" spans="1:25" x14ac:dyDescent="0.35">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1">
        <v>42166</v>
      </c>
      <c r="U1502" s="1">
        <v>42167</v>
      </c>
      <c r="V1502">
        <v>-30.808</v>
      </c>
      <c r="W1502">
        <v>5</v>
      </c>
      <c r="X1502">
        <v>203.29</v>
      </c>
      <c r="Y1502">
        <v>88814</v>
      </c>
    </row>
    <row r="1503" spans="1:25" x14ac:dyDescent="0.35">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1">
        <v>42128</v>
      </c>
      <c r="U1503" s="1">
        <v>42129</v>
      </c>
      <c r="V1503">
        <v>524.31719999999996</v>
      </c>
      <c r="W1503">
        <v>26</v>
      </c>
      <c r="X1503">
        <v>759.88</v>
      </c>
      <c r="Y1503">
        <v>88815</v>
      </c>
    </row>
    <row r="1504" spans="1:25" x14ac:dyDescent="0.35">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1">
        <v>42149</v>
      </c>
      <c r="U1504" s="1">
        <v>42151</v>
      </c>
      <c r="V1504">
        <v>21.78</v>
      </c>
      <c r="W1504">
        <v>2</v>
      </c>
      <c r="X1504">
        <v>94.2</v>
      </c>
      <c r="Y1504">
        <v>89361</v>
      </c>
    </row>
    <row r="1505" spans="1:25" x14ac:dyDescent="0.35">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1">
        <v>42057</v>
      </c>
      <c r="U1505" s="1">
        <v>42058</v>
      </c>
      <c r="V1505">
        <v>-98.35</v>
      </c>
      <c r="W1505">
        <v>7</v>
      </c>
      <c r="X1505">
        <v>34.32</v>
      </c>
      <c r="Y1505">
        <v>89360</v>
      </c>
    </row>
    <row r="1506" spans="1:25" x14ac:dyDescent="0.35">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1">
        <v>42057</v>
      </c>
      <c r="U1506" s="1">
        <v>42059</v>
      </c>
      <c r="V1506">
        <v>270.79049999999995</v>
      </c>
      <c r="W1506">
        <v>11</v>
      </c>
      <c r="X1506">
        <v>392.45</v>
      </c>
      <c r="Y1506">
        <v>89360</v>
      </c>
    </row>
    <row r="1507" spans="1:25" x14ac:dyDescent="0.35">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1">
        <v>42112</v>
      </c>
      <c r="U1507" s="1">
        <v>42112</v>
      </c>
      <c r="V1507">
        <v>223.416</v>
      </c>
      <c r="W1507">
        <v>6</v>
      </c>
      <c r="X1507">
        <v>511.25</v>
      </c>
      <c r="Y1507">
        <v>86063</v>
      </c>
    </row>
    <row r="1508" spans="1:25" x14ac:dyDescent="0.35">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1">
        <v>42102</v>
      </c>
      <c r="U1508" s="1">
        <v>42103</v>
      </c>
      <c r="V1508">
        <v>-93.927400000000006</v>
      </c>
      <c r="W1508">
        <v>10</v>
      </c>
      <c r="X1508">
        <v>29.88</v>
      </c>
      <c r="Y1508">
        <v>86064</v>
      </c>
    </row>
    <row r="1509" spans="1:25" x14ac:dyDescent="0.35">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1">
        <v>42059</v>
      </c>
      <c r="U1509" s="1">
        <v>42061</v>
      </c>
      <c r="V1509">
        <v>-321.51</v>
      </c>
      <c r="W1509">
        <v>4</v>
      </c>
      <c r="X1509">
        <v>599.03</v>
      </c>
      <c r="Y1509">
        <v>86486</v>
      </c>
    </row>
    <row r="1510" spans="1:25" x14ac:dyDescent="0.35">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1">
        <v>42096</v>
      </c>
      <c r="U1510" s="1">
        <v>42098</v>
      </c>
      <c r="V1510">
        <v>246.2748</v>
      </c>
      <c r="W1510">
        <v>4</v>
      </c>
      <c r="X1510">
        <v>356.92</v>
      </c>
      <c r="Y1510">
        <v>87831</v>
      </c>
    </row>
    <row r="1511" spans="1:25" x14ac:dyDescent="0.35">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1">
        <v>42096</v>
      </c>
      <c r="U1511" s="1">
        <v>42098</v>
      </c>
      <c r="V1511">
        <v>93.950399999999988</v>
      </c>
      <c r="W1511">
        <v>3</v>
      </c>
      <c r="X1511">
        <v>136.16</v>
      </c>
      <c r="Y1511">
        <v>87831</v>
      </c>
    </row>
    <row r="1512" spans="1:25" x14ac:dyDescent="0.35">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1">
        <v>42091</v>
      </c>
      <c r="U1512" s="1">
        <v>42092</v>
      </c>
      <c r="V1512">
        <v>29.98</v>
      </c>
      <c r="W1512">
        <v>12</v>
      </c>
      <c r="X1512">
        <v>130.74</v>
      </c>
      <c r="Y1512">
        <v>87830</v>
      </c>
    </row>
    <row r="1513" spans="1:25" x14ac:dyDescent="0.35">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1">
        <v>42091</v>
      </c>
      <c r="U1513" s="1">
        <v>42093</v>
      </c>
      <c r="V1513">
        <v>-121.2</v>
      </c>
      <c r="W1513">
        <v>12</v>
      </c>
      <c r="X1513">
        <v>49.87</v>
      </c>
      <c r="Y1513">
        <v>87830</v>
      </c>
    </row>
    <row r="1514" spans="1:25" x14ac:dyDescent="0.35">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1">
        <v>42115</v>
      </c>
      <c r="U1514" s="1">
        <v>42117</v>
      </c>
      <c r="V1514">
        <v>10.782400000000001</v>
      </c>
      <c r="W1514">
        <v>6</v>
      </c>
      <c r="X1514">
        <v>24.18</v>
      </c>
      <c r="Y1514">
        <v>87832</v>
      </c>
    </row>
    <row r="1515" spans="1:25" x14ac:dyDescent="0.35">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1">
        <v>42153</v>
      </c>
      <c r="U1515" s="1">
        <v>42153</v>
      </c>
      <c r="V1515">
        <v>2008.71</v>
      </c>
      <c r="W1515">
        <v>167</v>
      </c>
      <c r="X1515">
        <v>27587.55</v>
      </c>
      <c r="Y1515">
        <v>37924</v>
      </c>
    </row>
    <row r="1516" spans="1:25" x14ac:dyDescent="0.35">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1">
        <v>42153</v>
      </c>
      <c r="U1516" s="1">
        <v>42153</v>
      </c>
      <c r="V1516">
        <v>-80.53</v>
      </c>
      <c r="W1516">
        <v>71</v>
      </c>
      <c r="X1516">
        <v>1191.58</v>
      </c>
      <c r="Y1516">
        <v>37924</v>
      </c>
    </row>
    <row r="1517" spans="1:25" x14ac:dyDescent="0.35">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1">
        <v>42153</v>
      </c>
      <c r="U1517" s="1">
        <v>42153</v>
      </c>
      <c r="V1517">
        <v>-48.957999999999998</v>
      </c>
      <c r="W1517">
        <v>42</v>
      </c>
      <c r="X1517">
        <v>6938.19</v>
      </c>
      <c r="Y1517">
        <v>90551</v>
      </c>
    </row>
    <row r="1518" spans="1:25" x14ac:dyDescent="0.35">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1">
        <v>42171</v>
      </c>
      <c r="U1518" s="1">
        <v>42172</v>
      </c>
      <c r="V1518">
        <v>-32.816000000000003</v>
      </c>
      <c r="W1518">
        <v>10</v>
      </c>
      <c r="X1518">
        <v>419.27</v>
      </c>
      <c r="Y1518">
        <v>86633</v>
      </c>
    </row>
    <row r="1519" spans="1:25" x14ac:dyDescent="0.35">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1">
        <v>42171</v>
      </c>
      <c r="U1519" s="1">
        <v>42171</v>
      </c>
      <c r="V1519">
        <v>-15.61</v>
      </c>
      <c r="W1519">
        <v>5</v>
      </c>
      <c r="X1519">
        <v>36</v>
      </c>
      <c r="Y1519">
        <v>86633</v>
      </c>
    </row>
    <row r="1520" spans="1:25" x14ac:dyDescent="0.35">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1">
        <v>42050</v>
      </c>
      <c r="U1520" s="1">
        <v>42055</v>
      </c>
      <c r="V1520">
        <v>23.616</v>
      </c>
      <c r="W1520">
        <v>1</v>
      </c>
      <c r="X1520">
        <v>11.78</v>
      </c>
      <c r="Y1520">
        <v>89146</v>
      </c>
    </row>
    <row r="1521" spans="1:25" x14ac:dyDescent="0.35">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1">
        <v>42050</v>
      </c>
      <c r="U1521" s="1">
        <v>42055</v>
      </c>
      <c r="V1521">
        <v>-1748.0119999999999</v>
      </c>
      <c r="W1521">
        <v>1</v>
      </c>
      <c r="X1521">
        <v>20.96</v>
      </c>
      <c r="Y1521">
        <v>89146</v>
      </c>
    </row>
    <row r="1522" spans="1:25" x14ac:dyDescent="0.35">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1">
        <v>42104</v>
      </c>
      <c r="U1522" s="1">
        <v>42109</v>
      </c>
      <c r="V1522">
        <v>-180.15200000000002</v>
      </c>
      <c r="W1522">
        <v>5</v>
      </c>
      <c r="X1522">
        <v>26.66</v>
      </c>
      <c r="Y1522">
        <v>89148</v>
      </c>
    </row>
    <row r="1523" spans="1:25" x14ac:dyDescent="0.35">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1">
        <v>42104</v>
      </c>
      <c r="U1523" s="1">
        <v>42106</v>
      </c>
      <c r="V1523">
        <v>8.3879999999999999</v>
      </c>
      <c r="W1523">
        <v>12</v>
      </c>
      <c r="X1523">
        <v>29.55</v>
      </c>
      <c r="Y1523">
        <v>89148</v>
      </c>
    </row>
    <row r="1524" spans="1:25" x14ac:dyDescent="0.35">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1">
        <v>42104</v>
      </c>
      <c r="U1524" s="1">
        <v>42104</v>
      </c>
      <c r="V1524">
        <v>9.939899999999998</v>
      </c>
      <c r="W1524">
        <v>21</v>
      </c>
      <c r="X1524">
        <v>1237.4000000000001</v>
      </c>
      <c r="Y1524">
        <v>89148</v>
      </c>
    </row>
    <row r="1525" spans="1:25" x14ac:dyDescent="0.35">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1">
        <v>42098</v>
      </c>
      <c r="U1525" s="1">
        <v>42099</v>
      </c>
      <c r="V1525">
        <v>-66.170999999999992</v>
      </c>
      <c r="W1525">
        <v>2</v>
      </c>
      <c r="X1525">
        <v>17.64</v>
      </c>
      <c r="Y1525">
        <v>89147</v>
      </c>
    </row>
    <row r="1526" spans="1:25" x14ac:dyDescent="0.35">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1">
        <v>42128</v>
      </c>
      <c r="U1526" s="1">
        <v>42130</v>
      </c>
      <c r="V1526">
        <v>51.218699999999998</v>
      </c>
      <c r="W1526">
        <v>21</v>
      </c>
      <c r="X1526">
        <v>74.23</v>
      </c>
      <c r="Y1526">
        <v>90624</v>
      </c>
    </row>
    <row r="1527" spans="1:25" x14ac:dyDescent="0.35">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1">
        <v>42128</v>
      </c>
      <c r="U1527" s="1">
        <v>42128</v>
      </c>
      <c r="V1527">
        <v>380.46800000000002</v>
      </c>
      <c r="W1527">
        <v>20</v>
      </c>
      <c r="X1527">
        <v>627.19000000000005</v>
      </c>
      <c r="Y1527">
        <v>90624</v>
      </c>
    </row>
    <row r="1528" spans="1:25" x14ac:dyDescent="0.35">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1">
        <v>42068</v>
      </c>
      <c r="U1528" s="1">
        <v>42069</v>
      </c>
      <c r="V1528">
        <v>-89.418000000000006</v>
      </c>
      <c r="W1528">
        <v>6</v>
      </c>
      <c r="X1528">
        <v>612.91999999999996</v>
      </c>
      <c r="Y1528">
        <v>87676</v>
      </c>
    </row>
    <row r="1529" spans="1:25" x14ac:dyDescent="0.35">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1">
        <v>42058</v>
      </c>
      <c r="U1529" s="1">
        <v>42060</v>
      </c>
      <c r="V1529">
        <v>9.2519999999999989</v>
      </c>
      <c r="W1529">
        <v>16</v>
      </c>
      <c r="X1529">
        <v>29.08</v>
      </c>
      <c r="Y1529">
        <v>87678</v>
      </c>
    </row>
    <row r="1530" spans="1:25" x14ac:dyDescent="0.35">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1">
        <v>42058</v>
      </c>
      <c r="U1530" s="1">
        <v>42059</v>
      </c>
      <c r="V1530">
        <v>-1197.0419999999999</v>
      </c>
      <c r="W1530">
        <v>21</v>
      </c>
      <c r="X1530">
        <v>2569.5700000000002</v>
      </c>
      <c r="Y1530">
        <v>87678</v>
      </c>
    </row>
    <row r="1531" spans="1:25" x14ac:dyDescent="0.35">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1">
        <v>42146</v>
      </c>
      <c r="U1531" s="1">
        <v>42148</v>
      </c>
      <c r="V1531">
        <v>-103.224</v>
      </c>
      <c r="W1531">
        <v>16</v>
      </c>
      <c r="X1531">
        <v>78.989999999999995</v>
      </c>
      <c r="Y1531">
        <v>87677</v>
      </c>
    </row>
    <row r="1532" spans="1:25" x14ac:dyDescent="0.35">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1">
        <v>42102</v>
      </c>
      <c r="U1532" s="1">
        <v>42104</v>
      </c>
      <c r="V1532">
        <v>-84.628799999999998</v>
      </c>
      <c r="W1532">
        <v>19</v>
      </c>
      <c r="X1532">
        <v>1345.33</v>
      </c>
      <c r="Y1532">
        <v>87679</v>
      </c>
    </row>
    <row r="1533" spans="1:25" x14ac:dyDescent="0.35">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1">
        <v>42124</v>
      </c>
      <c r="U1533" s="1">
        <v>42126</v>
      </c>
      <c r="V1533">
        <v>2755.6422000000002</v>
      </c>
      <c r="W1533">
        <v>4</v>
      </c>
      <c r="X1533">
        <v>15.19</v>
      </c>
      <c r="Y1533">
        <v>91407</v>
      </c>
    </row>
    <row r="1534" spans="1:25" x14ac:dyDescent="0.35">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1">
        <v>42124</v>
      </c>
      <c r="U1534" s="1">
        <v>42128</v>
      </c>
      <c r="V1534">
        <v>-256.01800000000003</v>
      </c>
      <c r="W1534">
        <v>4</v>
      </c>
      <c r="X1534">
        <v>59.49</v>
      </c>
      <c r="Y1534">
        <v>91408</v>
      </c>
    </row>
    <row r="1535" spans="1:25" x14ac:dyDescent="0.35">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1">
        <v>42152</v>
      </c>
      <c r="U1535" s="1">
        <v>42154</v>
      </c>
      <c r="V1535">
        <v>-41.77</v>
      </c>
      <c r="W1535">
        <v>1</v>
      </c>
      <c r="X1535">
        <v>57.84</v>
      </c>
      <c r="Y1535">
        <v>89240</v>
      </c>
    </row>
    <row r="1536" spans="1:25" x14ac:dyDescent="0.35">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1">
        <v>42152</v>
      </c>
      <c r="U1536" s="1">
        <v>42154</v>
      </c>
      <c r="V1536">
        <v>-1014.11</v>
      </c>
      <c r="W1536">
        <v>15</v>
      </c>
      <c r="X1536">
        <v>1425.71</v>
      </c>
      <c r="Y1536">
        <v>89240</v>
      </c>
    </row>
    <row r="1537" spans="1:25" x14ac:dyDescent="0.35">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1">
        <v>42176</v>
      </c>
      <c r="U1537" s="1">
        <v>42179</v>
      </c>
      <c r="V1537">
        <v>17.429400000000001</v>
      </c>
      <c r="W1537">
        <v>9</v>
      </c>
      <c r="X1537">
        <v>25.26</v>
      </c>
      <c r="Y1537">
        <v>88701</v>
      </c>
    </row>
    <row r="1538" spans="1:25" x14ac:dyDescent="0.35">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1">
        <v>42176</v>
      </c>
      <c r="U1538" s="1">
        <v>42177</v>
      </c>
      <c r="V1538">
        <v>-178.86960000000002</v>
      </c>
      <c r="W1538">
        <v>2</v>
      </c>
      <c r="X1538">
        <v>736.16</v>
      </c>
      <c r="Y1538">
        <v>88701</v>
      </c>
    </row>
    <row r="1539" spans="1:25" x14ac:dyDescent="0.35">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1">
        <v>42016</v>
      </c>
      <c r="U1539" s="1">
        <v>42020</v>
      </c>
      <c r="V1539">
        <v>-74.64</v>
      </c>
      <c r="W1539">
        <v>1</v>
      </c>
      <c r="X1539">
        <v>31.96</v>
      </c>
      <c r="Y1539">
        <v>88702</v>
      </c>
    </row>
    <row r="1540" spans="1:25" x14ac:dyDescent="0.35">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1">
        <v>42064</v>
      </c>
      <c r="U1540" s="1">
        <v>42066</v>
      </c>
      <c r="V1540">
        <v>65.41</v>
      </c>
      <c r="W1540">
        <v>15</v>
      </c>
      <c r="X1540">
        <v>98.17</v>
      </c>
      <c r="Y1540">
        <v>89394</v>
      </c>
    </row>
    <row r="1541" spans="1:25" x14ac:dyDescent="0.35">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1">
        <v>42171</v>
      </c>
      <c r="U1541" s="1">
        <v>42172</v>
      </c>
      <c r="V1541">
        <v>-25.634</v>
      </c>
      <c r="W1541">
        <v>6</v>
      </c>
      <c r="X1541">
        <v>264.95</v>
      </c>
      <c r="Y1541">
        <v>88766</v>
      </c>
    </row>
    <row r="1542" spans="1:25" x14ac:dyDescent="0.35">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1">
        <v>42125</v>
      </c>
      <c r="U1542" s="1">
        <v>42126</v>
      </c>
      <c r="V1542">
        <v>-37.561999999999998</v>
      </c>
      <c r="W1542">
        <v>10</v>
      </c>
      <c r="X1542">
        <v>53.21</v>
      </c>
      <c r="Y1542">
        <v>88959</v>
      </c>
    </row>
    <row r="1543" spans="1:25" x14ac:dyDescent="0.35">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1">
        <v>42125</v>
      </c>
      <c r="U1543" s="1">
        <v>42127</v>
      </c>
      <c r="V1543">
        <v>-449.69399999999996</v>
      </c>
      <c r="W1543">
        <v>18</v>
      </c>
      <c r="X1543">
        <v>122.8</v>
      </c>
      <c r="Y1543">
        <v>88959</v>
      </c>
    </row>
    <row r="1544" spans="1:25" x14ac:dyDescent="0.35">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1">
        <v>42021</v>
      </c>
      <c r="U1544" s="1">
        <v>42022</v>
      </c>
      <c r="V1544">
        <v>-66.248000000000005</v>
      </c>
      <c r="W1544">
        <v>10</v>
      </c>
      <c r="X1544">
        <v>282.38</v>
      </c>
      <c r="Y1544">
        <v>88958</v>
      </c>
    </row>
    <row r="1545" spans="1:25" x14ac:dyDescent="0.35">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1">
        <v>42069</v>
      </c>
      <c r="U1545" s="1">
        <v>42073</v>
      </c>
      <c r="V1545">
        <v>501.69</v>
      </c>
      <c r="W1545">
        <v>4</v>
      </c>
      <c r="X1545">
        <v>924.8</v>
      </c>
      <c r="Y1545">
        <v>88114</v>
      </c>
    </row>
    <row r="1546" spans="1:25" x14ac:dyDescent="0.35">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1">
        <v>42116</v>
      </c>
      <c r="U1546" s="1">
        <v>42118</v>
      </c>
      <c r="V1546">
        <v>566.6072999999999</v>
      </c>
      <c r="W1546">
        <v>8</v>
      </c>
      <c r="X1546">
        <v>821.17</v>
      </c>
      <c r="Y1546">
        <v>89018</v>
      </c>
    </row>
    <row r="1547" spans="1:25" x14ac:dyDescent="0.35">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1">
        <v>42156</v>
      </c>
      <c r="U1547" s="1">
        <v>42157</v>
      </c>
      <c r="V1547">
        <v>-57.56</v>
      </c>
      <c r="W1547">
        <v>12</v>
      </c>
      <c r="X1547">
        <v>194.08</v>
      </c>
      <c r="Y1547">
        <v>89019</v>
      </c>
    </row>
    <row r="1548" spans="1:25" x14ac:dyDescent="0.35">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1">
        <v>42107</v>
      </c>
      <c r="U1548" s="1">
        <v>42109</v>
      </c>
      <c r="V1548">
        <v>164.06129999999999</v>
      </c>
      <c r="W1548">
        <v>7</v>
      </c>
      <c r="X1548">
        <v>237.77</v>
      </c>
      <c r="Y1548">
        <v>89017</v>
      </c>
    </row>
    <row r="1549" spans="1:25" x14ac:dyDescent="0.35">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1">
        <v>42075</v>
      </c>
      <c r="U1549" s="1">
        <v>42082</v>
      </c>
      <c r="V1549">
        <v>218.23319999999995</v>
      </c>
      <c r="W1549">
        <v>10</v>
      </c>
      <c r="X1549">
        <v>316.27999999999997</v>
      </c>
      <c r="Y1549">
        <v>89481</v>
      </c>
    </row>
    <row r="1550" spans="1:25" x14ac:dyDescent="0.35">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1">
        <v>42081</v>
      </c>
      <c r="U1550" s="1">
        <v>42082</v>
      </c>
      <c r="V1550">
        <v>1049.03</v>
      </c>
      <c r="W1550">
        <v>11</v>
      </c>
      <c r="X1550">
        <v>2591.09</v>
      </c>
      <c r="Y1550">
        <v>86184</v>
      </c>
    </row>
    <row r="1551" spans="1:25" x14ac:dyDescent="0.35">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1">
        <v>42040</v>
      </c>
      <c r="U1551" s="1">
        <v>42042</v>
      </c>
      <c r="V1551">
        <v>-102.93</v>
      </c>
      <c r="W1551">
        <v>15</v>
      </c>
      <c r="X1551">
        <v>150.24</v>
      </c>
      <c r="Y1551">
        <v>35200</v>
      </c>
    </row>
    <row r="1552" spans="1:25" x14ac:dyDescent="0.35">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1">
        <v>42081</v>
      </c>
      <c r="U1552" s="1">
        <v>42082</v>
      </c>
      <c r="V1552">
        <v>1049.03</v>
      </c>
      <c r="W1552">
        <v>44</v>
      </c>
      <c r="X1552">
        <v>10364.36</v>
      </c>
      <c r="Y1552">
        <v>23751</v>
      </c>
    </row>
    <row r="1553" spans="1:25" x14ac:dyDescent="0.35">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1">
        <v>42071</v>
      </c>
      <c r="U1553" s="1">
        <v>42071</v>
      </c>
      <c r="V1553">
        <v>664.51800000000003</v>
      </c>
      <c r="W1553">
        <v>4</v>
      </c>
      <c r="X1553">
        <v>657.61</v>
      </c>
      <c r="Y1553">
        <v>91424</v>
      </c>
    </row>
    <row r="1554" spans="1:25" x14ac:dyDescent="0.35">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1">
        <v>42116</v>
      </c>
      <c r="U1554" s="1">
        <v>42118</v>
      </c>
      <c r="V1554">
        <v>105.7</v>
      </c>
      <c r="W1554">
        <v>11</v>
      </c>
      <c r="X1554">
        <v>241.97</v>
      </c>
      <c r="Y1554">
        <v>90724</v>
      </c>
    </row>
    <row r="1555" spans="1:25" x14ac:dyDescent="0.35">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1">
        <v>42116</v>
      </c>
      <c r="U1555" s="1">
        <v>42116</v>
      </c>
      <c r="V1555">
        <v>-21.06</v>
      </c>
      <c r="W1555">
        <v>4</v>
      </c>
      <c r="X1555">
        <v>120.81</v>
      </c>
      <c r="Y1555">
        <v>90724</v>
      </c>
    </row>
    <row r="1556" spans="1:25" x14ac:dyDescent="0.35">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1">
        <v>42152</v>
      </c>
      <c r="U1556" s="1">
        <v>42154</v>
      </c>
      <c r="V1556">
        <v>-5.08</v>
      </c>
      <c r="W1556">
        <v>7</v>
      </c>
      <c r="X1556">
        <v>41.4</v>
      </c>
      <c r="Y1556">
        <v>90725</v>
      </c>
    </row>
    <row r="1557" spans="1:25" x14ac:dyDescent="0.35">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1">
        <v>42071</v>
      </c>
      <c r="U1557" s="1">
        <v>42073</v>
      </c>
      <c r="V1557">
        <v>1289.3819999999998</v>
      </c>
      <c r="W1557">
        <v>14</v>
      </c>
      <c r="X1557">
        <v>159.53</v>
      </c>
      <c r="Y1557">
        <v>88975</v>
      </c>
    </row>
    <row r="1558" spans="1:25" x14ac:dyDescent="0.35">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1">
        <v>42168</v>
      </c>
      <c r="U1558" s="1">
        <v>42168</v>
      </c>
      <c r="V1558">
        <v>-191.548</v>
      </c>
      <c r="W1558">
        <v>3</v>
      </c>
      <c r="X1558">
        <v>536.29</v>
      </c>
      <c r="Y1558">
        <v>88974</v>
      </c>
    </row>
    <row r="1559" spans="1:25" x14ac:dyDescent="0.35">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1">
        <v>42089</v>
      </c>
      <c r="U1559" s="1">
        <v>42091</v>
      </c>
      <c r="V1559">
        <v>-29.003</v>
      </c>
      <c r="W1559">
        <v>2</v>
      </c>
      <c r="X1559">
        <v>10.96</v>
      </c>
      <c r="Y1559">
        <v>91584</v>
      </c>
    </row>
    <row r="1560" spans="1:25" x14ac:dyDescent="0.35">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1">
        <v>42034</v>
      </c>
      <c r="U1560" s="1">
        <v>42039</v>
      </c>
      <c r="V1560">
        <v>2860.9331999999995</v>
      </c>
      <c r="W1560">
        <v>8</v>
      </c>
      <c r="X1560">
        <v>4146.28</v>
      </c>
      <c r="Y1560">
        <v>91229</v>
      </c>
    </row>
    <row r="1561" spans="1:25" x14ac:dyDescent="0.35">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1">
        <v>42016</v>
      </c>
      <c r="U1561" s="1">
        <v>42019</v>
      </c>
      <c r="V1561">
        <v>2692.4420999999998</v>
      </c>
      <c r="W1561">
        <v>11</v>
      </c>
      <c r="X1561">
        <v>3902.09</v>
      </c>
      <c r="Y1561">
        <v>91228</v>
      </c>
    </row>
    <row r="1562" spans="1:25" x14ac:dyDescent="0.35">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1">
        <v>42016</v>
      </c>
      <c r="U1562" s="1">
        <v>42018</v>
      </c>
      <c r="V1562">
        <v>2.0672000000000001</v>
      </c>
      <c r="W1562">
        <v>8</v>
      </c>
      <c r="X1562">
        <v>14.18</v>
      </c>
      <c r="Y1562">
        <v>91228</v>
      </c>
    </row>
    <row r="1563" spans="1:25" x14ac:dyDescent="0.35">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1">
        <v>42046</v>
      </c>
      <c r="U1563" s="1">
        <v>42047</v>
      </c>
      <c r="V1563">
        <v>111.05249999999999</v>
      </c>
      <c r="W1563">
        <v>12</v>
      </c>
      <c r="X1563">
        <v>2118.9899999999998</v>
      </c>
      <c r="Y1563">
        <v>87160</v>
      </c>
    </row>
    <row r="1564" spans="1:25" x14ac:dyDescent="0.35">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1">
        <v>42046</v>
      </c>
      <c r="U1564" s="1">
        <v>42047</v>
      </c>
      <c r="V1564">
        <v>-1963.752</v>
      </c>
      <c r="W1564">
        <v>5</v>
      </c>
      <c r="X1564">
        <v>837.64</v>
      </c>
      <c r="Y1564">
        <v>87160</v>
      </c>
    </row>
    <row r="1565" spans="1:25" x14ac:dyDescent="0.35">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1">
        <v>42166</v>
      </c>
      <c r="U1565" s="1">
        <v>42167</v>
      </c>
      <c r="V1565">
        <v>-60.704000000000001</v>
      </c>
      <c r="W1565">
        <v>11</v>
      </c>
      <c r="X1565">
        <v>345.07</v>
      </c>
      <c r="Y1565">
        <v>87161</v>
      </c>
    </row>
    <row r="1566" spans="1:25" x14ac:dyDescent="0.35">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1">
        <v>42035</v>
      </c>
      <c r="U1566" s="1">
        <v>42039</v>
      </c>
      <c r="V1566">
        <v>-37.789000000000001</v>
      </c>
      <c r="W1566">
        <v>2</v>
      </c>
      <c r="X1566">
        <v>5.48</v>
      </c>
      <c r="Y1566">
        <v>87162</v>
      </c>
    </row>
    <row r="1567" spans="1:25" x14ac:dyDescent="0.35">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1">
        <v>42035</v>
      </c>
      <c r="U1567" s="1">
        <v>42042</v>
      </c>
      <c r="V1567">
        <v>7576.11</v>
      </c>
      <c r="W1567">
        <v>11</v>
      </c>
      <c r="X1567">
        <v>8201.33</v>
      </c>
      <c r="Y1567">
        <v>87162</v>
      </c>
    </row>
    <row r="1568" spans="1:25" x14ac:dyDescent="0.35">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1">
        <v>42035</v>
      </c>
      <c r="U1568" s="1">
        <v>42042</v>
      </c>
      <c r="V1568">
        <v>-43.26</v>
      </c>
      <c r="W1568">
        <v>3</v>
      </c>
      <c r="X1568">
        <v>22.67</v>
      </c>
      <c r="Y1568">
        <v>87162</v>
      </c>
    </row>
    <row r="1569" spans="1:25" x14ac:dyDescent="0.35">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1">
        <v>42075</v>
      </c>
      <c r="U1569" s="1">
        <v>42076</v>
      </c>
      <c r="V1569">
        <v>-44.436</v>
      </c>
      <c r="W1569">
        <v>8</v>
      </c>
      <c r="X1569">
        <v>393.98</v>
      </c>
      <c r="Y1569">
        <v>91316</v>
      </c>
    </row>
    <row r="1570" spans="1:25" x14ac:dyDescent="0.35">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1">
        <v>42019</v>
      </c>
      <c r="U1570" s="1">
        <v>42019</v>
      </c>
      <c r="V1570">
        <v>4.8499999999999996</v>
      </c>
      <c r="W1570">
        <v>7</v>
      </c>
      <c r="X1570">
        <v>19.29</v>
      </c>
      <c r="Y1570">
        <v>88758</v>
      </c>
    </row>
    <row r="1571" spans="1:25" x14ac:dyDescent="0.35">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1">
        <v>42083</v>
      </c>
      <c r="U1571" s="1">
        <v>42085</v>
      </c>
      <c r="V1571">
        <v>3.5948999999999995</v>
      </c>
      <c r="W1571">
        <v>2</v>
      </c>
      <c r="X1571">
        <v>5.21</v>
      </c>
      <c r="Y1571">
        <v>87554</v>
      </c>
    </row>
    <row r="1572" spans="1:25" x14ac:dyDescent="0.35">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1">
        <v>42162</v>
      </c>
      <c r="U1572" s="1">
        <v>42162</v>
      </c>
      <c r="V1572">
        <v>15.8148</v>
      </c>
      <c r="W1572">
        <v>5</v>
      </c>
      <c r="X1572">
        <v>22.92</v>
      </c>
      <c r="Y1572">
        <v>87555</v>
      </c>
    </row>
    <row r="1573" spans="1:25" x14ac:dyDescent="0.35">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1">
        <v>42030</v>
      </c>
      <c r="U1573" s="1">
        <v>42032</v>
      </c>
      <c r="V1573">
        <v>-69.91</v>
      </c>
      <c r="W1573">
        <v>8</v>
      </c>
      <c r="X1573">
        <v>30.9</v>
      </c>
      <c r="Y1573">
        <v>87556</v>
      </c>
    </row>
    <row r="1574" spans="1:25" x14ac:dyDescent="0.35">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1">
        <v>42030</v>
      </c>
      <c r="U1574" s="1">
        <v>42034</v>
      </c>
      <c r="V1574">
        <v>1630.5251999999998</v>
      </c>
      <c r="W1574">
        <v>14</v>
      </c>
      <c r="X1574">
        <v>2363.08</v>
      </c>
      <c r="Y1574">
        <v>87556</v>
      </c>
    </row>
    <row r="1575" spans="1:25" x14ac:dyDescent="0.35">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1">
        <v>42030</v>
      </c>
      <c r="U1575" s="1">
        <v>42030</v>
      </c>
      <c r="V1575">
        <v>-457.16</v>
      </c>
      <c r="W1575">
        <v>2</v>
      </c>
      <c r="X1575">
        <v>328.45</v>
      </c>
      <c r="Y1575">
        <v>87556</v>
      </c>
    </row>
    <row r="1576" spans="1:25" x14ac:dyDescent="0.35">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1">
        <v>42025</v>
      </c>
      <c r="U1576" s="1">
        <v>42027</v>
      </c>
      <c r="V1576">
        <v>266.76089999999999</v>
      </c>
      <c r="W1576">
        <v>12</v>
      </c>
      <c r="X1576">
        <v>386.61</v>
      </c>
      <c r="Y1576">
        <v>87553</v>
      </c>
    </row>
    <row r="1577" spans="1:25" x14ac:dyDescent="0.35">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1">
        <v>42014</v>
      </c>
      <c r="U1577" s="1">
        <v>42015</v>
      </c>
      <c r="V1577">
        <v>-159.30279999999999</v>
      </c>
      <c r="W1577">
        <v>8</v>
      </c>
      <c r="X1577">
        <v>43.94</v>
      </c>
      <c r="Y1577">
        <v>87552</v>
      </c>
    </row>
    <row r="1578" spans="1:25" x14ac:dyDescent="0.35">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1">
        <v>42025</v>
      </c>
      <c r="U1578" s="1">
        <v>42026</v>
      </c>
      <c r="V1578">
        <v>29.883900000000001</v>
      </c>
      <c r="W1578">
        <v>9</v>
      </c>
      <c r="X1578">
        <v>43.31</v>
      </c>
      <c r="Y1578">
        <v>87553</v>
      </c>
    </row>
    <row r="1579" spans="1:25" x14ac:dyDescent="0.35">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1">
        <v>42183</v>
      </c>
      <c r="U1579" s="1">
        <v>42188</v>
      </c>
      <c r="V1579">
        <v>52.763999999999996</v>
      </c>
      <c r="W1579">
        <v>15</v>
      </c>
      <c r="X1579">
        <v>284.33999999999997</v>
      </c>
      <c r="Y1579">
        <v>91049</v>
      </c>
    </row>
    <row r="1580" spans="1:25" x14ac:dyDescent="0.35">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1">
        <v>42040</v>
      </c>
      <c r="U1580" s="1">
        <v>42041</v>
      </c>
      <c r="V1580">
        <v>2699.9838</v>
      </c>
      <c r="W1580">
        <v>10</v>
      </c>
      <c r="X1580">
        <v>3913.02</v>
      </c>
      <c r="Y1580">
        <v>86227</v>
      </c>
    </row>
    <row r="1581" spans="1:25" x14ac:dyDescent="0.35">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1">
        <v>42040</v>
      </c>
      <c r="U1581" s="1">
        <v>42042</v>
      </c>
      <c r="V1581">
        <v>-170.98</v>
      </c>
      <c r="W1581">
        <v>1</v>
      </c>
      <c r="X1581">
        <v>180.14</v>
      </c>
      <c r="Y1581">
        <v>86227</v>
      </c>
    </row>
    <row r="1582" spans="1:25" x14ac:dyDescent="0.35">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1">
        <v>42042</v>
      </c>
      <c r="U1582" s="1">
        <v>42042</v>
      </c>
      <c r="V1582">
        <v>-95.618600000000015</v>
      </c>
      <c r="W1582">
        <v>12</v>
      </c>
      <c r="X1582">
        <v>364.92</v>
      </c>
      <c r="Y1582">
        <v>88819</v>
      </c>
    </row>
    <row r="1583" spans="1:25" x14ac:dyDescent="0.35">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1">
        <v>42156</v>
      </c>
      <c r="U1583" s="1">
        <v>42157</v>
      </c>
      <c r="V1583">
        <v>-2.3760000000000003</v>
      </c>
      <c r="W1583">
        <v>2</v>
      </c>
      <c r="X1583">
        <v>12.16</v>
      </c>
      <c r="Y1583">
        <v>89743</v>
      </c>
    </row>
    <row r="1584" spans="1:25" x14ac:dyDescent="0.35">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1">
        <v>42156</v>
      </c>
      <c r="U1584" s="1">
        <v>42157</v>
      </c>
      <c r="V1584">
        <v>-18.3216</v>
      </c>
      <c r="W1584">
        <v>3</v>
      </c>
      <c r="X1584">
        <v>147.56</v>
      </c>
      <c r="Y1584">
        <v>89743</v>
      </c>
    </row>
    <row r="1585" spans="1:25" x14ac:dyDescent="0.35">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1">
        <v>42134</v>
      </c>
      <c r="U1585" s="1">
        <v>42136</v>
      </c>
      <c r="V1585">
        <v>-82.64</v>
      </c>
      <c r="W1585">
        <v>18</v>
      </c>
      <c r="X1585">
        <v>113.68</v>
      </c>
      <c r="Y1585">
        <v>87899</v>
      </c>
    </row>
    <row r="1586" spans="1:25" x14ac:dyDescent="0.35">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1">
        <v>42018</v>
      </c>
      <c r="U1586" s="1">
        <v>42019</v>
      </c>
      <c r="V1586">
        <v>31.59</v>
      </c>
      <c r="W1586">
        <v>14</v>
      </c>
      <c r="X1586">
        <v>281.75</v>
      </c>
      <c r="Y1586">
        <v>87900</v>
      </c>
    </row>
    <row r="1587" spans="1:25" x14ac:dyDescent="0.35">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1">
        <v>42124</v>
      </c>
      <c r="U1587" s="1">
        <v>42126</v>
      </c>
      <c r="V1587">
        <v>165.6345</v>
      </c>
      <c r="W1587">
        <v>11</v>
      </c>
      <c r="X1587">
        <v>240.05</v>
      </c>
      <c r="Y1587">
        <v>87240</v>
      </c>
    </row>
    <row r="1588" spans="1:25" x14ac:dyDescent="0.35">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1">
        <v>42144</v>
      </c>
      <c r="U1588" s="1">
        <v>42151</v>
      </c>
      <c r="V1588">
        <v>19.308000000000021</v>
      </c>
      <c r="W1588">
        <v>3</v>
      </c>
      <c r="X1588">
        <v>87.21</v>
      </c>
      <c r="Y1588">
        <v>89497</v>
      </c>
    </row>
    <row r="1589" spans="1:25" x14ac:dyDescent="0.35">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1">
        <v>42144</v>
      </c>
      <c r="U1589" s="1">
        <v>42148</v>
      </c>
      <c r="V1589">
        <v>0.32999999999999691</v>
      </c>
      <c r="W1589">
        <v>4</v>
      </c>
      <c r="X1589">
        <v>40.15</v>
      </c>
      <c r="Y1589">
        <v>89497</v>
      </c>
    </row>
    <row r="1590" spans="1:25" x14ac:dyDescent="0.35">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1">
        <v>42054</v>
      </c>
      <c r="U1590" s="1">
        <v>42056</v>
      </c>
      <c r="V1590">
        <v>-35.26</v>
      </c>
      <c r="W1590">
        <v>8</v>
      </c>
      <c r="X1590">
        <v>90.46</v>
      </c>
      <c r="Y1590">
        <v>87720</v>
      </c>
    </row>
    <row r="1591" spans="1:25" x14ac:dyDescent="0.35">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1">
        <v>42156</v>
      </c>
      <c r="U1591" s="1">
        <v>42157</v>
      </c>
      <c r="V1591">
        <v>322.25069999999994</v>
      </c>
      <c r="W1591">
        <v>12</v>
      </c>
      <c r="X1591">
        <v>467.03</v>
      </c>
      <c r="Y1591">
        <v>87721</v>
      </c>
    </row>
    <row r="1592" spans="1:25" x14ac:dyDescent="0.35">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1">
        <v>42088</v>
      </c>
      <c r="U1592" s="1">
        <v>42090</v>
      </c>
      <c r="V1592">
        <v>-221.5</v>
      </c>
      <c r="W1592">
        <v>4</v>
      </c>
      <c r="X1592">
        <v>608.80999999999995</v>
      </c>
      <c r="Y1592">
        <v>91030</v>
      </c>
    </row>
    <row r="1593" spans="1:25" x14ac:dyDescent="0.35">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1">
        <v>42088</v>
      </c>
      <c r="U1593" s="1">
        <v>42089</v>
      </c>
      <c r="V1593">
        <v>206.352</v>
      </c>
      <c r="W1593">
        <v>15</v>
      </c>
      <c r="X1593">
        <v>808.61</v>
      </c>
      <c r="Y1593">
        <v>91030</v>
      </c>
    </row>
    <row r="1594" spans="1:25" x14ac:dyDescent="0.35">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1">
        <v>42071</v>
      </c>
      <c r="U1594" s="1">
        <v>42073</v>
      </c>
      <c r="V1594">
        <v>439.78529999999995</v>
      </c>
      <c r="W1594">
        <v>13</v>
      </c>
      <c r="X1594">
        <v>637.37</v>
      </c>
      <c r="Y1594">
        <v>89801</v>
      </c>
    </row>
    <row r="1595" spans="1:25" x14ac:dyDescent="0.35">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1">
        <v>42071</v>
      </c>
      <c r="U1595" s="1">
        <v>42074</v>
      </c>
      <c r="V1595">
        <v>-149.4573</v>
      </c>
      <c r="W1595">
        <v>3</v>
      </c>
      <c r="X1595">
        <v>232.16</v>
      </c>
      <c r="Y1595">
        <v>89801</v>
      </c>
    </row>
    <row r="1596" spans="1:25" x14ac:dyDescent="0.35">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1">
        <v>42082</v>
      </c>
      <c r="U1596" s="1">
        <v>42083</v>
      </c>
      <c r="V1596">
        <v>21.095999999999997</v>
      </c>
      <c r="W1596">
        <v>16</v>
      </c>
      <c r="X1596">
        <v>360.03</v>
      </c>
      <c r="Y1596">
        <v>87884</v>
      </c>
    </row>
    <row r="1597" spans="1:25" x14ac:dyDescent="0.35">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1">
        <v>42166</v>
      </c>
      <c r="U1597" s="1">
        <v>42168</v>
      </c>
      <c r="V1597">
        <v>1166.6280000000002</v>
      </c>
      <c r="W1597">
        <v>17</v>
      </c>
      <c r="X1597">
        <v>260.01</v>
      </c>
      <c r="Y1597">
        <v>87885</v>
      </c>
    </row>
    <row r="1598" spans="1:25" x14ac:dyDescent="0.35">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1">
        <v>42166</v>
      </c>
      <c r="U1598" s="1">
        <v>42167</v>
      </c>
      <c r="V1598">
        <v>-40.604199999999999</v>
      </c>
      <c r="W1598">
        <v>18</v>
      </c>
      <c r="X1598">
        <v>273.79000000000002</v>
      </c>
      <c r="Y1598">
        <v>87885</v>
      </c>
    </row>
    <row r="1599" spans="1:25" x14ac:dyDescent="0.35">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1">
        <v>42166</v>
      </c>
      <c r="U1599" s="1">
        <v>42167</v>
      </c>
      <c r="V1599">
        <v>-294.084</v>
      </c>
      <c r="W1599">
        <v>1</v>
      </c>
      <c r="X1599">
        <v>44.62</v>
      </c>
      <c r="Y1599">
        <v>87885</v>
      </c>
    </row>
    <row r="1600" spans="1:25" x14ac:dyDescent="0.35">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1">
        <v>42103</v>
      </c>
      <c r="U1600" s="1">
        <v>42105</v>
      </c>
      <c r="V1600">
        <v>55.555199999999999</v>
      </c>
      <c r="W1600">
        <v>3</v>
      </c>
      <c r="X1600">
        <v>268.64</v>
      </c>
      <c r="Y1600">
        <v>85928</v>
      </c>
    </row>
    <row r="1601" spans="1:25" x14ac:dyDescent="0.35">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1">
        <v>42103</v>
      </c>
      <c r="U1601" s="1">
        <v>42104</v>
      </c>
      <c r="V1601">
        <v>-535.33199999999999</v>
      </c>
      <c r="W1601">
        <v>9</v>
      </c>
      <c r="X1601">
        <v>87.68</v>
      </c>
      <c r="Y1601">
        <v>85928</v>
      </c>
    </row>
    <row r="1602" spans="1:25" x14ac:dyDescent="0.35">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1">
        <v>42103</v>
      </c>
      <c r="U1602" s="1">
        <v>42105</v>
      </c>
      <c r="V1602">
        <v>-208.72039999999998</v>
      </c>
      <c r="W1602">
        <v>1</v>
      </c>
      <c r="X1602">
        <v>37.619999999999997</v>
      </c>
      <c r="Y1602">
        <v>85928</v>
      </c>
    </row>
    <row r="1603" spans="1:25" x14ac:dyDescent="0.35">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1">
        <v>42161</v>
      </c>
      <c r="U1603" s="1">
        <v>42163</v>
      </c>
      <c r="V1603">
        <v>38.885999999999996</v>
      </c>
      <c r="W1603">
        <v>16</v>
      </c>
      <c r="X1603">
        <v>832.97</v>
      </c>
      <c r="Y1603">
        <v>85929</v>
      </c>
    </row>
    <row r="1604" spans="1:25" x14ac:dyDescent="0.35">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1">
        <v>42103</v>
      </c>
      <c r="U1604" s="1">
        <v>42107</v>
      </c>
      <c r="V1604">
        <v>719.35259999999994</v>
      </c>
      <c r="W1604">
        <v>11</v>
      </c>
      <c r="X1604">
        <v>1042.54</v>
      </c>
      <c r="Y1604">
        <v>86454</v>
      </c>
    </row>
    <row r="1605" spans="1:25" x14ac:dyDescent="0.35">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1">
        <v>42025</v>
      </c>
      <c r="U1605" s="1">
        <v>42026</v>
      </c>
      <c r="V1605">
        <v>-12.876779999999998</v>
      </c>
      <c r="W1605">
        <v>10</v>
      </c>
      <c r="X1605">
        <v>76.16</v>
      </c>
      <c r="Y1605">
        <v>87316</v>
      </c>
    </row>
    <row r="1606" spans="1:25" x14ac:dyDescent="0.35">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1">
        <v>42025</v>
      </c>
      <c r="U1606" s="1">
        <v>42026</v>
      </c>
      <c r="V1606">
        <v>618.13080000000002</v>
      </c>
      <c r="W1606">
        <v>10</v>
      </c>
      <c r="X1606">
        <v>1038.1400000000001</v>
      </c>
      <c r="Y1606">
        <v>87316</v>
      </c>
    </row>
    <row r="1607" spans="1:25" x14ac:dyDescent="0.35">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1">
        <v>42073</v>
      </c>
      <c r="U1607" s="1">
        <v>42077</v>
      </c>
      <c r="V1607">
        <v>-14140.7016</v>
      </c>
      <c r="W1607">
        <v>1</v>
      </c>
      <c r="X1607">
        <v>6296</v>
      </c>
      <c r="Y1607">
        <v>87317</v>
      </c>
    </row>
    <row r="1608" spans="1:25" x14ac:dyDescent="0.35">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1">
        <v>42141</v>
      </c>
      <c r="U1608" s="1">
        <v>42142</v>
      </c>
      <c r="V1608">
        <v>-8.8759999999999994</v>
      </c>
      <c r="W1608">
        <v>3</v>
      </c>
      <c r="X1608">
        <v>8.7899999999999991</v>
      </c>
      <c r="Y1608">
        <v>88279</v>
      </c>
    </row>
    <row r="1609" spans="1:25" x14ac:dyDescent="0.35">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1">
        <v>42147</v>
      </c>
      <c r="U1609" s="1">
        <v>42152</v>
      </c>
      <c r="V1609">
        <v>14.754</v>
      </c>
      <c r="W1609">
        <v>30</v>
      </c>
      <c r="X1609">
        <v>2051.6799999999998</v>
      </c>
      <c r="Y1609">
        <v>88282</v>
      </c>
    </row>
    <row r="1610" spans="1:25" x14ac:dyDescent="0.35">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1">
        <v>42147</v>
      </c>
      <c r="U1610" s="1">
        <v>42147</v>
      </c>
      <c r="V1610">
        <v>669.61199999999997</v>
      </c>
      <c r="W1610">
        <v>42</v>
      </c>
      <c r="X1610">
        <v>5295.03</v>
      </c>
      <c r="Y1610">
        <v>88282</v>
      </c>
    </row>
    <row r="1611" spans="1:25" x14ac:dyDescent="0.35">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1">
        <v>42147</v>
      </c>
      <c r="U1611" s="1">
        <v>42147</v>
      </c>
      <c r="V1611">
        <v>213</v>
      </c>
      <c r="W1611">
        <v>28</v>
      </c>
      <c r="X1611">
        <v>80.27</v>
      </c>
      <c r="Y1611">
        <v>88282</v>
      </c>
    </row>
    <row r="1612" spans="1:25" x14ac:dyDescent="0.35">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1">
        <v>42095</v>
      </c>
      <c r="U1612" s="1">
        <v>42097</v>
      </c>
      <c r="V1612">
        <v>-8.3881000000000014</v>
      </c>
      <c r="W1612">
        <v>23</v>
      </c>
      <c r="X1612">
        <v>3292.02</v>
      </c>
      <c r="Y1612">
        <v>88281</v>
      </c>
    </row>
    <row r="1613" spans="1:25" x14ac:dyDescent="0.35">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1">
        <v>42063</v>
      </c>
      <c r="U1613" s="1">
        <v>42063</v>
      </c>
      <c r="V1613">
        <v>4.9017600000000003</v>
      </c>
      <c r="W1613">
        <v>11</v>
      </c>
      <c r="X1613">
        <v>199.43</v>
      </c>
      <c r="Y1613">
        <v>88280</v>
      </c>
    </row>
    <row r="1614" spans="1:25" x14ac:dyDescent="0.35">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1">
        <v>42105</v>
      </c>
      <c r="U1614" s="1">
        <v>42106</v>
      </c>
      <c r="V1614">
        <v>76.389899999999983</v>
      </c>
      <c r="W1614">
        <v>9</v>
      </c>
      <c r="X1614">
        <v>110.71</v>
      </c>
      <c r="Y1614">
        <v>88278</v>
      </c>
    </row>
    <row r="1615" spans="1:25" x14ac:dyDescent="0.35">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1">
        <v>42058</v>
      </c>
      <c r="U1615" s="1">
        <v>42060</v>
      </c>
      <c r="V1615">
        <v>-36.770000000000003</v>
      </c>
      <c r="W1615">
        <v>4</v>
      </c>
      <c r="X1615">
        <v>56.68</v>
      </c>
      <c r="Y1615">
        <v>90871</v>
      </c>
    </row>
    <row r="1616" spans="1:25" x14ac:dyDescent="0.35">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1">
        <v>42058</v>
      </c>
      <c r="U1616" s="1">
        <v>42059</v>
      </c>
      <c r="V1616">
        <v>87.03</v>
      </c>
      <c r="W1616">
        <v>8</v>
      </c>
      <c r="X1616">
        <v>273.33999999999997</v>
      </c>
      <c r="Y1616">
        <v>90871</v>
      </c>
    </row>
    <row r="1617" spans="1:25" x14ac:dyDescent="0.35">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1">
        <v>42111</v>
      </c>
      <c r="U1617" s="1">
        <v>42112</v>
      </c>
      <c r="V1617">
        <v>-582.64799999999991</v>
      </c>
      <c r="W1617">
        <v>2</v>
      </c>
      <c r="X1617">
        <v>226.88</v>
      </c>
      <c r="Y1617">
        <v>11013</v>
      </c>
    </row>
    <row r="1618" spans="1:25" x14ac:dyDescent="0.35">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1">
        <v>42012</v>
      </c>
      <c r="U1618" s="1">
        <v>42014</v>
      </c>
      <c r="V1618">
        <v>3602.1311999999994</v>
      </c>
      <c r="W1618">
        <v>6</v>
      </c>
      <c r="X1618">
        <v>5220.4799999999996</v>
      </c>
      <c r="Y1618">
        <v>85826</v>
      </c>
    </row>
    <row r="1619" spans="1:25" x14ac:dyDescent="0.35">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1">
        <v>42111</v>
      </c>
      <c r="U1619" s="1">
        <v>42112</v>
      </c>
      <c r="V1619">
        <v>-582.64799999999991</v>
      </c>
      <c r="W1619">
        <v>1</v>
      </c>
      <c r="X1619">
        <v>113.44</v>
      </c>
      <c r="Y1619">
        <v>85827</v>
      </c>
    </row>
    <row r="1620" spans="1:25" x14ac:dyDescent="0.35">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1">
        <v>42149</v>
      </c>
      <c r="U1620" s="1">
        <v>42151</v>
      </c>
      <c r="V1620">
        <v>-66.584999999999994</v>
      </c>
      <c r="W1620">
        <v>4</v>
      </c>
      <c r="X1620">
        <v>66.02</v>
      </c>
      <c r="Y1620">
        <v>85828</v>
      </c>
    </row>
    <row r="1621" spans="1:25" x14ac:dyDescent="0.35">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1">
        <v>42026</v>
      </c>
      <c r="U1621" s="1">
        <v>42028</v>
      </c>
      <c r="V1621">
        <v>441.59399999999999</v>
      </c>
      <c r="W1621">
        <v>12</v>
      </c>
      <c r="X1621">
        <v>33.020000000000003</v>
      </c>
      <c r="Y1621">
        <v>89872</v>
      </c>
    </row>
    <row r="1622" spans="1:25" x14ac:dyDescent="0.35">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1">
        <v>42026</v>
      </c>
      <c r="U1622" s="1">
        <v>42027</v>
      </c>
      <c r="V1622">
        <v>394.17</v>
      </c>
      <c r="W1622">
        <v>10</v>
      </c>
      <c r="X1622">
        <v>2273.1</v>
      </c>
      <c r="Y1622">
        <v>89872</v>
      </c>
    </row>
    <row r="1623" spans="1:25" x14ac:dyDescent="0.35">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1">
        <v>42100</v>
      </c>
      <c r="U1623" s="1">
        <v>42109</v>
      </c>
      <c r="V1623">
        <v>13.448099999999998</v>
      </c>
      <c r="W1623">
        <v>4</v>
      </c>
      <c r="X1623">
        <v>19.489999999999998</v>
      </c>
      <c r="Y1623">
        <v>89873</v>
      </c>
    </row>
    <row r="1624" spans="1:25" x14ac:dyDescent="0.35">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1">
        <v>42177</v>
      </c>
      <c r="U1624" s="1">
        <v>42179</v>
      </c>
      <c r="V1624">
        <v>4033.6089000000002</v>
      </c>
      <c r="W1624">
        <v>19</v>
      </c>
      <c r="X1624">
        <v>5845.81</v>
      </c>
      <c r="Y1624">
        <v>89874</v>
      </c>
    </row>
    <row r="1625" spans="1:25" x14ac:dyDescent="0.35">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1">
        <v>42177</v>
      </c>
      <c r="U1625" s="1">
        <v>42179</v>
      </c>
      <c r="V1625">
        <v>141.7824</v>
      </c>
      <c r="W1625">
        <v>12</v>
      </c>
      <c r="X1625">
        <v>633.85</v>
      </c>
      <c r="Y1625">
        <v>89874</v>
      </c>
    </row>
    <row r="1626" spans="1:25" x14ac:dyDescent="0.35">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1">
        <v>42065</v>
      </c>
      <c r="U1626" s="1">
        <v>42067</v>
      </c>
      <c r="V1626">
        <v>74.181899999999999</v>
      </c>
      <c r="W1626">
        <v>12</v>
      </c>
      <c r="X1626">
        <v>107.51</v>
      </c>
      <c r="Y1626">
        <v>91492</v>
      </c>
    </row>
    <row r="1627" spans="1:25" x14ac:dyDescent="0.35">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1">
        <v>42065</v>
      </c>
      <c r="U1627" s="1">
        <v>42067</v>
      </c>
      <c r="V1627">
        <v>82.31</v>
      </c>
      <c r="W1627">
        <v>47</v>
      </c>
      <c r="X1627">
        <v>421.08</v>
      </c>
      <c r="Y1627">
        <v>54369</v>
      </c>
    </row>
    <row r="1628" spans="1:25" x14ac:dyDescent="0.35">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1">
        <v>42091</v>
      </c>
      <c r="U1628" s="1">
        <v>42092</v>
      </c>
      <c r="V1628">
        <v>-2.3520000000000096</v>
      </c>
      <c r="W1628">
        <v>11</v>
      </c>
      <c r="X1628">
        <v>77.2</v>
      </c>
      <c r="Y1628">
        <v>88626</v>
      </c>
    </row>
    <row r="1629" spans="1:25" x14ac:dyDescent="0.35">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1">
        <v>42132</v>
      </c>
      <c r="U1629" s="1">
        <v>42137</v>
      </c>
      <c r="V1629">
        <v>1059.288</v>
      </c>
      <c r="W1629">
        <v>25</v>
      </c>
      <c r="X1629">
        <v>5587.89</v>
      </c>
      <c r="Y1629">
        <v>88627</v>
      </c>
    </row>
    <row r="1630" spans="1:25" x14ac:dyDescent="0.35">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1">
        <v>42055</v>
      </c>
      <c r="U1630" s="1">
        <v>42057</v>
      </c>
      <c r="V1630">
        <v>-246.27609999999999</v>
      </c>
      <c r="W1630">
        <v>37</v>
      </c>
      <c r="X1630">
        <v>159.88999999999999</v>
      </c>
      <c r="Y1630">
        <v>55300</v>
      </c>
    </row>
    <row r="1631" spans="1:25" x14ac:dyDescent="0.35">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1">
        <v>42055</v>
      </c>
      <c r="U1631" s="1">
        <v>42056</v>
      </c>
      <c r="V1631">
        <v>55.194599999999994</v>
      </c>
      <c r="W1631">
        <v>48</v>
      </c>
      <c r="X1631">
        <v>180.48</v>
      </c>
      <c r="Y1631">
        <v>55300</v>
      </c>
    </row>
    <row r="1632" spans="1:25" x14ac:dyDescent="0.35">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1">
        <v>42055</v>
      </c>
      <c r="U1632" s="1">
        <v>42057</v>
      </c>
      <c r="V1632">
        <v>-307.29650000000004</v>
      </c>
      <c r="W1632">
        <v>31</v>
      </c>
      <c r="X1632">
        <v>350.48</v>
      </c>
      <c r="Y1632">
        <v>55300</v>
      </c>
    </row>
    <row r="1633" spans="1:25" x14ac:dyDescent="0.35">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1">
        <v>42082</v>
      </c>
      <c r="U1633" s="1">
        <v>42082</v>
      </c>
      <c r="V1633">
        <v>-16.063740000000003</v>
      </c>
      <c r="W1633">
        <v>39</v>
      </c>
      <c r="X1633">
        <v>936.8</v>
      </c>
      <c r="Y1633">
        <v>16676</v>
      </c>
    </row>
    <row r="1634" spans="1:25" x14ac:dyDescent="0.35">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1">
        <v>42133</v>
      </c>
      <c r="U1634" s="1">
        <v>42133</v>
      </c>
      <c r="V1634">
        <v>-160.38470000000001</v>
      </c>
      <c r="W1634">
        <v>35</v>
      </c>
      <c r="X1634">
        <v>232.5</v>
      </c>
      <c r="Y1634">
        <v>4839</v>
      </c>
    </row>
    <row r="1635" spans="1:25" x14ac:dyDescent="0.35">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1">
        <v>42160</v>
      </c>
      <c r="U1635" s="1">
        <v>42161</v>
      </c>
      <c r="V1635">
        <v>732.26980000000003</v>
      </c>
      <c r="W1635">
        <v>21</v>
      </c>
      <c r="X1635">
        <v>7497.05</v>
      </c>
      <c r="Y1635">
        <v>21958</v>
      </c>
    </row>
    <row r="1636" spans="1:25" x14ac:dyDescent="0.35">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1">
        <v>42185</v>
      </c>
      <c r="U1636" s="1">
        <v>42192</v>
      </c>
      <c r="V1636">
        <v>270.87430000000001</v>
      </c>
      <c r="W1636">
        <v>21</v>
      </c>
      <c r="X1636">
        <v>1336.35</v>
      </c>
      <c r="Y1636">
        <v>40224</v>
      </c>
    </row>
    <row r="1637" spans="1:25" x14ac:dyDescent="0.35">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1">
        <v>42025</v>
      </c>
      <c r="U1637" s="1">
        <v>42029</v>
      </c>
      <c r="V1637">
        <v>333.76049999999998</v>
      </c>
      <c r="W1637">
        <v>40</v>
      </c>
      <c r="X1637">
        <v>1724.01</v>
      </c>
      <c r="Y1637">
        <v>50917</v>
      </c>
    </row>
    <row r="1638" spans="1:25" x14ac:dyDescent="0.35">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1">
        <v>42133</v>
      </c>
      <c r="U1638" s="1">
        <v>42133</v>
      </c>
      <c r="V1638">
        <v>-120.59</v>
      </c>
      <c r="W1638">
        <v>9</v>
      </c>
      <c r="X1638">
        <v>59.79</v>
      </c>
      <c r="Y1638">
        <v>87632</v>
      </c>
    </row>
    <row r="1639" spans="1:25" x14ac:dyDescent="0.35">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1">
        <v>42082</v>
      </c>
      <c r="U1639" s="1">
        <v>42082</v>
      </c>
      <c r="V1639">
        <v>-12.078000000000001</v>
      </c>
      <c r="W1639">
        <v>10</v>
      </c>
      <c r="X1639">
        <v>240.21</v>
      </c>
      <c r="Y1639">
        <v>87631</v>
      </c>
    </row>
    <row r="1640" spans="1:25" x14ac:dyDescent="0.35">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1">
        <v>42160</v>
      </c>
      <c r="U1640" s="1">
        <v>42161</v>
      </c>
      <c r="V1640">
        <v>1231.6569</v>
      </c>
      <c r="W1640">
        <v>5</v>
      </c>
      <c r="X1640">
        <v>1785.01</v>
      </c>
      <c r="Y1640">
        <v>87633</v>
      </c>
    </row>
    <row r="1641" spans="1:25" x14ac:dyDescent="0.35">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1">
        <v>42185</v>
      </c>
      <c r="U1641" s="1">
        <v>42192</v>
      </c>
      <c r="V1641">
        <v>219.54419999999999</v>
      </c>
      <c r="W1641">
        <v>5</v>
      </c>
      <c r="X1641">
        <v>318.18</v>
      </c>
      <c r="Y1641">
        <v>87634</v>
      </c>
    </row>
    <row r="1642" spans="1:25" x14ac:dyDescent="0.35">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1">
        <v>42055</v>
      </c>
      <c r="U1642" s="1">
        <v>42057</v>
      </c>
      <c r="V1642">
        <v>-185.17</v>
      </c>
      <c r="W1642">
        <v>9</v>
      </c>
      <c r="X1642">
        <v>38.89</v>
      </c>
      <c r="Y1642">
        <v>87630</v>
      </c>
    </row>
    <row r="1643" spans="1:25" x14ac:dyDescent="0.35">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1">
        <v>42055</v>
      </c>
      <c r="U1643" s="1">
        <v>42056</v>
      </c>
      <c r="V1643">
        <v>31.132799999999996</v>
      </c>
      <c r="W1643">
        <v>12</v>
      </c>
      <c r="X1643">
        <v>45.12</v>
      </c>
      <c r="Y1643">
        <v>87630</v>
      </c>
    </row>
    <row r="1644" spans="1:25" x14ac:dyDescent="0.35">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1">
        <v>42055</v>
      </c>
      <c r="U1644" s="1">
        <v>42057</v>
      </c>
      <c r="V1644">
        <v>-231.05</v>
      </c>
      <c r="W1644">
        <v>8</v>
      </c>
      <c r="X1644">
        <v>90.45</v>
      </c>
      <c r="Y1644">
        <v>87630</v>
      </c>
    </row>
    <row r="1645" spans="1:25" x14ac:dyDescent="0.35">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1">
        <v>42058</v>
      </c>
      <c r="U1645" s="1">
        <v>42060</v>
      </c>
      <c r="V1645">
        <v>-165.59492040000003</v>
      </c>
      <c r="W1645">
        <v>11</v>
      </c>
      <c r="X1645">
        <v>2125.12</v>
      </c>
      <c r="Y1645">
        <v>90011</v>
      </c>
    </row>
    <row r="1646" spans="1:25" x14ac:dyDescent="0.35">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1">
        <v>42058</v>
      </c>
      <c r="U1646" s="1">
        <v>42059</v>
      </c>
      <c r="V1646">
        <v>-21.684000000000001</v>
      </c>
      <c r="W1646">
        <v>9</v>
      </c>
      <c r="X1646">
        <v>45.05</v>
      </c>
      <c r="Y1646">
        <v>90011</v>
      </c>
    </row>
    <row r="1647" spans="1:25" x14ac:dyDescent="0.35">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1">
        <v>42026</v>
      </c>
      <c r="U1647" s="1">
        <v>42030</v>
      </c>
      <c r="V1647">
        <v>4861.0637999999999</v>
      </c>
      <c r="W1647">
        <v>8</v>
      </c>
      <c r="X1647">
        <v>7045.02</v>
      </c>
      <c r="Y1647">
        <v>86925</v>
      </c>
    </row>
    <row r="1648" spans="1:25" x14ac:dyDescent="0.35">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1">
        <v>42075</v>
      </c>
      <c r="U1648" s="1">
        <v>42077</v>
      </c>
      <c r="V1648">
        <v>-83.75</v>
      </c>
      <c r="W1648">
        <v>15</v>
      </c>
      <c r="X1648">
        <v>370.62</v>
      </c>
      <c r="Y1648">
        <v>86927</v>
      </c>
    </row>
    <row r="1649" spans="1:25" x14ac:dyDescent="0.35">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1">
        <v>42048</v>
      </c>
      <c r="U1649" s="1">
        <v>42049</v>
      </c>
      <c r="V1649">
        <v>565.17999999999995</v>
      </c>
      <c r="W1649">
        <v>11</v>
      </c>
      <c r="X1649">
        <v>904.25</v>
      </c>
      <c r="Y1649">
        <v>86926</v>
      </c>
    </row>
    <row r="1650" spans="1:25" x14ac:dyDescent="0.35">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1">
        <v>42048</v>
      </c>
      <c r="U1650" s="1">
        <v>42050</v>
      </c>
      <c r="V1650">
        <v>-38.72</v>
      </c>
      <c r="W1650">
        <v>2</v>
      </c>
      <c r="X1650">
        <v>16.309999999999999</v>
      </c>
      <c r="Y1650">
        <v>86926</v>
      </c>
    </row>
    <row r="1651" spans="1:25" x14ac:dyDescent="0.35">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1">
        <v>42180</v>
      </c>
      <c r="U1651" s="1">
        <v>42180</v>
      </c>
      <c r="V1651">
        <v>65.077020000000005</v>
      </c>
      <c r="W1651">
        <v>6</v>
      </c>
      <c r="X1651">
        <v>364.26</v>
      </c>
      <c r="Y1651">
        <v>87374</v>
      </c>
    </row>
    <row r="1652" spans="1:25" x14ac:dyDescent="0.35">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1">
        <v>42012</v>
      </c>
      <c r="U1652" s="1">
        <v>42012</v>
      </c>
      <c r="V1652">
        <v>10.959199999999999</v>
      </c>
      <c r="W1652">
        <v>4</v>
      </c>
      <c r="X1652">
        <v>16.07</v>
      </c>
      <c r="Y1652">
        <v>88156</v>
      </c>
    </row>
    <row r="1653" spans="1:25" x14ac:dyDescent="0.35">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1">
        <v>42012</v>
      </c>
      <c r="U1653" s="1">
        <v>42012</v>
      </c>
      <c r="V1653">
        <v>17.429400000000001</v>
      </c>
      <c r="W1653">
        <v>1</v>
      </c>
      <c r="X1653">
        <v>25.26</v>
      </c>
      <c r="Y1653">
        <v>88156</v>
      </c>
    </row>
    <row r="1654" spans="1:25" x14ac:dyDescent="0.35">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1">
        <v>42063</v>
      </c>
      <c r="U1654" s="1">
        <v>42066</v>
      </c>
      <c r="V1654">
        <v>-32.666400000000003</v>
      </c>
      <c r="W1654">
        <v>16</v>
      </c>
      <c r="X1654">
        <v>581.08000000000004</v>
      </c>
      <c r="Y1654">
        <v>88157</v>
      </c>
    </row>
    <row r="1655" spans="1:25" x14ac:dyDescent="0.35">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1">
        <v>42063</v>
      </c>
      <c r="U1655" s="1">
        <v>42065</v>
      </c>
      <c r="V1655">
        <v>-13.135200000000001</v>
      </c>
      <c r="W1655">
        <v>8</v>
      </c>
      <c r="X1655">
        <v>27.53</v>
      </c>
      <c r="Y1655">
        <v>88157</v>
      </c>
    </row>
    <row r="1656" spans="1:25" x14ac:dyDescent="0.35">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1">
        <v>42122</v>
      </c>
      <c r="U1656" s="1">
        <v>42124</v>
      </c>
      <c r="V1656">
        <v>22.307699999999997</v>
      </c>
      <c r="W1656">
        <v>7</v>
      </c>
      <c r="X1656">
        <v>32.33</v>
      </c>
      <c r="Y1656">
        <v>87396</v>
      </c>
    </row>
    <row r="1657" spans="1:25" x14ac:dyDescent="0.35">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1">
        <v>42122</v>
      </c>
      <c r="U1657" s="1">
        <v>42124</v>
      </c>
      <c r="V1657">
        <v>443.02139999999991</v>
      </c>
      <c r="W1657">
        <v>12</v>
      </c>
      <c r="X1657">
        <v>642.05999999999995</v>
      </c>
      <c r="Y1657">
        <v>87396</v>
      </c>
    </row>
    <row r="1658" spans="1:25" x14ac:dyDescent="0.35">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1">
        <v>42162</v>
      </c>
      <c r="U1658" s="1">
        <v>42164</v>
      </c>
      <c r="V1658">
        <v>-1220.9144999999999</v>
      </c>
      <c r="W1658">
        <v>2</v>
      </c>
      <c r="X1658">
        <v>1068.5999999999999</v>
      </c>
      <c r="Y1658">
        <v>59365</v>
      </c>
    </row>
    <row r="1659" spans="1:25" x14ac:dyDescent="0.35">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1">
        <v>42063</v>
      </c>
      <c r="U1659" s="1">
        <v>42065</v>
      </c>
      <c r="V1659">
        <v>-27.1492</v>
      </c>
      <c r="W1659">
        <v>15</v>
      </c>
      <c r="X1659">
        <v>99.75</v>
      </c>
      <c r="Y1659">
        <v>86592</v>
      </c>
    </row>
    <row r="1660" spans="1:25" x14ac:dyDescent="0.35">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1">
        <v>42020</v>
      </c>
      <c r="U1660" s="1">
        <v>42022</v>
      </c>
      <c r="V1660">
        <v>-106.3424</v>
      </c>
      <c r="W1660">
        <v>2</v>
      </c>
      <c r="X1660">
        <v>226.53</v>
      </c>
      <c r="Y1660">
        <v>86591</v>
      </c>
    </row>
    <row r="1661" spans="1:25" x14ac:dyDescent="0.35">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1">
        <v>42020</v>
      </c>
      <c r="U1661" s="1">
        <v>42022</v>
      </c>
      <c r="V1661">
        <v>44.976799999999997</v>
      </c>
      <c r="W1661">
        <v>8</v>
      </c>
      <c r="X1661">
        <v>68.650000000000006</v>
      </c>
      <c r="Y1661">
        <v>86591</v>
      </c>
    </row>
    <row r="1662" spans="1:25" x14ac:dyDescent="0.35">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1">
        <v>42150</v>
      </c>
      <c r="U1662" s="1">
        <v>42152</v>
      </c>
      <c r="V1662">
        <v>689.32799999999997</v>
      </c>
      <c r="W1662">
        <v>42</v>
      </c>
      <c r="X1662">
        <v>236.83</v>
      </c>
      <c r="Y1662">
        <v>90218</v>
      </c>
    </row>
    <row r="1663" spans="1:25" x14ac:dyDescent="0.35">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1">
        <v>42150</v>
      </c>
      <c r="U1663" s="1">
        <v>42151</v>
      </c>
      <c r="V1663">
        <v>-33.585999999999999</v>
      </c>
      <c r="W1663">
        <v>36</v>
      </c>
      <c r="X1663">
        <v>1944.87</v>
      </c>
      <c r="Y1663">
        <v>90218</v>
      </c>
    </row>
    <row r="1664" spans="1:25" x14ac:dyDescent="0.35">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1">
        <v>42063</v>
      </c>
      <c r="U1664" s="1">
        <v>42063</v>
      </c>
      <c r="V1664">
        <v>69.767200000000003</v>
      </c>
      <c r="W1664">
        <v>12</v>
      </c>
      <c r="X1664">
        <v>135.77000000000001</v>
      </c>
      <c r="Y1664">
        <v>87619</v>
      </c>
    </row>
    <row r="1665" spans="1:25" x14ac:dyDescent="0.35">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1">
        <v>42116</v>
      </c>
      <c r="U1665" s="1">
        <v>42117</v>
      </c>
      <c r="V1665">
        <v>-52.822799999999994</v>
      </c>
      <c r="W1665">
        <v>1</v>
      </c>
      <c r="X1665">
        <v>55.43</v>
      </c>
      <c r="Y1665">
        <v>87620</v>
      </c>
    </row>
    <row r="1666" spans="1:25" x14ac:dyDescent="0.35">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1">
        <v>42135</v>
      </c>
      <c r="U1666" s="1">
        <v>42139</v>
      </c>
      <c r="V1666">
        <v>7.31</v>
      </c>
      <c r="W1666">
        <v>5</v>
      </c>
      <c r="X1666">
        <v>20.46</v>
      </c>
      <c r="Y1666">
        <v>87617</v>
      </c>
    </row>
    <row r="1667" spans="1:25" x14ac:dyDescent="0.35">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1">
        <v>42116</v>
      </c>
      <c r="U1667" s="1">
        <v>42119</v>
      </c>
      <c r="V1667">
        <v>642.99029999999993</v>
      </c>
      <c r="W1667">
        <v>20</v>
      </c>
      <c r="X1667">
        <v>931.87</v>
      </c>
      <c r="Y1667">
        <v>87620</v>
      </c>
    </row>
    <row r="1668" spans="1:25" x14ac:dyDescent="0.35">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1">
        <v>42150</v>
      </c>
      <c r="U1668" s="1">
        <v>42151</v>
      </c>
      <c r="V1668">
        <v>12.71</v>
      </c>
      <c r="W1668">
        <v>8</v>
      </c>
      <c r="X1668">
        <v>21.41</v>
      </c>
      <c r="Y1668">
        <v>87618</v>
      </c>
    </row>
    <row r="1669" spans="1:25" x14ac:dyDescent="0.35">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1">
        <v>42068</v>
      </c>
      <c r="U1669" s="1">
        <v>42070</v>
      </c>
      <c r="V1669">
        <v>28.288</v>
      </c>
      <c r="W1669">
        <v>13</v>
      </c>
      <c r="X1669">
        <v>59.75</v>
      </c>
      <c r="Y1669">
        <v>90309</v>
      </c>
    </row>
    <row r="1670" spans="1:25" x14ac:dyDescent="0.35">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1">
        <v>42039</v>
      </c>
      <c r="U1670" s="1">
        <v>42042</v>
      </c>
      <c r="V1670">
        <v>112.1181</v>
      </c>
      <c r="W1670">
        <v>20</v>
      </c>
      <c r="X1670">
        <v>162.49</v>
      </c>
      <c r="Y1670">
        <v>87511</v>
      </c>
    </row>
    <row r="1671" spans="1:25" x14ac:dyDescent="0.35">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1">
        <v>42050</v>
      </c>
      <c r="U1671" s="1">
        <v>42052</v>
      </c>
      <c r="V1671">
        <v>565.38599999999997</v>
      </c>
      <c r="W1671">
        <v>19</v>
      </c>
      <c r="X1671">
        <v>819.4</v>
      </c>
      <c r="Y1671">
        <v>91397</v>
      </c>
    </row>
    <row r="1672" spans="1:25" x14ac:dyDescent="0.35">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1">
        <v>42050</v>
      </c>
      <c r="U1672" s="1">
        <v>42053</v>
      </c>
      <c r="V1672">
        <v>-230.9528</v>
      </c>
      <c r="W1672">
        <v>19</v>
      </c>
      <c r="X1672">
        <v>1809.75</v>
      </c>
      <c r="Y1672">
        <v>91397</v>
      </c>
    </row>
    <row r="1673" spans="1:25" x14ac:dyDescent="0.35">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1">
        <v>42109</v>
      </c>
      <c r="U1673" s="1">
        <v>42111</v>
      </c>
      <c r="V1673">
        <v>-61.628039999999999</v>
      </c>
      <c r="W1673">
        <v>12</v>
      </c>
      <c r="X1673">
        <v>70.03</v>
      </c>
      <c r="Y1673">
        <v>91398</v>
      </c>
    </row>
    <row r="1674" spans="1:25" x14ac:dyDescent="0.35">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1">
        <v>42173</v>
      </c>
      <c r="U1674" s="1">
        <v>42180</v>
      </c>
      <c r="V1674">
        <v>70.676699999999997</v>
      </c>
      <c r="W1674">
        <v>9</v>
      </c>
      <c r="X1674">
        <v>102.43</v>
      </c>
      <c r="Y1674">
        <v>86427</v>
      </c>
    </row>
    <row r="1675" spans="1:25" x14ac:dyDescent="0.35">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1">
        <v>42096</v>
      </c>
      <c r="U1675" s="1">
        <v>42098</v>
      </c>
      <c r="V1675">
        <v>95.054399999999987</v>
      </c>
      <c r="W1675">
        <v>4</v>
      </c>
      <c r="X1675">
        <v>137.76</v>
      </c>
      <c r="Y1675">
        <v>90264</v>
      </c>
    </row>
    <row r="1676" spans="1:25" x14ac:dyDescent="0.35">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1">
        <v>42086</v>
      </c>
      <c r="U1676" s="1">
        <v>42091</v>
      </c>
      <c r="V1676">
        <v>224.96069999999997</v>
      </c>
      <c r="W1676">
        <v>18</v>
      </c>
      <c r="X1676">
        <v>326.02999999999997</v>
      </c>
      <c r="Y1676">
        <v>90265</v>
      </c>
    </row>
    <row r="1677" spans="1:25" x14ac:dyDescent="0.35">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1">
        <v>42099</v>
      </c>
      <c r="U1677" s="1">
        <v>42101</v>
      </c>
      <c r="V1677">
        <v>-89.572000000000003</v>
      </c>
      <c r="W1677">
        <v>11</v>
      </c>
      <c r="X1677">
        <v>379.72</v>
      </c>
      <c r="Y1677">
        <v>90646</v>
      </c>
    </row>
    <row r="1678" spans="1:25" x14ac:dyDescent="0.35">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1">
        <v>42131</v>
      </c>
      <c r="U1678" s="1">
        <v>42133</v>
      </c>
      <c r="V1678">
        <v>33.347699999999996</v>
      </c>
      <c r="W1678">
        <v>10</v>
      </c>
      <c r="X1678">
        <v>48.33</v>
      </c>
      <c r="Y1678">
        <v>88611</v>
      </c>
    </row>
    <row r="1679" spans="1:25" x14ac:dyDescent="0.35">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1">
        <v>42177</v>
      </c>
      <c r="U1679" s="1">
        <v>42178</v>
      </c>
      <c r="V1679">
        <v>-34.591999999999999</v>
      </c>
      <c r="W1679">
        <v>4</v>
      </c>
      <c r="X1679">
        <v>34.909999999999997</v>
      </c>
      <c r="Y1679">
        <v>88612</v>
      </c>
    </row>
    <row r="1680" spans="1:25" x14ac:dyDescent="0.35">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1">
        <v>42115</v>
      </c>
      <c r="U1680" s="1">
        <v>42117</v>
      </c>
      <c r="V1680">
        <v>-24.63</v>
      </c>
      <c r="W1680">
        <v>1</v>
      </c>
      <c r="X1680">
        <v>47.04</v>
      </c>
      <c r="Y1680">
        <v>88610</v>
      </c>
    </row>
    <row r="1681" spans="1:25" x14ac:dyDescent="0.35">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1">
        <v>42057</v>
      </c>
      <c r="U1681" s="1">
        <v>42059</v>
      </c>
      <c r="V1681">
        <v>-536.24199999999996</v>
      </c>
      <c r="W1681">
        <v>1</v>
      </c>
      <c r="X1681">
        <v>10.94</v>
      </c>
      <c r="Y1681">
        <v>86085</v>
      </c>
    </row>
    <row r="1682" spans="1:25" x14ac:dyDescent="0.35">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1">
        <v>42057</v>
      </c>
      <c r="U1682" s="1">
        <v>42058</v>
      </c>
      <c r="V1682">
        <v>-125.86000000000001</v>
      </c>
      <c r="W1682">
        <v>5</v>
      </c>
      <c r="X1682">
        <v>731.38</v>
      </c>
      <c r="Y1682">
        <v>86085</v>
      </c>
    </row>
    <row r="1683" spans="1:25" x14ac:dyDescent="0.35">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1">
        <v>42091</v>
      </c>
      <c r="U1683" s="1">
        <v>42093</v>
      </c>
      <c r="V1683">
        <v>36.164099999999998</v>
      </c>
      <c r="W1683">
        <v>1</v>
      </c>
      <c r="X1683">
        <v>344.87</v>
      </c>
      <c r="Y1683">
        <v>86086</v>
      </c>
    </row>
    <row r="1684" spans="1:25" x14ac:dyDescent="0.35">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1">
        <v>42107</v>
      </c>
      <c r="U1684" s="1">
        <v>42109</v>
      </c>
      <c r="V1684">
        <v>17.102799999999998</v>
      </c>
      <c r="W1684">
        <v>17</v>
      </c>
      <c r="X1684">
        <v>523.05999999999995</v>
      </c>
      <c r="Y1684">
        <v>87186</v>
      </c>
    </row>
    <row r="1685" spans="1:25" x14ac:dyDescent="0.35">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1">
        <v>42107</v>
      </c>
      <c r="U1685" s="1">
        <v>42109</v>
      </c>
      <c r="V1685">
        <v>1269.3819599999999</v>
      </c>
      <c r="W1685">
        <v>23</v>
      </c>
      <c r="X1685">
        <v>2424.6799999999998</v>
      </c>
      <c r="Y1685">
        <v>87186</v>
      </c>
    </row>
    <row r="1686" spans="1:25" x14ac:dyDescent="0.35">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1">
        <v>42144</v>
      </c>
      <c r="U1686" s="1">
        <v>42145</v>
      </c>
      <c r="V1686">
        <v>137.68794000000014</v>
      </c>
      <c r="W1686">
        <v>6</v>
      </c>
      <c r="X1686">
        <v>2411.4299999999998</v>
      </c>
      <c r="Y1686">
        <v>87187</v>
      </c>
    </row>
    <row r="1687" spans="1:25" x14ac:dyDescent="0.35">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1">
        <v>42146</v>
      </c>
      <c r="U1687" s="1">
        <v>42147</v>
      </c>
      <c r="V1687">
        <v>882.48239999999998</v>
      </c>
      <c r="W1687">
        <v>41</v>
      </c>
      <c r="X1687">
        <v>1278.96</v>
      </c>
      <c r="Y1687">
        <v>89047</v>
      </c>
    </row>
    <row r="1688" spans="1:25" x14ac:dyDescent="0.35">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1">
        <v>42031</v>
      </c>
      <c r="U1688" s="1">
        <v>42032</v>
      </c>
      <c r="V1688">
        <v>6.3840000000000003</v>
      </c>
      <c r="W1688">
        <v>9</v>
      </c>
      <c r="X1688">
        <v>25.22</v>
      </c>
      <c r="Y1688">
        <v>86544</v>
      </c>
    </row>
    <row r="1689" spans="1:25" x14ac:dyDescent="0.35">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1">
        <v>42061</v>
      </c>
      <c r="U1689" s="1">
        <v>42063</v>
      </c>
      <c r="V1689">
        <v>5.2955000000000005</v>
      </c>
      <c r="W1689">
        <v>6</v>
      </c>
      <c r="X1689">
        <v>34.729999999999997</v>
      </c>
      <c r="Y1689">
        <v>86545</v>
      </c>
    </row>
    <row r="1690" spans="1:25" x14ac:dyDescent="0.35">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1">
        <v>42061</v>
      </c>
      <c r="U1690" s="1">
        <v>42062</v>
      </c>
      <c r="V1690">
        <v>170.79569999999998</v>
      </c>
      <c r="W1690">
        <v>6</v>
      </c>
      <c r="X1690">
        <v>247.53</v>
      </c>
      <c r="Y1690">
        <v>86545</v>
      </c>
    </row>
    <row r="1691" spans="1:25" x14ac:dyDescent="0.35">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1">
        <v>42169</v>
      </c>
      <c r="U1691" s="1">
        <v>42171</v>
      </c>
      <c r="V1691">
        <v>16.091999999999999</v>
      </c>
      <c r="W1691">
        <v>4</v>
      </c>
      <c r="X1691">
        <v>23.89</v>
      </c>
      <c r="Y1691">
        <v>86546</v>
      </c>
    </row>
    <row r="1692" spans="1:25" x14ac:dyDescent="0.35">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1">
        <v>42031</v>
      </c>
      <c r="U1692" s="1">
        <v>42033</v>
      </c>
      <c r="V1692">
        <v>274.0788</v>
      </c>
      <c r="W1692">
        <v>10</v>
      </c>
      <c r="X1692">
        <v>454.4</v>
      </c>
      <c r="Y1692">
        <v>86544</v>
      </c>
    </row>
    <row r="1693" spans="1:25" x14ac:dyDescent="0.35">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1">
        <v>42031</v>
      </c>
      <c r="U1693" s="1">
        <v>42034</v>
      </c>
      <c r="V1693">
        <v>-3.782</v>
      </c>
      <c r="W1693">
        <v>13</v>
      </c>
      <c r="X1693">
        <v>14.53</v>
      </c>
      <c r="Y1693">
        <v>86544</v>
      </c>
    </row>
    <row r="1694" spans="1:25" x14ac:dyDescent="0.35">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1">
        <v>42060</v>
      </c>
      <c r="U1694" s="1">
        <v>42062</v>
      </c>
      <c r="V1694">
        <v>10.798499999999999</v>
      </c>
      <c r="W1694">
        <v>6</v>
      </c>
      <c r="X1694">
        <v>15.65</v>
      </c>
      <c r="Y1694">
        <v>86547</v>
      </c>
    </row>
    <row r="1695" spans="1:25" x14ac:dyDescent="0.35">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1">
        <v>42154</v>
      </c>
      <c r="U1695" s="1">
        <v>42159</v>
      </c>
      <c r="V1695">
        <v>15.246</v>
      </c>
      <c r="W1695">
        <v>39</v>
      </c>
      <c r="X1695">
        <v>111.92</v>
      </c>
      <c r="Y1695">
        <v>86548</v>
      </c>
    </row>
    <row r="1696" spans="1:25" x14ac:dyDescent="0.35">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1">
        <v>42183</v>
      </c>
      <c r="U1696" s="1">
        <v>42183</v>
      </c>
      <c r="V1696">
        <v>-103.624</v>
      </c>
      <c r="W1696">
        <v>17</v>
      </c>
      <c r="X1696">
        <v>1700.38</v>
      </c>
      <c r="Y1696">
        <v>91180</v>
      </c>
    </row>
    <row r="1697" spans="1:25" x14ac:dyDescent="0.35">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1">
        <v>42183</v>
      </c>
      <c r="U1697" s="1">
        <v>42183</v>
      </c>
      <c r="V1697">
        <v>-57.823999999999998</v>
      </c>
      <c r="W1697">
        <v>6</v>
      </c>
      <c r="X1697">
        <v>35.96</v>
      </c>
      <c r="Y1697">
        <v>91180</v>
      </c>
    </row>
    <row r="1698" spans="1:25" x14ac:dyDescent="0.35">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1">
        <v>42132</v>
      </c>
      <c r="U1698" s="1">
        <v>42137</v>
      </c>
      <c r="V1698">
        <v>18.218000000000018</v>
      </c>
      <c r="W1698">
        <v>2</v>
      </c>
      <c r="X1698">
        <v>141.59</v>
      </c>
      <c r="Y1698">
        <v>91466</v>
      </c>
    </row>
    <row r="1699" spans="1:25" x14ac:dyDescent="0.35">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1">
        <v>42132</v>
      </c>
      <c r="U1699" s="1">
        <v>42139</v>
      </c>
      <c r="V1699">
        <v>25.058000000000035</v>
      </c>
      <c r="W1699">
        <v>36</v>
      </c>
      <c r="X1699">
        <v>203.05</v>
      </c>
      <c r="Y1699">
        <v>91466</v>
      </c>
    </row>
    <row r="1700" spans="1:25" x14ac:dyDescent="0.35">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1">
        <v>42104</v>
      </c>
      <c r="U1700" s="1">
        <v>42105</v>
      </c>
      <c r="V1700">
        <v>11.82</v>
      </c>
      <c r="W1700">
        <v>5</v>
      </c>
      <c r="X1700">
        <v>56.19</v>
      </c>
      <c r="Y1700">
        <v>87041</v>
      </c>
    </row>
    <row r="1701" spans="1:25" x14ac:dyDescent="0.35">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1">
        <v>42030</v>
      </c>
      <c r="U1701" s="1">
        <v>42032</v>
      </c>
      <c r="V1701">
        <v>28.151999999999997</v>
      </c>
      <c r="W1701">
        <v>4</v>
      </c>
      <c r="X1701">
        <v>40.799999999999997</v>
      </c>
      <c r="Y1701">
        <v>87042</v>
      </c>
    </row>
    <row r="1702" spans="1:25" x14ac:dyDescent="0.35">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1">
        <v>42080</v>
      </c>
      <c r="U1702" s="1">
        <v>42082</v>
      </c>
      <c r="V1702">
        <v>-237.54400000000001</v>
      </c>
      <c r="W1702">
        <v>21</v>
      </c>
      <c r="X1702">
        <v>117.87</v>
      </c>
      <c r="Y1702">
        <v>87043</v>
      </c>
    </row>
    <row r="1703" spans="1:25" x14ac:dyDescent="0.35">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1">
        <v>42068</v>
      </c>
      <c r="U1703" s="1">
        <v>42069</v>
      </c>
      <c r="V1703">
        <v>1037.1044999999999</v>
      </c>
      <c r="W1703">
        <v>20</v>
      </c>
      <c r="X1703">
        <v>1503.05</v>
      </c>
      <c r="Y1703">
        <v>91586</v>
      </c>
    </row>
    <row r="1704" spans="1:25" x14ac:dyDescent="0.35">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1">
        <v>42045</v>
      </c>
      <c r="U1704" s="1">
        <v>42050</v>
      </c>
      <c r="V1704">
        <v>-94.59</v>
      </c>
      <c r="W1704">
        <v>58</v>
      </c>
      <c r="X1704">
        <v>382.33</v>
      </c>
      <c r="Y1704">
        <v>54949</v>
      </c>
    </row>
    <row r="1705" spans="1:25" x14ac:dyDescent="0.35">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1">
        <v>42045</v>
      </c>
      <c r="U1705" s="1">
        <v>42052</v>
      </c>
      <c r="V1705">
        <v>-293.74</v>
      </c>
      <c r="W1705">
        <v>13</v>
      </c>
      <c r="X1705">
        <v>356.61</v>
      </c>
      <c r="Y1705">
        <v>54949</v>
      </c>
    </row>
    <row r="1706" spans="1:25" x14ac:dyDescent="0.35">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1">
        <v>42163</v>
      </c>
      <c r="U1706" s="1">
        <v>42166</v>
      </c>
      <c r="V1706">
        <v>1039.7540999999999</v>
      </c>
      <c r="W1706">
        <v>12</v>
      </c>
      <c r="X1706">
        <v>1506.89</v>
      </c>
      <c r="Y1706">
        <v>91389</v>
      </c>
    </row>
    <row r="1707" spans="1:25" x14ac:dyDescent="0.35">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1">
        <v>42045</v>
      </c>
      <c r="U1707" s="1">
        <v>42050</v>
      </c>
      <c r="V1707">
        <v>-49.186800000000005</v>
      </c>
      <c r="W1707">
        <v>14</v>
      </c>
      <c r="X1707">
        <v>92.29</v>
      </c>
      <c r="Y1707">
        <v>91388</v>
      </c>
    </row>
    <row r="1708" spans="1:25" x14ac:dyDescent="0.35">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1">
        <v>42045</v>
      </c>
      <c r="U1708" s="1">
        <v>42052</v>
      </c>
      <c r="V1708">
        <v>-152.7448</v>
      </c>
      <c r="W1708">
        <v>3</v>
      </c>
      <c r="X1708">
        <v>82.29</v>
      </c>
      <c r="Y1708">
        <v>91388</v>
      </c>
    </row>
    <row r="1709" spans="1:25" x14ac:dyDescent="0.35">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1">
        <v>42069</v>
      </c>
      <c r="U1709" s="1">
        <v>42070</v>
      </c>
      <c r="V1709">
        <v>41.3</v>
      </c>
      <c r="W1709">
        <v>20</v>
      </c>
      <c r="X1709">
        <v>203.37</v>
      </c>
      <c r="Y1709">
        <v>89414</v>
      </c>
    </row>
    <row r="1710" spans="1:25" x14ac:dyDescent="0.35">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1">
        <v>42166</v>
      </c>
      <c r="U1710" s="1">
        <v>42167</v>
      </c>
      <c r="V1710">
        <v>47.61</v>
      </c>
      <c r="W1710">
        <v>12</v>
      </c>
      <c r="X1710">
        <v>160.66</v>
      </c>
      <c r="Y1710">
        <v>89415</v>
      </c>
    </row>
    <row r="1711" spans="1:25" x14ac:dyDescent="0.35">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1">
        <v>42152</v>
      </c>
      <c r="U1711" s="1">
        <v>42153</v>
      </c>
      <c r="V1711">
        <v>-23.5</v>
      </c>
      <c r="W1711">
        <v>16</v>
      </c>
      <c r="X1711">
        <v>107.08</v>
      </c>
      <c r="Y1711">
        <v>56486</v>
      </c>
    </row>
    <row r="1712" spans="1:25" x14ac:dyDescent="0.35">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1">
        <v>42122</v>
      </c>
      <c r="U1712" s="1">
        <v>42124</v>
      </c>
      <c r="V1712">
        <v>1282.4959999999999</v>
      </c>
      <c r="W1712">
        <v>32</v>
      </c>
      <c r="X1712">
        <v>9705.4599999999991</v>
      </c>
      <c r="Y1712">
        <v>7623</v>
      </c>
    </row>
    <row r="1713" spans="1:25" x14ac:dyDescent="0.35">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1">
        <v>42122</v>
      </c>
      <c r="U1713" s="1">
        <v>42124</v>
      </c>
      <c r="V1713">
        <v>17.2</v>
      </c>
      <c r="W1713">
        <v>67</v>
      </c>
      <c r="X1713">
        <v>3247.54</v>
      </c>
      <c r="Y1713">
        <v>7623</v>
      </c>
    </row>
    <row r="1714" spans="1:25" x14ac:dyDescent="0.35">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1">
        <v>42122</v>
      </c>
      <c r="U1714" s="1">
        <v>42123</v>
      </c>
      <c r="V1714">
        <v>1184.1200000000001</v>
      </c>
      <c r="W1714">
        <v>58</v>
      </c>
      <c r="X1714">
        <v>5582.63</v>
      </c>
      <c r="Y1714">
        <v>7623</v>
      </c>
    </row>
    <row r="1715" spans="1:25" x14ac:dyDescent="0.35">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1">
        <v>42122</v>
      </c>
      <c r="U1715" s="1">
        <v>42124</v>
      </c>
      <c r="V1715">
        <v>1474.8703999999998</v>
      </c>
      <c r="W1715">
        <v>8</v>
      </c>
      <c r="X1715">
        <v>2426.36</v>
      </c>
      <c r="Y1715">
        <v>86346</v>
      </c>
    </row>
    <row r="1716" spans="1:25" x14ac:dyDescent="0.35">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1">
        <v>42122</v>
      </c>
      <c r="U1716" s="1">
        <v>42124</v>
      </c>
      <c r="V1716">
        <v>19.78</v>
      </c>
      <c r="W1716">
        <v>17</v>
      </c>
      <c r="X1716">
        <v>824</v>
      </c>
      <c r="Y1716">
        <v>86346</v>
      </c>
    </row>
    <row r="1717" spans="1:25" x14ac:dyDescent="0.35">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1">
        <v>42122</v>
      </c>
      <c r="U1717" s="1">
        <v>42123</v>
      </c>
      <c r="V1717">
        <v>929.7956999999999</v>
      </c>
      <c r="W1717">
        <v>14</v>
      </c>
      <c r="X1717">
        <v>1347.53</v>
      </c>
      <c r="Y1717">
        <v>86346</v>
      </c>
    </row>
    <row r="1718" spans="1:25" x14ac:dyDescent="0.35">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1">
        <v>42013</v>
      </c>
      <c r="U1718" s="1">
        <v>42014</v>
      </c>
      <c r="V1718">
        <v>-7.25</v>
      </c>
      <c r="W1718">
        <v>1</v>
      </c>
      <c r="X1718">
        <v>11.16</v>
      </c>
      <c r="Y1718">
        <v>89071</v>
      </c>
    </row>
    <row r="1719" spans="1:25" x14ac:dyDescent="0.35">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1">
        <v>42013</v>
      </c>
      <c r="U1719" s="1">
        <v>42014</v>
      </c>
      <c r="V1719">
        <v>31.201799999999995</v>
      </c>
      <c r="W1719">
        <v>11</v>
      </c>
      <c r="X1719">
        <v>45.22</v>
      </c>
      <c r="Y1719">
        <v>89071</v>
      </c>
    </row>
    <row r="1720" spans="1:25" x14ac:dyDescent="0.35">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1">
        <v>42019</v>
      </c>
      <c r="U1720" s="1">
        <v>42024</v>
      </c>
      <c r="V1720">
        <v>-75.900400000000005</v>
      </c>
      <c r="W1720">
        <v>10</v>
      </c>
      <c r="X1720">
        <v>52.93</v>
      </c>
      <c r="Y1720">
        <v>89128</v>
      </c>
    </row>
    <row r="1721" spans="1:25" x14ac:dyDescent="0.35">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1">
        <v>42019</v>
      </c>
      <c r="U1721" s="1">
        <v>42024</v>
      </c>
      <c r="V1721">
        <v>52.170899999999996</v>
      </c>
      <c r="W1721">
        <v>12</v>
      </c>
      <c r="X1721">
        <v>75.61</v>
      </c>
      <c r="Y1721">
        <v>89128</v>
      </c>
    </row>
    <row r="1722" spans="1:25" x14ac:dyDescent="0.35">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1">
        <v>42020</v>
      </c>
      <c r="U1722" s="1">
        <v>42022</v>
      </c>
      <c r="V1722">
        <v>-159.86000000000001</v>
      </c>
      <c r="W1722">
        <v>5</v>
      </c>
      <c r="X1722">
        <v>67.64</v>
      </c>
      <c r="Y1722">
        <v>89129</v>
      </c>
    </row>
    <row r="1723" spans="1:25" x14ac:dyDescent="0.35">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1">
        <v>42020</v>
      </c>
      <c r="U1723" s="1">
        <v>42022</v>
      </c>
      <c r="V1723">
        <v>165.88979999999998</v>
      </c>
      <c r="W1723">
        <v>7</v>
      </c>
      <c r="X1723">
        <v>240.42</v>
      </c>
      <c r="Y1723">
        <v>89129</v>
      </c>
    </row>
    <row r="1724" spans="1:25" x14ac:dyDescent="0.35">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1">
        <v>42020</v>
      </c>
      <c r="U1724" s="1">
        <v>42023</v>
      </c>
      <c r="V1724">
        <v>75.010000000000005</v>
      </c>
      <c r="W1724">
        <v>14</v>
      </c>
      <c r="X1724">
        <v>184.4</v>
      </c>
      <c r="Y1724">
        <v>89129</v>
      </c>
    </row>
    <row r="1725" spans="1:25" x14ac:dyDescent="0.35">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1">
        <v>42076</v>
      </c>
      <c r="U1725" s="1">
        <v>42079</v>
      </c>
      <c r="V1725">
        <v>2267.2199999999998</v>
      </c>
      <c r="W1725">
        <v>22</v>
      </c>
      <c r="X1725">
        <v>3802.01</v>
      </c>
      <c r="Y1725">
        <v>89130</v>
      </c>
    </row>
    <row r="1726" spans="1:25" x14ac:dyDescent="0.35">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1">
        <v>42139</v>
      </c>
      <c r="U1726" s="1">
        <v>42142</v>
      </c>
      <c r="V1726">
        <v>97.159999999999926</v>
      </c>
      <c r="W1726">
        <v>17</v>
      </c>
      <c r="X1726">
        <v>1181.67</v>
      </c>
      <c r="Y1726">
        <v>86102</v>
      </c>
    </row>
    <row r="1727" spans="1:25" x14ac:dyDescent="0.35">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1">
        <v>42139</v>
      </c>
      <c r="U1727" s="1">
        <v>42141</v>
      </c>
      <c r="V1727">
        <v>-20.65</v>
      </c>
      <c r="W1727">
        <v>8</v>
      </c>
      <c r="X1727">
        <v>29.93</v>
      </c>
      <c r="Y1727">
        <v>86102</v>
      </c>
    </row>
    <row r="1728" spans="1:25" x14ac:dyDescent="0.35">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1">
        <v>42039</v>
      </c>
      <c r="U1728" s="1">
        <v>42040</v>
      </c>
      <c r="V1728">
        <v>67.864000000000004</v>
      </c>
      <c r="W1728">
        <v>12</v>
      </c>
      <c r="X1728">
        <v>171.33</v>
      </c>
      <c r="Y1728">
        <v>86101</v>
      </c>
    </row>
    <row r="1729" spans="1:25" x14ac:dyDescent="0.35">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1">
        <v>42161</v>
      </c>
      <c r="U1729" s="1">
        <v>42162</v>
      </c>
      <c r="V1729">
        <v>-14.074999999999999</v>
      </c>
      <c r="W1729">
        <v>12</v>
      </c>
      <c r="X1729">
        <v>84.04</v>
      </c>
      <c r="Y1729">
        <v>86104</v>
      </c>
    </row>
    <row r="1730" spans="1:25" x14ac:dyDescent="0.35">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1">
        <v>42047</v>
      </c>
      <c r="U1730" s="1">
        <v>42049</v>
      </c>
      <c r="V1730">
        <v>-78.759200000000007</v>
      </c>
      <c r="W1730">
        <v>2</v>
      </c>
      <c r="X1730">
        <v>251.06</v>
      </c>
      <c r="Y1730">
        <v>86103</v>
      </c>
    </row>
    <row r="1731" spans="1:25" x14ac:dyDescent="0.35">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1">
        <v>42068</v>
      </c>
      <c r="U1731" s="1">
        <v>42070</v>
      </c>
      <c r="V1731">
        <v>1167.3800000000001</v>
      </c>
      <c r="W1731">
        <v>10</v>
      </c>
      <c r="X1731">
        <v>2610.56</v>
      </c>
      <c r="Y1731">
        <v>89789</v>
      </c>
    </row>
    <row r="1732" spans="1:25" x14ac:dyDescent="0.35">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1">
        <v>42038</v>
      </c>
      <c r="U1732" s="1">
        <v>42040</v>
      </c>
      <c r="V1732">
        <v>402.06599999999997</v>
      </c>
      <c r="W1732">
        <v>11</v>
      </c>
      <c r="X1732">
        <v>1173.76</v>
      </c>
      <c r="Y1732">
        <v>86662</v>
      </c>
    </row>
    <row r="1733" spans="1:25" x14ac:dyDescent="0.35">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1">
        <v>42061</v>
      </c>
      <c r="U1733" s="1">
        <v>42063</v>
      </c>
      <c r="V1733">
        <v>11.95</v>
      </c>
      <c r="W1733">
        <v>6</v>
      </c>
      <c r="X1733">
        <v>50.28</v>
      </c>
      <c r="Y1733">
        <v>88447</v>
      </c>
    </row>
    <row r="1734" spans="1:25" x14ac:dyDescent="0.35">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1">
        <v>42061</v>
      </c>
      <c r="U1734" s="1">
        <v>42062</v>
      </c>
      <c r="V1734">
        <v>1773.6104999999998</v>
      </c>
      <c r="W1734">
        <v>5</v>
      </c>
      <c r="X1734">
        <v>2570.4499999999998</v>
      </c>
      <c r="Y1734">
        <v>88447</v>
      </c>
    </row>
    <row r="1735" spans="1:25" x14ac:dyDescent="0.35">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1">
        <v>42148</v>
      </c>
      <c r="U1735" s="1">
        <v>42150</v>
      </c>
      <c r="V1735">
        <v>4.1822000000000052</v>
      </c>
      <c r="W1735">
        <v>9</v>
      </c>
      <c r="X1735">
        <v>158.87</v>
      </c>
      <c r="Y1735">
        <v>88449</v>
      </c>
    </row>
    <row r="1736" spans="1:25" x14ac:dyDescent="0.35">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1">
        <v>42018</v>
      </c>
      <c r="U1736" s="1">
        <v>42023</v>
      </c>
      <c r="V1736">
        <v>39.129899999999999</v>
      </c>
      <c r="W1736">
        <v>9</v>
      </c>
      <c r="X1736">
        <v>56.71</v>
      </c>
      <c r="Y1736">
        <v>88448</v>
      </c>
    </row>
    <row r="1737" spans="1:25" x14ac:dyDescent="0.35">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1">
        <v>42065</v>
      </c>
      <c r="U1737" s="1">
        <v>42066</v>
      </c>
      <c r="V1737">
        <v>1660.92</v>
      </c>
      <c r="W1737">
        <v>14</v>
      </c>
      <c r="X1737">
        <v>5086.08</v>
      </c>
      <c r="Y1737">
        <v>91376</v>
      </c>
    </row>
    <row r="1738" spans="1:25" x14ac:dyDescent="0.35">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1">
        <v>42156</v>
      </c>
      <c r="U1738" s="1">
        <v>42158</v>
      </c>
      <c r="V1738">
        <v>638.02800000000002</v>
      </c>
      <c r="W1738">
        <v>15</v>
      </c>
      <c r="X1738">
        <v>1894.45</v>
      </c>
      <c r="Y1738">
        <v>88191</v>
      </c>
    </row>
    <row r="1739" spans="1:25" x14ac:dyDescent="0.35">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1">
        <v>42156</v>
      </c>
      <c r="U1739" s="1">
        <v>42158</v>
      </c>
      <c r="V1739">
        <v>138.49679999999998</v>
      </c>
      <c r="W1739">
        <v>12</v>
      </c>
      <c r="X1739">
        <v>200.72</v>
      </c>
      <c r="Y1739">
        <v>88191</v>
      </c>
    </row>
    <row r="1740" spans="1:25" x14ac:dyDescent="0.35">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1">
        <v>42049</v>
      </c>
      <c r="U1740" s="1">
        <v>42050</v>
      </c>
      <c r="V1740">
        <v>-6.734</v>
      </c>
      <c r="W1740">
        <v>22</v>
      </c>
      <c r="X1740">
        <v>36.82</v>
      </c>
      <c r="Y1740">
        <v>88192</v>
      </c>
    </row>
    <row r="1741" spans="1:25" x14ac:dyDescent="0.35">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1">
        <v>42063</v>
      </c>
      <c r="U1741" s="1">
        <v>42063</v>
      </c>
      <c r="V1741">
        <v>-25.38</v>
      </c>
      <c r="W1741">
        <v>4</v>
      </c>
      <c r="X1741">
        <v>84.6</v>
      </c>
      <c r="Y1741">
        <v>14756</v>
      </c>
    </row>
    <row r="1742" spans="1:25" x14ac:dyDescent="0.35">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1">
        <v>42011</v>
      </c>
      <c r="U1742" s="1">
        <v>42012</v>
      </c>
      <c r="V1742">
        <v>-203.27</v>
      </c>
      <c r="W1742">
        <v>2</v>
      </c>
      <c r="X1742">
        <v>296.75</v>
      </c>
      <c r="Y1742">
        <v>88241</v>
      </c>
    </row>
    <row r="1743" spans="1:25" x14ac:dyDescent="0.35">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1">
        <v>42131</v>
      </c>
      <c r="U1743" s="1">
        <v>42133</v>
      </c>
      <c r="V1743">
        <v>-807.59</v>
      </c>
      <c r="W1743">
        <v>2</v>
      </c>
      <c r="X1743">
        <v>582.20000000000005</v>
      </c>
      <c r="Y1743">
        <v>88239</v>
      </c>
    </row>
    <row r="1744" spans="1:25" x14ac:dyDescent="0.35">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1">
        <v>42166</v>
      </c>
      <c r="U1744" s="1">
        <v>42166</v>
      </c>
      <c r="V1744">
        <v>118.6317</v>
      </c>
      <c r="W1744">
        <v>5</v>
      </c>
      <c r="X1744">
        <v>171.93</v>
      </c>
      <c r="Y1744">
        <v>88240</v>
      </c>
    </row>
    <row r="1745" spans="1:25" x14ac:dyDescent="0.35">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1">
        <v>42166</v>
      </c>
      <c r="U1745" s="1">
        <v>42169</v>
      </c>
      <c r="V1745">
        <v>23.304000000000002</v>
      </c>
      <c r="W1745">
        <v>9</v>
      </c>
      <c r="X1745">
        <v>35.19</v>
      </c>
      <c r="Y1745">
        <v>88240</v>
      </c>
    </row>
    <row r="1746" spans="1:25" x14ac:dyDescent="0.35">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1">
        <v>42131</v>
      </c>
      <c r="U1746" s="1">
        <v>42133</v>
      </c>
      <c r="V1746">
        <v>-807.59</v>
      </c>
      <c r="W1746">
        <v>7</v>
      </c>
      <c r="X1746">
        <v>2037.69</v>
      </c>
      <c r="Y1746">
        <v>41253</v>
      </c>
    </row>
    <row r="1747" spans="1:25" x14ac:dyDescent="0.35">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1">
        <v>42166</v>
      </c>
      <c r="U1747" s="1">
        <v>42166</v>
      </c>
      <c r="V1747">
        <v>150.72</v>
      </c>
      <c r="W1747">
        <v>21</v>
      </c>
      <c r="X1747">
        <v>722.1</v>
      </c>
      <c r="Y1747">
        <v>53476</v>
      </c>
    </row>
    <row r="1748" spans="1:25" x14ac:dyDescent="0.35">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1">
        <v>42166</v>
      </c>
      <c r="U1748" s="1">
        <v>42169</v>
      </c>
      <c r="V1748">
        <v>19.420000000000002</v>
      </c>
      <c r="W1748">
        <v>36</v>
      </c>
      <c r="X1748">
        <v>140.78</v>
      </c>
      <c r="Y1748">
        <v>53476</v>
      </c>
    </row>
    <row r="1749" spans="1:25" x14ac:dyDescent="0.35">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1">
        <v>42166</v>
      </c>
      <c r="U1749" s="1">
        <v>42167</v>
      </c>
      <c r="V1749">
        <v>3.13</v>
      </c>
      <c r="W1749">
        <v>71</v>
      </c>
      <c r="X1749">
        <v>129.72</v>
      </c>
      <c r="Y1749">
        <v>53476</v>
      </c>
    </row>
    <row r="1750" spans="1:25" x14ac:dyDescent="0.35">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1">
        <v>42166</v>
      </c>
      <c r="U1750" s="1">
        <v>42166</v>
      </c>
      <c r="V1750">
        <v>1141.07</v>
      </c>
      <c r="W1750">
        <v>63</v>
      </c>
      <c r="X1750">
        <v>12190.98</v>
      </c>
      <c r="Y1750">
        <v>53476</v>
      </c>
    </row>
    <row r="1751" spans="1:25" x14ac:dyDescent="0.35">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1">
        <v>42011</v>
      </c>
      <c r="U1751" s="1">
        <v>42012</v>
      </c>
      <c r="V1751">
        <v>-203.27</v>
      </c>
      <c r="W1751">
        <v>10</v>
      </c>
      <c r="X1751">
        <v>1483.76</v>
      </c>
      <c r="Y1751">
        <v>12480</v>
      </c>
    </row>
    <row r="1752" spans="1:25" x14ac:dyDescent="0.35">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1">
        <v>42165</v>
      </c>
      <c r="U1752" s="1">
        <v>42166</v>
      </c>
      <c r="V1752">
        <v>10.01</v>
      </c>
      <c r="W1752">
        <v>33</v>
      </c>
      <c r="X1752">
        <v>87.18</v>
      </c>
      <c r="Y1752">
        <v>48483</v>
      </c>
    </row>
    <row r="1753" spans="1:25" x14ac:dyDescent="0.35">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1">
        <v>42114</v>
      </c>
      <c r="U1753" s="1">
        <v>42116</v>
      </c>
      <c r="V1753">
        <v>313.81200000000001</v>
      </c>
      <c r="W1753">
        <v>14</v>
      </c>
      <c r="X1753">
        <v>798.89</v>
      </c>
      <c r="Y1753">
        <v>89879</v>
      </c>
    </row>
    <row r="1754" spans="1:25" x14ac:dyDescent="0.35">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1">
        <v>42179</v>
      </c>
      <c r="U1754" s="1">
        <v>42180</v>
      </c>
      <c r="V1754">
        <v>-39.186250000000001</v>
      </c>
      <c r="W1754">
        <v>18</v>
      </c>
      <c r="X1754">
        <v>133.19</v>
      </c>
      <c r="Y1754">
        <v>89880</v>
      </c>
    </row>
    <row r="1755" spans="1:25" x14ac:dyDescent="0.35">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1">
        <v>42179</v>
      </c>
      <c r="U1755" s="1">
        <v>42180</v>
      </c>
      <c r="V1755">
        <v>-1.89</v>
      </c>
      <c r="W1755">
        <v>5</v>
      </c>
      <c r="X1755">
        <v>97.33</v>
      </c>
      <c r="Y1755">
        <v>89880</v>
      </c>
    </row>
    <row r="1756" spans="1:25" x14ac:dyDescent="0.35">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1">
        <v>42142</v>
      </c>
      <c r="U1756" s="1">
        <v>42143</v>
      </c>
      <c r="V1756">
        <v>4.29</v>
      </c>
      <c r="W1756">
        <v>3</v>
      </c>
      <c r="X1756">
        <v>130.91</v>
      </c>
      <c r="Y1756">
        <v>88380</v>
      </c>
    </row>
    <row r="1757" spans="1:25" x14ac:dyDescent="0.35">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1">
        <v>42028</v>
      </c>
      <c r="U1757" s="1">
        <v>42033</v>
      </c>
      <c r="V1757">
        <v>-122.77</v>
      </c>
      <c r="W1757">
        <v>6</v>
      </c>
      <c r="X1757">
        <v>281.82</v>
      </c>
      <c r="Y1757">
        <v>91219</v>
      </c>
    </row>
    <row r="1758" spans="1:25" x14ac:dyDescent="0.35">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1">
        <v>42023</v>
      </c>
      <c r="U1758" s="1">
        <v>42025</v>
      </c>
      <c r="V1758">
        <v>683.9556</v>
      </c>
      <c r="W1758">
        <v>5</v>
      </c>
      <c r="X1758">
        <v>991.24</v>
      </c>
      <c r="Y1758">
        <v>86220</v>
      </c>
    </row>
    <row r="1759" spans="1:25" x14ac:dyDescent="0.35">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1">
        <v>42148</v>
      </c>
      <c r="U1759" s="1">
        <v>42149</v>
      </c>
      <c r="V1759">
        <v>-16.64</v>
      </c>
      <c r="W1759">
        <v>3</v>
      </c>
      <c r="X1759">
        <v>119.86</v>
      </c>
      <c r="Y1759">
        <v>86221</v>
      </c>
    </row>
    <row r="1760" spans="1:25" x14ac:dyDescent="0.35">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1">
        <v>42148</v>
      </c>
      <c r="U1760" s="1">
        <v>42149</v>
      </c>
      <c r="V1760">
        <v>-59.73</v>
      </c>
      <c r="W1760">
        <v>12</v>
      </c>
      <c r="X1760">
        <v>98.77</v>
      </c>
      <c r="Y1760">
        <v>86221</v>
      </c>
    </row>
    <row r="1761" spans="1:25" x14ac:dyDescent="0.35">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1">
        <v>42148</v>
      </c>
      <c r="U1761" s="1">
        <v>42149</v>
      </c>
      <c r="V1761">
        <v>-633.44123700000023</v>
      </c>
      <c r="W1761">
        <v>9</v>
      </c>
      <c r="X1761">
        <v>2495.35</v>
      </c>
      <c r="Y1761">
        <v>86221</v>
      </c>
    </row>
    <row r="1762" spans="1:25" x14ac:dyDescent="0.35">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1">
        <v>42172</v>
      </c>
      <c r="U1762" s="1">
        <v>42173</v>
      </c>
      <c r="V1762">
        <v>72.984000000000009</v>
      </c>
      <c r="W1762">
        <v>6</v>
      </c>
      <c r="X1762">
        <v>200.83</v>
      </c>
      <c r="Y1762">
        <v>86222</v>
      </c>
    </row>
    <row r="1763" spans="1:25" x14ac:dyDescent="0.35">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1">
        <v>42102</v>
      </c>
      <c r="U1763" s="1">
        <v>42103</v>
      </c>
      <c r="V1763">
        <v>240.17519999999996</v>
      </c>
      <c r="W1763">
        <v>10</v>
      </c>
      <c r="X1763">
        <v>348.08</v>
      </c>
      <c r="Y1763">
        <v>89314</v>
      </c>
    </row>
    <row r="1764" spans="1:25" x14ac:dyDescent="0.35">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1">
        <v>42172</v>
      </c>
      <c r="U1764" s="1">
        <v>42174</v>
      </c>
      <c r="V1764">
        <v>-11.248000000000001</v>
      </c>
      <c r="W1764">
        <v>10</v>
      </c>
      <c r="X1764">
        <v>131.69</v>
      </c>
      <c r="Y1764">
        <v>89315</v>
      </c>
    </row>
    <row r="1765" spans="1:25" x14ac:dyDescent="0.35">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1">
        <v>42063</v>
      </c>
      <c r="U1765" s="1">
        <v>42063</v>
      </c>
      <c r="V1765">
        <v>9.611699999999999</v>
      </c>
      <c r="W1765">
        <v>5</v>
      </c>
      <c r="X1765">
        <v>13.93</v>
      </c>
      <c r="Y1765">
        <v>89316</v>
      </c>
    </row>
    <row r="1766" spans="1:25" x14ac:dyDescent="0.35">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1">
        <v>42088</v>
      </c>
      <c r="U1766" s="1">
        <v>42090</v>
      </c>
      <c r="V1766">
        <v>-299.81420000000003</v>
      </c>
      <c r="W1766">
        <v>1</v>
      </c>
      <c r="X1766">
        <v>31.71</v>
      </c>
      <c r="Y1766">
        <v>89988</v>
      </c>
    </row>
    <row r="1767" spans="1:25" x14ac:dyDescent="0.35">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1">
        <v>42083</v>
      </c>
      <c r="U1767" s="1">
        <v>42084</v>
      </c>
      <c r="V1767">
        <v>13.799999999999999</v>
      </c>
      <c r="W1767">
        <v>19</v>
      </c>
      <c r="X1767">
        <v>60.01</v>
      </c>
      <c r="Y1767">
        <v>86327</v>
      </c>
    </row>
    <row r="1768" spans="1:25" x14ac:dyDescent="0.35">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1">
        <v>42083</v>
      </c>
      <c r="U1768" s="1">
        <v>42084</v>
      </c>
      <c r="V1768">
        <v>4.3919999999999995</v>
      </c>
      <c r="W1768">
        <v>13</v>
      </c>
      <c r="X1768">
        <v>90.98</v>
      </c>
      <c r="Y1768">
        <v>86327</v>
      </c>
    </row>
    <row r="1769" spans="1:25" x14ac:dyDescent="0.35">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1">
        <v>42083</v>
      </c>
      <c r="U1769" s="1">
        <v>42085</v>
      </c>
      <c r="V1769">
        <v>-236.25</v>
      </c>
      <c r="W1769">
        <v>12</v>
      </c>
      <c r="X1769">
        <v>1270.7</v>
      </c>
      <c r="Y1769">
        <v>86327</v>
      </c>
    </row>
    <row r="1770" spans="1:25" x14ac:dyDescent="0.35">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1">
        <v>42083</v>
      </c>
      <c r="U1770" s="1">
        <v>42084</v>
      </c>
      <c r="V1770">
        <v>36.020000000000003</v>
      </c>
      <c r="W1770">
        <v>75</v>
      </c>
      <c r="X1770">
        <v>236.87</v>
      </c>
      <c r="Y1770">
        <v>548</v>
      </c>
    </row>
    <row r="1771" spans="1:25" x14ac:dyDescent="0.35">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1">
        <v>42083</v>
      </c>
      <c r="U1771" s="1">
        <v>42084</v>
      </c>
      <c r="V1771">
        <v>-50.64</v>
      </c>
      <c r="W1771">
        <v>53</v>
      </c>
      <c r="X1771">
        <v>370.91</v>
      </c>
      <c r="Y1771">
        <v>548</v>
      </c>
    </row>
    <row r="1772" spans="1:25" x14ac:dyDescent="0.35">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1">
        <v>42083</v>
      </c>
      <c r="U1772" s="1">
        <v>42085</v>
      </c>
      <c r="V1772">
        <v>510.48900000000003</v>
      </c>
      <c r="W1772">
        <v>47</v>
      </c>
      <c r="X1772">
        <v>4976.92</v>
      </c>
      <c r="Y1772">
        <v>548</v>
      </c>
    </row>
    <row r="1773" spans="1:25" x14ac:dyDescent="0.35">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1">
        <v>42141</v>
      </c>
      <c r="U1773" s="1">
        <v>42142</v>
      </c>
      <c r="V1773">
        <v>-20.182259999999999</v>
      </c>
      <c r="W1773">
        <v>17</v>
      </c>
      <c r="X1773">
        <v>574.97</v>
      </c>
      <c r="Y1773">
        <v>86860</v>
      </c>
    </row>
    <row r="1774" spans="1:25" x14ac:dyDescent="0.35">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1">
        <v>42141</v>
      </c>
      <c r="U1774" s="1">
        <v>42141</v>
      </c>
      <c r="V1774">
        <v>-156.97220000000002</v>
      </c>
      <c r="W1774">
        <v>9</v>
      </c>
      <c r="X1774">
        <v>115.22</v>
      </c>
      <c r="Y1774">
        <v>86860</v>
      </c>
    </row>
    <row r="1775" spans="1:25" x14ac:dyDescent="0.35">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1">
        <v>42141</v>
      </c>
      <c r="U1775" s="1">
        <v>42143</v>
      </c>
      <c r="V1775">
        <v>384.5043</v>
      </c>
      <c r="W1775">
        <v>13</v>
      </c>
      <c r="X1775">
        <v>456.58</v>
      </c>
      <c r="Y1775">
        <v>86860</v>
      </c>
    </row>
    <row r="1776" spans="1:25" x14ac:dyDescent="0.35">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1">
        <v>42185</v>
      </c>
      <c r="U1776" s="1">
        <v>42187</v>
      </c>
      <c r="V1776">
        <v>513.08399999999995</v>
      </c>
      <c r="W1776">
        <v>11</v>
      </c>
      <c r="X1776">
        <v>3772.19</v>
      </c>
      <c r="Y1776">
        <v>86432</v>
      </c>
    </row>
    <row r="1777" spans="1:25" x14ac:dyDescent="0.35">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1">
        <v>42169</v>
      </c>
      <c r="U1777" s="1">
        <v>42169</v>
      </c>
      <c r="V1777">
        <v>44.519999999999996</v>
      </c>
      <c r="W1777">
        <v>9</v>
      </c>
      <c r="X1777">
        <v>2642.48</v>
      </c>
      <c r="Y1777">
        <v>90160</v>
      </c>
    </row>
    <row r="1778" spans="1:25" x14ac:dyDescent="0.35">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1">
        <v>42011</v>
      </c>
      <c r="U1778" s="1">
        <v>42013</v>
      </c>
      <c r="V1778">
        <v>-48.875</v>
      </c>
      <c r="W1778">
        <v>8</v>
      </c>
      <c r="X1778">
        <v>61.5</v>
      </c>
      <c r="Y1778">
        <v>87287</v>
      </c>
    </row>
    <row r="1779" spans="1:25" x14ac:dyDescent="0.35">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1">
        <v>42154</v>
      </c>
      <c r="U1779" s="1">
        <v>42155</v>
      </c>
      <c r="V1779">
        <v>881.04719999999998</v>
      </c>
      <c r="W1779">
        <v>11</v>
      </c>
      <c r="X1779">
        <v>1276.8800000000001</v>
      </c>
      <c r="Y1779">
        <v>87286</v>
      </c>
    </row>
    <row r="1780" spans="1:25" x14ac:dyDescent="0.35">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1">
        <v>42009</v>
      </c>
      <c r="U1780" s="1">
        <v>42011</v>
      </c>
      <c r="V1780">
        <v>-233.840688</v>
      </c>
      <c r="W1780">
        <v>2</v>
      </c>
      <c r="X1780">
        <v>233.58</v>
      </c>
      <c r="Y1780">
        <v>87285</v>
      </c>
    </row>
    <row r="1781" spans="1:25" x14ac:dyDescent="0.35">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1">
        <v>42180</v>
      </c>
      <c r="U1781" s="1">
        <v>42185</v>
      </c>
      <c r="V1781">
        <v>-139.07600000000002</v>
      </c>
      <c r="W1781">
        <v>9</v>
      </c>
      <c r="X1781">
        <v>31.98</v>
      </c>
      <c r="Y1781">
        <v>89810</v>
      </c>
    </row>
    <row r="1782" spans="1:25" x14ac:dyDescent="0.35">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1">
        <v>42177</v>
      </c>
      <c r="U1782" s="1">
        <v>42178</v>
      </c>
      <c r="V1782">
        <v>-64.664000000000001</v>
      </c>
      <c r="W1782">
        <v>3</v>
      </c>
      <c r="X1782">
        <v>519.41999999999996</v>
      </c>
      <c r="Y1782">
        <v>86790</v>
      </c>
    </row>
    <row r="1783" spans="1:25" x14ac:dyDescent="0.35">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1">
        <v>42141</v>
      </c>
      <c r="U1783" s="1">
        <v>42142</v>
      </c>
      <c r="V1783">
        <v>1644.0767999999998</v>
      </c>
      <c r="W1783">
        <v>40</v>
      </c>
      <c r="X1783">
        <v>2382.7199999999998</v>
      </c>
      <c r="Y1783">
        <v>86794</v>
      </c>
    </row>
    <row r="1784" spans="1:25" x14ac:dyDescent="0.35">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1">
        <v>42020</v>
      </c>
      <c r="U1784" s="1">
        <v>42021</v>
      </c>
      <c r="V1784">
        <v>-350.43950000000001</v>
      </c>
      <c r="W1784">
        <v>12</v>
      </c>
      <c r="X1784">
        <v>64.959999999999994</v>
      </c>
      <c r="Y1784">
        <v>86789</v>
      </c>
    </row>
    <row r="1785" spans="1:25" x14ac:dyDescent="0.35">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1">
        <v>42020</v>
      </c>
      <c r="U1785" s="1">
        <v>42021</v>
      </c>
      <c r="V1785">
        <v>4.2027999999999999</v>
      </c>
      <c r="W1785">
        <v>10</v>
      </c>
      <c r="X1785">
        <v>19.14</v>
      </c>
      <c r="Y1785">
        <v>86789</v>
      </c>
    </row>
    <row r="1786" spans="1:25" x14ac:dyDescent="0.35">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1">
        <v>42067</v>
      </c>
      <c r="U1786" s="1">
        <v>42067</v>
      </c>
      <c r="V1786">
        <v>-44.067999999999998</v>
      </c>
      <c r="W1786">
        <v>4</v>
      </c>
      <c r="X1786">
        <v>25.35</v>
      </c>
      <c r="Y1786">
        <v>86792</v>
      </c>
    </row>
    <row r="1787" spans="1:25" x14ac:dyDescent="0.35">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1">
        <v>42067</v>
      </c>
      <c r="U1787" s="1">
        <v>42070</v>
      </c>
      <c r="V1787">
        <v>-100.51</v>
      </c>
      <c r="W1787">
        <v>5</v>
      </c>
      <c r="X1787">
        <v>45.03</v>
      </c>
      <c r="Y1787">
        <v>86792</v>
      </c>
    </row>
    <row r="1788" spans="1:25" x14ac:dyDescent="0.35">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1">
        <v>42067</v>
      </c>
      <c r="U1788" s="1">
        <v>42068</v>
      </c>
      <c r="V1788">
        <v>-17.75</v>
      </c>
      <c r="W1788">
        <v>10</v>
      </c>
      <c r="X1788">
        <v>153.87</v>
      </c>
      <c r="Y1788">
        <v>86792</v>
      </c>
    </row>
    <row r="1789" spans="1:25" x14ac:dyDescent="0.35">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1">
        <v>42067</v>
      </c>
      <c r="U1789" s="1">
        <v>42068</v>
      </c>
      <c r="V1789">
        <v>1374.9480000000001</v>
      </c>
      <c r="W1789">
        <v>22</v>
      </c>
      <c r="X1789">
        <v>2800.33</v>
      </c>
      <c r="Y1789">
        <v>86792</v>
      </c>
    </row>
    <row r="1790" spans="1:25" x14ac:dyDescent="0.35">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1">
        <v>42057</v>
      </c>
      <c r="U1790" s="1">
        <v>42057</v>
      </c>
      <c r="V1790">
        <v>-677.87199999999996</v>
      </c>
      <c r="W1790">
        <v>23</v>
      </c>
      <c r="X1790">
        <v>3596.03</v>
      </c>
      <c r="Y1790">
        <v>86791</v>
      </c>
    </row>
    <row r="1791" spans="1:25" x14ac:dyDescent="0.35">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1">
        <v>42163</v>
      </c>
      <c r="U1791" s="1">
        <v>42164</v>
      </c>
      <c r="V1791">
        <v>1623.9494999999999</v>
      </c>
      <c r="W1791">
        <v>8</v>
      </c>
      <c r="X1791">
        <v>2353.5500000000002</v>
      </c>
      <c r="Y1791">
        <v>86795</v>
      </c>
    </row>
    <row r="1792" spans="1:25" x14ac:dyDescent="0.35">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1">
        <v>42174</v>
      </c>
      <c r="U1792" s="1">
        <v>42176</v>
      </c>
      <c r="V1792">
        <v>-122.83499999999999</v>
      </c>
      <c r="W1792">
        <v>22</v>
      </c>
      <c r="X1792">
        <v>92.57</v>
      </c>
      <c r="Y1792">
        <v>86796</v>
      </c>
    </row>
    <row r="1793" spans="1:25" x14ac:dyDescent="0.35">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1">
        <v>42126</v>
      </c>
      <c r="U1793" s="1">
        <v>42129</v>
      </c>
      <c r="V1793">
        <v>252.48800000000028</v>
      </c>
      <c r="W1793">
        <v>31</v>
      </c>
      <c r="X1793">
        <v>7974.21</v>
      </c>
      <c r="Y1793">
        <v>86793</v>
      </c>
    </row>
    <row r="1794" spans="1:25" x14ac:dyDescent="0.35">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1">
        <v>42156</v>
      </c>
      <c r="U1794" s="1">
        <v>42163</v>
      </c>
      <c r="V1794">
        <v>-88.584999999999994</v>
      </c>
      <c r="W1794">
        <v>13</v>
      </c>
      <c r="X1794">
        <v>87.1</v>
      </c>
      <c r="Y1794">
        <v>86369</v>
      </c>
    </row>
    <row r="1795" spans="1:25" x14ac:dyDescent="0.35">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1">
        <v>42156</v>
      </c>
      <c r="U1795" s="1">
        <v>42158</v>
      </c>
      <c r="V1795">
        <v>-485.68</v>
      </c>
      <c r="W1795">
        <v>15</v>
      </c>
      <c r="X1795">
        <v>736.86</v>
      </c>
      <c r="Y1795">
        <v>86369</v>
      </c>
    </row>
    <row r="1796" spans="1:25" x14ac:dyDescent="0.35">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1">
        <v>42087</v>
      </c>
      <c r="U1796" s="1">
        <v>42088</v>
      </c>
      <c r="V1796">
        <v>-16.37</v>
      </c>
      <c r="W1796">
        <v>2</v>
      </c>
      <c r="X1796">
        <v>33.840000000000003</v>
      </c>
      <c r="Y1796">
        <v>86368</v>
      </c>
    </row>
    <row r="1797" spans="1:25" x14ac:dyDescent="0.35">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1">
        <v>42008</v>
      </c>
      <c r="U1797" s="1">
        <v>42009</v>
      </c>
      <c r="V1797">
        <v>-94.258600000000001</v>
      </c>
      <c r="W1797">
        <v>4</v>
      </c>
      <c r="X1797">
        <v>14.9</v>
      </c>
      <c r="Y1797">
        <v>85850</v>
      </c>
    </row>
    <row r="1798" spans="1:25" x14ac:dyDescent="0.35">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1">
        <v>42008</v>
      </c>
      <c r="U1798" s="1">
        <v>42010</v>
      </c>
      <c r="V1798">
        <v>6.3308</v>
      </c>
      <c r="W1798">
        <v>11</v>
      </c>
      <c r="X1798">
        <v>39.64</v>
      </c>
      <c r="Y1798">
        <v>85850</v>
      </c>
    </row>
    <row r="1799" spans="1:25" x14ac:dyDescent="0.35">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1">
        <v>42018</v>
      </c>
      <c r="U1799" s="1">
        <v>42018</v>
      </c>
      <c r="V1799">
        <v>-66.823599999999999</v>
      </c>
      <c r="W1799">
        <v>7</v>
      </c>
      <c r="X1799">
        <v>139.49</v>
      </c>
      <c r="Y1799">
        <v>89716</v>
      </c>
    </row>
    <row r="1800" spans="1:25" x14ac:dyDescent="0.35">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1">
        <v>42018</v>
      </c>
      <c r="U1800" s="1">
        <v>42020</v>
      </c>
      <c r="V1800">
        <v>971.62200000000007</v>
      </c>
      <c r="W1800">
        <v>6</v>
      </c>
      <c r="X1800">
        <v>1952.43</v>
      </c>
      <c r="Y1800">
        <v>89716</v>
      </c>
    </row>
    <row r="1801" spans="1:25" x14ac:dyDescent="0.35">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1">
        <v>42158</v>
      </c>
      <c r="U1801" s="1">
        <v>42158</v>
      </c>
      <c r="V1801">
        <v>-134.512</v>
      </c>
      <c r="W1801">
        <v>9</v>
      </c>
      <c r="X1801">
        <v>1370.79</v>
      </c>
      <c r="Y1801">
        <v>88543</v>
      </c>
    </row>
    <row r="1802" spans="1:25" x14ac:dyDescent="0.35">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1">
        <v>42039</v>
      </c>
      <c r="U1802" s="1">
        <v>42040</v>
      </c>
      <c r="V1802">
        <v>-4075.9339920000002</v>
      </c>
      <c r="W1802">
        <v>1</v>
      </c>
      <c r="X1802">
        <v>3501.79</v>
      </c>
      <c r="Y1802">
        <v>88544</v>
      </c>
    </row>
    <row r="1803" spans="1:25" x14ac:dyDescent="0.35">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1">
        <v>42039</v>
      </c>
      <c r="U1803" s="1">
        <v>42040</v>
      </c>
      <c r="V1803">
        <v>-18.558799999999998</v>
      </c>
      <c r="W1803">
        <v>4</v>
      </c>
      <c r="X1803">
        <v>63.04</v>
      </c>
      <c r="Y1803">
        <v>88544</v>
      </c>
    </row>
    <row r="1804" spans="1:25" x14ac:dyDescent="0.35">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1">
        <v>42051</v>
      </c>
      <c r="U1804" s="1">
        <v>42053</v>
      </c>
      <c r="V1804">
        <v>220.35719999999998</v>
      </c>
      <c r="W1804">
        <v>18</v>
      </c>
      <c r="X1804">
        <v>451.35</v>
      </c>
      <c r="Y1804">
        <v>88545</v>
      </c>
    </row>
    <row r="1805" spans="1:25" x14ac:dyDescent="0.35">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1">
        <v>42063</v>
      </c>
      <c r="U1805" s="1">
        <v>42063</v>
      </c>
      <c r="V1805">
        <v>47.73</v>
      </c>
      <c r="W1805">
        <v>7</v>
      </c>
      <c r="X1805">
        <v>119.6</v>
      </c>
      <c r="Y1805">
        <v>88546</v>
      </c>
    </row>
    <row r="1806" spans="1:25" x14ac:dyDescent="0.35">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1">
        <v>42074</v>
      </c>
      <c r="U1806" s="1">
        <v>42075</v>
      </c>
      <c r="V1806">
        <v>28.526000000000003</v>
      </c>
      <c r="W1806">
        <v>10</v>
      </c>
      <c r="X1806">
        <v>59.9</v>
      </c>
      <c r="Y1806">
        <v>88547</v>
      </c>
    </row>
    <row r="1807" spans="1:25" x14ac:dyDescent="0.35">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1">
        <v>42092</v>
      </c>
      <c r="U1807" s="1">
        <v>42096</v>
      </c>
      <c r="V1807">
        <v>-87.46</v>
      </c>
      <c r="W1807">
        <v>1</v>
      </c>
      <c r="X1807">
        <v>99.22</v>
      </c>
      <c r="Y1807">
        <v>88548</v>
      </c>
    </row>
    <row r="1808" spans="1:25" x14ac:dyDescent="0.35">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1">
        <v>42030</v>
      </c>
      <c r="U1808" s="1">
        <v>42031</v>
      </c>
      <c r="V1808">
        <v>-3.9479999999999995</v>
      </c>
      <c r="W1808">
        <v>8</v>
      </c>
      <c r="X1808">
        <v>1183.82</v>
      </c>
      <c r="Y1808">
        <v>86899</v>
      </c>
    </row>
    <row r="1809" spans="1:25" x14ac:dyDescent="0.35">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1">
        <v>42152</v>
      </c>
      <c r="U1809" s="1">
        <v>42154</v>
      </c>
      <c r="V1809">
        <v>28.182599999999997</v>
      </c>
      <c r="W1809">
        <v>11</v>
      </c>
      <c r="X1809">
        <v>201.77</v>
      </c>
      <c r="Y1809">
        <v>86900</v>
      </c>
    </row>
    <row r="1810" spans="1:25" x14ac:dyDescent="0.35">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1">
        <v>42093</v>
      </c>
      <c r="U1810" s="1">
        <v>42093</v>
      </c>
      <c r="V1810">
        <v>-51.66</v>
      </c>
      <c r="W1810">
        <v>21</v>
      </c>
      <c r="X1810">
        <v>443.66</v>
      </c>
      <c r="Y1810">
        <v>86901</v>
      </c>
    </row>
    <row r="1811" spans="1:25" x14ac:dyDescent="0.35">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1">
        <v>42024</v>
      </c>
      <c r="U1811" s="1">
        <v>42025</v>
      </c>
      <c r="V1811">
        <v>-193.91399999999999</v>
      </c>
      <c r="W1811">
        <v>9</v>
      </c>
      <c r="X1811">
        <v>541.76</v>
      </c>
      <c r="Y1811">
        <v>86898</v>
      </c>
    </row>
    <row r="1812" spans="1:25" x14ac:dyDescent="0.35">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1">
        <v>42030</v>
      </c>
      <c r="U1812" s="1">
        <v>42031</v>
      </c>
      <c r="V1812">
        <v>57.545999999999999</v>
      </c>
      <c r="W1812">
        <v>4</v>
      </c>
      <c r="X1812">
        <v>107.66</v>
      </c>
      <c r="Y1812">
        <v>86899</v>
      </c>
    </row>
    <row r="1813" spans="1:25" x14ac:dyDescent="0.35">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1">
        <v>42030</v>
      </c>
      <c r="U1813" s="1">
        <v>42031</v>
      </c>
      <c r="V1813">
        <v>-333.42540000000002</v>
      </c>
      <c r="W1813">
        <v>10</v>
      </c>
      <c r="X1813">
        <v>318.83</v>
      </c>
      <c r="Y1813">
        <v>86899</v>
      </c>
    </row>
    <row r="1814" spans="1:25" x14ac:dyDescent="0.35">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1">
        <v>42113</v>
      </c>
      <c r="U1814" s="1">
        <v>42115</v>
      </c>
      <c r="V1814">
        <v>12.264000000000001</v>
      </c>
      <c r="W1814">
        <v>23</v>
      </c>
      <c r="X1814">
        <v>3600.65</v>
      </c>
      <c r="Y1814">
        <v>86902</v>
      </c>
    </row>
    <row r="1815" spans="1:25" x14ac:dyDescent="0.35">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1">
        <v>42174</v>
      </c>
      <c r="U1815" s="1">
        <v>42175</v>
      </c>
      <c r="V1815">
        <v>-283.9914</v>
      </c>
      <c r="W1815">
        <v>14</v>
      </c>
      <c r="X1815">
        <v>3936.61</v>
      </c>
      <c r="Y1815">
        <v>86491</v>
      </c>
    </row>
    <row r="1816" spans="1:25" x14ac:dyDescent="0.35">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1">
        <v>42174</v>
      </c>
      <c r="U1816" s="1">
        <v>42176</v>
      </c>
      <c r="V1816">
        <v>-195.34200000000001</v>
      </c>
      <c r="W1816">
        <v>15</v>
      </c>
      <c r="X1816">
        <v>78.31</v>
      </c>
      <c r="Y1816">
        <v>86491</v>
      </c>
    </row>
    <row r="1817" spans="1:25" x14ac:dyDescent="0.35">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1">
        <v>42174</v>
      </c>
      <c r="U1817" s="1">
        <v>42176</v>
      </c>
      <c r="V1817">
        <v>-89.70920000000001</v>
      </c>
      <c r="W1817">
        <v>11</v>
      </c>
      <c r="X1817">
        <v>42.46</v>
      </c>
      <c r="Y1817">
        <v>86491</v>
      </c>
    </row>
    <row r="1818" spans="1:25" x14ac:dyDescent="0.35">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1">
        <v>42107</v>
      </c>
      <c r="U1818" s="1">
        <v>42108</v>
      </c>
      <c r="V1818">
        <v>-44.415000000000006</v>
      </c>
      <c r="W1818">
        <v>1</v>
      </c>
      <c r="X1818">
        <v>14.66</v>
      </c>
      <c r="Y1818">
        <v>86490</v>
      </c>
    </row>
    <row r="1819" spans="1:25" x14ac:dyDescent="0.35">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1">
        <v>42048</v>
      </c>
      <c r="U1819" s="1">
        <v>42048</v>
      </c>
      <c r="V1819">
        <v>167.334</v>
      </c>
      <c r="W1819">
        <v>12</v>
      </c>
      <c r="X1819">
        <v>83.14</v>
      </c>
      <c r="Y1819">
        <v>86489</v>
      </c>
    </row>
    <row r="1820" spans="1:25" x14ac:dyDescent="0.35">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1">
        <v>42128</v>
      </c>
      <c r="U1820" s="1">
        <v>42130</v>
      </c>
      <c r="V1820">
        <v>65.597999999999999</v>
      </c>
      <c r="W1820">
        <v>19</v>
      </c>
      <c r="X1820">
        <v>215.25</v>
      </c>
      <c r="Y1820">
        <v>90820</v>
      </c>
    </row>
    <row r="1821" spans="1:25" x14ac:dyDescent="0.35">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1">
        <v>42180</v>
      </c>
      <c r="U1821" s="1">
        <v>42186</v>
      </c>
      <c r="V1821">
        <v>0.25800000000000001</v>
      </c>
      <c r="W1821">
        <v>22</v>
      </c>
      <c r="X1821">
        <v>1358.02</v>
      </c>
      <c r="Y1821">
        <v>90821</v>
      </c>
    </row>
    <row r="1822" spans="1:25" x14ac:dyDescent="0.35">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1">
        <v>42180</v>
      </c>
      <c r="U1822" s="1">
        <v>42186</v>
      </c>
      <c r="V1822">
        <v>63.222000000000001</v>
      </c>
      <c r="W1822">
        <v>22</v>
      </c>
      <c r="X1822">
        <v>358.84</v>
      </c>
      <c r="Y1822">
        <v>90821</v>
      </c>
    </row>
    <row r="1823" spans="1:25" x14ac:dyDescent="0.35">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1">
        <v>42077</v>
      </c>
      <c r="U1823" s="1">
        <v>42079</v>
      </c>
      <c r="V1823">
        <v>-29.666000000000004</v>
      </c>
      <c r="W1823">
        <v>9</v>
      </c>
      <c r="X1823">
        <v>511.57</v>
      </c>
      <c r="Y1823">
        <v>90818</v>
      </c>
    </row>
    <row r="1824" spans="1:25" x14ac:dyDescent="0.35">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1">
        <v>42094</v>
      </c>
      <c r="U1824" s="1">
        <v>42096</v>
      </c>
      <c r="V1824">
        <v>-1319.5</v>
      </c>
      <c r="W1824">
        <v>5</v>
      </c>
      <c r="X1824">
        <v>8.65</v>
      </c>
      <c r="Y1824">
        <v>90819</v>
      </c>
    </row>
    <row r="1825" spans="1:25" x14ac:dyDescent="0.35">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1">
        <v>42167</v>
      </c>
      <c r="U1825" s="1">
        <v>42174</v>
      </c>
      <c r="V1825">
        <v>262.2</v>
      </c>
      <c r="W1825">
        <v>11</v>
      </c>
      <c r="X1825">
        <v>380</v>
      </c>
      <c r="Y1825">
        <v>86989</v>
      </c>
    </row>
    <row r="1826" spans="1:25" x14ac:dyDescent="0.35">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1">
        <v>42065</v>
      </c>
      <c r="U1826" s="1">
        <v>42067</v>
      </c>
      <c r="V1826">
        <v>-119.812</v>
      </c>
      <c r="W1826">
        <v>1</v>
      </c>
      <c r="X1826">
        <v>199.48</v>
      </c>
      <c r="Y1826">
        <v>89025</v>
      </c>
    </row>
    <row r="1827" spans="1:25" x14ac:dyDescent="0.35">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1">
        <v>42081</v>
      </c>
      <c r="U1827" s="1">
        <v>42081</v>
      </c>
      <c r="V1827">
        <v>-9.1079999999999988</v>
      </c>
      <c r="W1827">
        <v>5</v>
      </c>
      <c r="X1827">
        <v>93.81</v>
      </c>
      <c r="Y1827">
        <v>86447</v>
      </c>
    </row>
    <row r="1828" spans="1:25" x14ac:dyDescent="0.35">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1">
        <v>42104</v>
      </c>
      <c r="U1828" s="1">
        <v>42106</v>
      </c>
      <c r="V1828">
        <v>172.56439999999998</v>
      </c>
      <c r="W1828">
        <v>9</v>
      </c>
      <c r="X1828">
        <v>312.22000000000003</v>
      </c>
      <c r="Y1828">
        <v>86448</v>
      </c>
    </row>
    <row r="1829" spans="1:25" x14ac:dyDescent="0.35">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1">
        <v>42073</v>
      </c>
      <c r="U1829" s="1">
        <v>42074</v>
      </c>
      <c r="V1829">
        <v>45.077999999999996</v>
      </c>
      <c r="W1829">
        <v>9</v>
      </c>
      <c r="X1829">
        <v>43.84</v>
      </c>
      <c r="Y1829">
        <v>89805</v>
      </c>
    </row>
    <row r="1830" spans="1:25" x14ac:dyDescent="0.35">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1">
        <v>42073</v>
      </c>
      <c r="U1830" s="1">
        <v>42075</v>
      </c>
      <c r="V1830">
        <v>-110.376</v>
      </c>
      <c r="W1830">
        <v>6</v>
      </c>
      <c r="X1830">
        <v>141.74</v>
      </c>
      <c r="Y1830">
        <v>89805</v>
      </c>
    </row>
    <row r="1831" spans="1:25" x14ac:dyDescent="0.35">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1">
        <v>42037</v>
      </c>
      <c r="U1831" s="1">
        <v>42038</v>
      </c>
      <c r="V1831">
        <v>1951.3</v>
      </c>
      <c r="W1831">
        <v>43</v>
      </c>
      <c r="X1831">
        <v>8717.75</v>
      </c>
      <c r="Y1831">
        <v>24294</v>
      </c>
    </row>
    <row r="1832" spans="1:25" x14ac:dyDescent="0.35">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1">
        <v>42037</v>
      </c>
      <c r="U1832" s="1">
        <v>42038</v>
      </c>
      <c r="V1832">
        <v>1538.7827999999997</v>
      </c>
      <c r="W1832">
        <v>11</v>
      </c>
      <c r="X1832">
        <v>2230.12</v>
      </c>
      <c r="Y1832">
        <v>90850</v>
      </c>
    </row>
    <row r="1833" spans="1:25" x14ac:dyDescent="0.35">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1">
        <v>42093</v>
      </c>
      <c r="U1833" s="1">
        <v>42097</v>
      </c>
      <c r="V1833">
        <v>32.83</v>
      </c>
      <c r="W1833">
        <v>10</v>
      </c>
      <c r="X1833">
        <v>56.4</v>
      </c>
      <c r="Y1833">
        <v>87933</v>
      </c>
    </row>
    <row r="1834" spans="1:25" x14ac:dyDescent="0.35">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1">
        <v>42093</v>
      </c>
      <c r="U1834" s="1">
        <v>42098</v>
      </c>
      <c r="V1834">
        <v>51.590000000000053</v>
      </c>
      <c r="W1834">
        <v>6</v>
      </c>
      <c r="X1834">
        <v>257.52</v>
      </c>
      <c r="Y1834">
        <v>87933</v>
      </c>
    </row>
    <row r="1835" spans="1:25" x14ac:dyDescent="0.35">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1">
        <v>42145</v>
      </c>
      <c r="U1835" s="1">
        <v>42147</v>
      </c>
      <c r="V1835">
        <v>969.42</v>
      </c>
      <c r="W1835">
        <v>7</v>
      </c>
      <c r="X1835">
        <v>1488.51</v>
      </c>
      <c r="Y1835">
        <v>87934</v>
      </c>
    </row>
    <row r="1836" spans="1:25" x14ac:dyDescent="0.35">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1">
        <v>42152</v>
      </c>
      <c r="U1836" s="1">
        <v>42153</v>
      </c>
      <c r="V1836">
        <v>553.33169999999996</v>
      </c>
      <c r="W1836">
        <v>23</v>
      </c>
      <c r="X1836">
        <v>801.93</v>
      </c>
      <c r="Y1836">
        <v>87935</v>
      </c>
    </row>
    <row r="1837" spans="1:25" x14ac:dyDescent="0.35">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1">
        <v>42183</v>
      </c>
      <c r="U1837" s="1">
        <v>42184</v>
      </c>
      <c r="V1837">
        <v>-30.45</v>
      </c>
      <c r="W1837">
        <v>8</v>
      </c>
      <c r="X1837">
        <v>44.24</v>
      </c>
      <c r="Y1837">
        <v>90739</v>
      </c>
    </row>
    <row r="1838" spans="1:25" x14ac:dyDescent="0.35">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1">
        <v>42050</v>
      </c>
      <c r="U1838" s="1">
        <v>42051</v>
      </c>
      <c r="V1838">
        <v>55.020599999999995</v>
      </c>
      <c r="W1838">
        <v>12</v>
      </c>
      <c r="X1838">
        <v>79.739999999999995</v>
      </c>
      <c r="Y1838">
        <v>91522</v>
      </c>
    </row>
    <row r="1839" spans="1:25" x14ac:dyDescent="0.35">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1">
        <v>42050</v>
      </c>
      <c r="U1839" s="1">
        <v>42051</v>
      </c>
      <c r="V1839">
        <v>-43.65504</v>
      </c>
      <c r="W1839">
        <v>23</v>
      </c>
      <c r="X1839">
        <v>392.45</v>
      </c>
      <c r="Y1839">
        <v>91522</v>
      </c>
    </row>
    <row r="1840" spans="1:25" x14ac:dyDescent="0.35">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1">
        <v>42106</v>
      </c>
      <c r="U1840" s="1">
        <v>42107</v>
      </c>
      <c r="V1840">
        <v>-577.30400000000009</v>
      </c>
      <c r="W1840">
        <v>7</v>
      </c>
      <c r="X1840">
        <v>48.32</v>
      </c>
      <c r="Y1840">
        <v>90815</v>
      </c>
    </row>
    <row r="1841" spans="1:25" x14ac:dyDescent="0.35">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1">
        <v>42082</v>
      </c>
      <c r="U1841" s="1">
        <v>42082</v>
      </c>
      <c r="V1841">
        <v>-1535.4864000000002</v>
      </c>
      <c r="W1841">
        <v>8</v>
      </c>
      <c r="X1841">
        <v>332.16</v>
      </c>
      <c r="Y1841">
        <v>90814</v>
      </c>
    </row>
    <row r="1842" spans="1:25" x14ac:dyDescent="0.35">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1">
        <v>42082</v>
      </c>
      <c r="U1842" s="1">
        <v>42083</v>
      </c>
      <c r="V1842">
        <v>-159.32</v>
      </c>
      <c r="W1842">
        <v>17</v>
      </c>
      <c r="X1842">
        <v>147.62</v>
      </c>
      <c r="Y1842">
        <v>90814</v>
      </c>
    </row>
    <row r="1843" spans="1:25" x14ac:dyDescent="0.35">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1">
        <v>42095</v>
      </c>
      <c r="U1843" s="1">
        <v>42096</v>
      </c>
      <c r="V1843">
        <v>-74.088000000000008</v>
      </c>
      <c r="W1843">
        <v>2</v>
      </c>
      <c r="X1843">
        <v>125.9</v>
      </c>
      <c r="Y1843">
        <v>86508</v>
      </c>
    </row>
    <row r="1844" spans="1:25" x14ac:dyDescent="0.35">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1">
        <v>42018</v>
      </c>
      <c r="U1844" s="1">
        <v>42018</v>
      </c>
      <c r="V1844">
        <v>-137.52199999999999</v>
      </c>
      <c r="W1844">
        <v>4</v>
      </c>
      <c r="X1844">
        <v>768.81</v>
      </c>
      <c r="Y1844">
        <v>86507</v>
      </c>
    </row>
    <row r="1845" spans="1:25" x14ac:dyDescent="0.35">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1">
        <v>42018</v>
      </c>
      <c r="U1845" s="1">
        <v>42019</v>
      </c>
      <c r="V1845">
        <v>-11.815999999999999</v>
      </c>
      <c r="W1845">
        <v>2</v>
      </c>
      <c r="X1845">
        <v>183.39</v>
      </c>
      <c r="Y1845">
        <v>86507</v>
      </c>
    </row>
    <row r="1846" spans="1:25" x14ac:dyDescent="0.35">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1">
        <v>42018</v>
      </c>
      <c r="U1846" s="1">
        <v>42020</v>
      </c>
      <c r="V1846">
        <v>238.93379999999999</v>
      </c>
      <c r="W1846">
        <v>1</v>
      </c>
      <c r="X1846">
        <v>12.9</v>
      </c>
      <c r="Y1846">
        <v>86507</v>
      </c>
    </row>
    <row r="1847" spans="1:25" x14ac:dyDescent="0.35">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1">
        <v>42018</v>
      </c>
      <c r="U1847" s="1">
        <v>42019</v>
      </c>
      <c r="V1847">
        <v>-105.126</v>
      </c>
      <c r="W1847">
        <v>4</v>
      </c>
      <c r="X1847">
        <v>17.89</v>
      </c>
      <c r="Y1847">
        <v>86507</v>
      </c>
    </row>
    <row r="1848" spans="1:25" x14ac:dyDescent="0.35">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1">
        <v>42183</v>
      </c>
      <c r="U1848" s="1">
        <v>42185</v>
      </c>
      <c r="V1848">
        <v>95.387999999999991</v>
      </c>
      <c r="W1848">
        <v>12</v>
      </c>
      <c r="X1848">
        <v>255.88</v>
      </c>
      <c r="Y1848">
        <v>86509</v>
      </c>
    </row>
    <row r="1849" spans="1:25" x14ac:dyDescent="0.35">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1">
        <v>42025</v>
      </c>
      <c r="U1849" s="1">
        <v>42026</v>
      </c>
      <c r="V1849">
        <v>261.38579999999996</v>
      </c>
      <c r="W1849">
        <v>15</v>
      </c>
      <c r="X1849">
        <v>378.82</v>
      </c>
      <c r="Y1849">
        <v>87435</v>
      </c>
    </row>
    <row r="1850" spans="1:25" x14ac:dyDescent="0.35">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1">
        <v>42025</v>
      </c>
      <c r="U1850" s="1">
        <v>42027</v>
      </c>
      <c r="V1850">
        <v>-135.46</v>
      </c>
      <c r="W1850">
        <v>9</v>
      </c>
      <c r="X1850">
        <v>152.18</v>
      </c>
      <c r="Y1850">
        <v>87435</v>
      </c>
    </row>
    <row r="1851" spans="1:25" x14ac:dyDescent="0.35">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1">
        <v>42168</v>
      </c>
      <c r="U1851" s="1">
        <v>42168</v>
      </c>
      <c r="V1851">
        <v>-31.68825</v>
      </c>
      <c r="W1851">
        <v>10</v>
      </c>
      <c r="X1851">
        <v>53.89</v>
      </c>
      <c r="Y1851">
        <v>87436</v>
      </c>
    </row>
    <row r="1852" spans="1:25" x14ac:dyDescent="0.35">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1">
        <v>42168</v>
      </c>
      <c r="U1852" s="1">
        <v>42169</v>
      </c>
      <c r="V1852">
        <v>690.70379999999989</v>
      </c>
      <c r="W1852">
        <v>21</v>
      </c>
      <c r="X1852">
        <v>1001.02</v>
      </c>
      <c r="Y1852">
        <v>87436</v>
      </c>
    </row>
    <row r="1853" spans="1:25" x14ac:dyDescent="0.35">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1">
        <v>42159</v>
      </c>
      <c r="U1853" s="1">
        <v>42161</v>
      </c>
      <c r="V1853">
        <v>-13.068000000000001</v>
      </c>
      <c r="W1853">
        <v>5</v>
      </c>
      <c r="X1853">
        <v>495.82</v>
      </c>
      <c r="Y1853">
        <v>89564</v>
      </c>
    </row>
    <row r="1854" spans="1:25" x14ac:dyDescent="0.35">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1">
        <v>42165</v>
      </c>
      <c r="U1854" s="1">
        <v>42165</v>
      </c>
      <c r="V1854">
        <v>-25.103999999999999</v>
      </c>
      <c r="W1854">
        <v>3</v>
      </c>
      <c r="X1854">
        <v>24.44</v>
      </c>
      <c r="Y1854">
        <v>88329</v>
      </c>
    </row>
    <row r="1855" spans="1:25" x14ac:dyDescent="0.35">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1">
        <v>42095</v>
      </c>
      <c r="U1855" s="1">
        <v>42095</v>
      </c>
      <c r="V1855">
        <v>1.9504000000000001</v>
      </c>
      <c r="W1855">
        <v>4</v>
      </c>
      <c r="X1855">
        <v>21.86</v>
      </c>
      <c r="Y1855">
        <v>88330</v>
      </c>
    </row>
    <row r="1856" spans="1:25" x14ac:dyDescent="0.35">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1">
        <v>42131</v>
      </c>
      <c r="U1856" s="1">
        <v>42132</v>
      </c>
      <c r="V1856">
        <v>-340.53109999999998</v>
      </c>
      <c r="W1856">
        <v>17</v>
      </c>
      <c r="X1856">
        <v>47.12</v>
      </c>
      <c r="Y1856">
        <v>87297</v>
      </c>
    </row>
    <row r="1857" spans="1:25" x14ac:dyDescent="0.35">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1">
        <v>42147</v>
      </c>
      <c r="U1857" s="1">
        <v>42148</v>
      </c>
      <c r="V1857">
        <v>462.92099999999994</v>
      </c>
      <c r="W1857">
        <v>16</v>
      </c>
      <c r="X1857">
        <v>670.9</v>
      </c>
      <c r="Y1857">
        <v>87298</v>
      </c>
    </row>
    <row r="1858" spans="1:25" x14ac:dyDescent="0.35">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1">
        <v>42166</v>
      </c>
      <c r="U1858" s="1">
        <v>42167</v>
      </c>
      <c r="V1858">
        <v>-131.16</v>
      </c>
      <c r="W1858">
        <v>76</v>
      </c>
      <c r="X1858">
        <v>412.72</v>
      </c>
      <c r="Y1858">
        <v>39076</v>
      </c>
    </row>
    <row r="1859" spans="1:25" x14ac:dyDescent="0.35">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1">
        <v>42093</v>
      </c>
      <c r="U1859" s="1">
        <v>42095</v>
      </c>
      <c r="V1859">
        <v>-11.83</v>
      </c>
      <c r="W1859">
        <v>1</v>
      </c>
      <c r="X1859">
        <v>14.52</v>
      </c>
      <c r="Y1859">
        <v>87296</v>
      </c>
    </row>
    <row r="1860" spans="1:25" x14ac:dyDescent="0.35">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1">
        <v>42166</v>
      </c>
      <c r="U1860" s="1">
        <v>42167</v>
      </c>
      <c r="V1860">
        <v>-65.58</v>
      </c>
      <c r="W1860">
        <v>19</v>
      </c>
      <c r="X1860">
        <v>103.18</v>
      </c>
      <c r="Y1860">
        <v>87299</v>
      </c>
    </row>
    <row r="1861" spans="1:25" x14ac:dyDescent="0.35">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1">
        <v>42053</v>
      </c>
      <c r="U1861" s="1">
        <v>42055</v>
      </c>
      <c r="V1861">
        <v>596.80799999999999</v>
      </c>
      <c r="W1861">
        <v>2</v>
      </c>
      <c r="X1861">
        <v>97.96</v>
      </c>
      <c r="Y1861">
        <v>90488</v>
      </c>
    </row>
    <row r="1862" spans="1:25" x14ac:dyDescent="0.35">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1">
        <v>42150</v>
      </c>
      <c r="U1862" s="1">
        <v>42151</v>
      </c>
      <c r="V1862">
        <v>3739.3928999999998</v>
      </c>
      <c r="W1862">
        <v>15</v>
      </c>
      <c r="X1862">
        <v>5419.41</v>
      </c>
      <c r="Y1862">
        <v>88825</v>
      </c>
    </row>
    <row r="1863" spans="1:25" x14ac:dyDescent="0.35">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1">
        <v>42137</v>
      </c>
      <c r="U1863" s="1">
        <v>42139</v>
      </c>
      <c r="V1863">
        <v>470.33799999999997</v>
      </c>
      <c r="W1863">
        <v>26</v>
      </c>
      <c r="X1863">
        <v>700.41</v>
      </c>
      <c r="Y1863">
        <v>88826</v>
      </c>
    </row>
    <row r="1864" spans="1:25" x14ac:dyDescent="0.35">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1">
        <v>42084</v>
      </c>
      <c r="U1864" s="1">
        <v>42086</v>
      </c>
      <c r="V1864">
        <v>401.85</v>
      </c>
      <c r="W1864">
        <v>11</v>
      </c>
      <c r="X1864">
        <v>646.88</v>
      </c>
      <c r="Y1864">
        <v>88824</v>
      </c>
    </row>
    <row r="1865" spans="1:25" x14ac:dyDescent="0.35">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1">
        <v>42180</v>
      </c>
      <c r="U1865" s="1">
        <v>42181</v>
      </c>
      <c r="V1865">
        <v>710.67239999999993</v>
      </c>
      <c r="W1865">
        <v>10</v>
      </c>
      <c r="X1865">
        <v>1029.96</v>
      </c>
      <c r="Y1865">
        <v>90296</v>
      </c>
    </row>
    <row r="1866" spans="1:25" x14ac:dyDescent="0.35">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1">
        <v>42143</v>
      </c>
      <c r="U1866" s="1">
        <v>42145</v>
      </c>
      <c r="V1866">
        <v>-92.32</v>
      </c>
      <c r="W1866">
        <v>5</v>
      </c>
      <c r="X1866">
        <v>52.09</v>
      </c>
      <c r="Y1866">
        <v>89835</v>
      </c>
    </row>
    <row r="1867" spans="1:25" x14ac:dyDescent="0.35">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1">
        <v>42032</v>
      </c>
      <c r="U1867" s="1">
        <v>42033</v>
      </c>
      <c r="V1867">
        <v>-1764.29</v>
      </c>
      <c r="W1867">
        <v>14</v>
      </c>
      <c r="X1867">
        <v>1794.88</v>
      </c>
      <c r="Y1867">
        <v>89836</v>
      </c>
    </row>
    <row r="1868" spans="1:25" x14ac:dyDescent="0.35">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1">
        <v>42032</v>
      </c>
      <c r="U1868" s="1">
        <v>42034</v>
      </c>
      <c r="V1868">
        <v>527.87759999999992</v>
      </c>
      <c r="W1868">
        <v>12</v>
      </c>
      <c r="X1868">
        <v>765.04</v>
      </c>
      <c r="Y1868">
        <v>89836</v>
      </c>
    </row>
    <row r="1869" spans="1:25" x14ac:dyDescent="0.35">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1">
        <v>42084</v>
      </c>
      <c r="U1869" s="1">
        <v>42086</v>
      </c>
      <c r="V1869">
        <v>34.520000000000003</v>
      </c>
      <c r="W1869">
        <v>9</v>
      </c>
      <c r="X1869">
        <v>127.12</v>
      </c>
      <c r="Y1869">
        <v>86233</v>
      </c>
    </row>
    <row r="1870" spans="1:25" x14ac:dyDescent="0.35">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1">
        <v>42005</v>
      </c>
      <c r="U1870" s="1">
        <v>42009</v>
      </c>
      <c r="V1870">
        <v>3576.8840999999998</v>
      </c>
      <c r="W1870">
        <v>12</v>
      </c>
      <c r="X1870">
        <v>5183.8900000000003</v>
      </c>
      <c r="Y1870">
        <v>86234</v>
      </c>
    </row>
    <row r="1871" spans="1:25" x14ac:dyDescent="0.35">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1">
        <v>42005</v>
      </c>
      <c r="U1871" s="1">
        <v>42014</v>
      </c>
      <c r="V1871">
        <v>20.38</v>
      </c>
      <c r="W1871">
        <v>6</v>
      </c>
      <c r="X1871">
        <v>36.090000000000003</v>
      </c>
      <c r="Y1871">
        <v>86234</v>
      </c>
    </row>
    <row r="1872" spans="1:25" x14ac:dyDescent="0.35">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1">
        <v>42100</v>
      </c>
      <c r="U1872" s="1">
        <v>42102</v>
      </c>
      <c r="V1872">
        <v>31.11</v>
      </c>
      <c r="W1872">
        <v>4</v>
      </c>
      <c r="X1872">
        <v>366.26</v>
      </c>
      <c r="Y1872">
        <v>90766</v>
      </c>
    </row>
    <row r="1873" spans="1:25" x14ac:dyDescent="0.35">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1">
        <v>42100</v>
      </c>
      <c r="U1873" s="1">
        <v>42102</v>
      </c>
      <c r="V1873">
        <v>358.29539999999997</v>
      </c>
      <c r="W1873">
        <v>12</v>
      </c>
      <c r="X1873">
        <v>157.99</v>
      </c>
      <c r="Y1873">
        <v>90766</v>
      </c>
    </row>
    <row r="1874" spans="1:25" x14ac:dyDescent="0.35">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1">
        <v>42100</v>
      </c>
      <c r="U1874" s="1">
        <v>42100</v>
      </c>
      <c r="V1874">
        <v>8.3219999999999992</v>
      </c>
      <c r="W1874">
        <v>11</v>
      </c>
      <c r="X1874">
        <v>1212.8800000000001</v>
      </c>
      <c r="Y1874">
        <v>90766</v>
      </c>
    </row>
    <row r="1875" spans="1:25" x14ac:dyDescent="0.35">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1">
        <v>42077</v>
      </c>
      <c r="U1875" s="1">
        <v>42079</v>
      </c>
      <c r="V1875">
        <v>24.018000000000001</v>
      </c>
      <c r="W1875">
        <v>3</v>
      </c>
      <c r="X1875">
        <v>125.19</v>
      </c>
      <c r="Y1875">
        <v>90767</v>
      </c>
    </row>
    <row r="1876" spans="1:25" x14ac:dyDescent="0.35">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1">
        <v>42115</v>
      </c>
      <c r="U1876" s="1">
        <v>42115</v>
      </c>
      <c r="V1876">
        <v>-269.75549999999998</v>
      </c>
      <c r="W1876">
        <v>5</v>
      </c>
      <c r="X1876">
        <v>1867.04</v>
      </c>
      <c r="Y1876">
        <v>90752</v>
      </c>
    </row>
    <row r="1877" spans="1:25" x14ac:dyDescent="0.35">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1">
        <v>42134</v>
      </c>
      <c r="U1877" s="1">
        <v>42135</v>
      </c>
      <c r="V1877">
        <v>710.80739999999992</v>
      </c>
      <c r="W1877">
        <v>31</v>
      </c>
      <c r="X1877">
        <v>537.79999999999995</v>
      </c>
      <c r="Y1877">
        <v>90753</v>
      </c>
    </row>
    <row r="1878" spans="1:25" x14ac:dyDescent="0.35">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1">
        <v>42055</v>
      </c>
      <c r="U1878" s="1">
        <v>42057</v>
      </c>
      <c r="V1878">
        <v>-2133.2780000000002</v>
      </c>
      <c r="W1878">
        <v>6</v>
      </c>
      <c r="X1878">
        <v>119.78</v>
      </c>
      <c r="Y1878">
        <v>90751</v>
      </c>
    </row>
    <row r="1879" spans="1:25" x14ac:dyDescent="0.35">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1">
        <v>42010</v>
      </c>
      <c r="U1879" s="1">
        <v>42011</v>
      </c>
      <c r="V1879">
        <v>80.071200000000005</v>
      </c>
      <c r="W1879">
        <v>7</v>
      </c>
      <c r="X1879">
        <v>12.15</v>
      </c>
      <c r="Y1879">
        <v>90750</v>
      </c>
    </row>
    <row r="1880" spans="1:25" x14ac:dyDescent="0.35">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1">
        <v>42010</v>
      </c>
      <c r="U1880" s="1">
        <v>42012</v>
      </c>
      <c r="V1880">
        <v>896.40599999999995</v>
      </c>
      <c r="W1880">
        <v>9</v>
      </c>
      <c r="X1880">
        <v>288.42</v>
      </c>
      <c r="Y1880">
        <v>90750</v>
      </c>
    </row>
    <row r="1881" spans="1:25" x14ac:dyDescent="0.35">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1">
        <v>42149</v>
      </c>
      <c r="U1881" s="1">
        <v>42151</v>
      </c>
      <c r="V1881">
        <v>352.87979999999999</v>
      </c>
      <c r="W1881">
        <v>17</v>
      </c>
      <c r="X1881">
        <v>511.42</v>
      </c>
      <c r="Y1881">
        <v>89897</v>
      </c>
    </row>
    <row r="1882" spans="1:25" x14ac:dyDescent="0.35">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1">
        <v>42011</v>
      </c>
      <c r="U1882" s="1">
        <v>42016</v>
      </c>
      <c r="V1882">
        <v>68.675999999999988</v>
      </c>
      <c r="W1882">
        <v>6</v>
      </c>
      <c r="X1882">
        <v>200.64</v>
      </c>
      <c r="Y1882">
        <v>87795</v>
      </c>
    </row>
    <row r="1883" spans="1:25" x14ac:dyDescent="0.35">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1">
        <v>42095</v>
      </c>
      <c r="U1883" s="1">
        <v>42097</v>
      </c>
      <c r="V1883">
        <v>-15.92</v>
      </c>
      <c r="W1883">
        <v>1</v>
      </c>
      <c r="X1883">
        <v>17.62</v>
      </c>
      <c r="Y1883">
        <v>90461</v>
      </c>
    </row>
    <row r="1884" spans="1:25" x14ac:dyDescent="0.35">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1">
        <v>42030</v>
      </c>
      <c r="U1884" s="1">
        <v>42037</v>
      </c>
      <c r="V1884">
        <v>-114.2</v>
      </c>
      <c r="W1884">
        <v>5</v>
      </c>
      <c r="X1884">
        <v>80.58</v>
      </c>
      <c r="Y1884">
        <v>90462</v>
      </c>
    </row>
    <row r="1885" spans="1:25" x14ac:dyDescent="0.35">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1">
        <v>42087</v>
      </c>
      <c r="U1885" s="1">
        <v>42089</v>
      </c>
      <c r="V1885">
        <v>-25</v>
      </c>
      <c r="W1885">
        <v>4</v>
      </c>
      <c r="X1885">
        <v>25.31</v>
      </c>
      <c r="Y1885">
        <v>90460</v>
      </c>
    </row>
    <row r="1886" spans="1:25" x14ac:dyDescent="0.35">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1">
        <v>42087</v>
      </c>
      <c r="U1886" s="1">
        <v>42088</v>
      </c>
      <c r="V1886">
        <v>255.14819999999997</v>
      </c>
      <c r="W1886">
        <v>4</v>
      </c>
      <c r="X1886">
        <v>369.78</v>
      </c>
      <c r="Y1886">
        <v>90460</v>
      </c>
    </row>
    <row r="1887" spans="1:25" x14ac:dyDescent="0.35">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1">
        <v>42030</v>
      </c>
      <c r="U1887" s="1">
        <v>42035</v>
      </c>
      <c r="V1887">
        <v>39.426600000000001</v>
      </c>
      <c r="W1887">
        <v>9</v>
      </c>
      <c r="X1887">
        <v>57.14</v>
      </c>
      <c r="Y1887">
        <v>90462</v>
      </c>
    </row>
    <row r="1888" spans="1:25" x14ac:dyDescent="0.35">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1">
        <v>42030</v>
      </c>
      <c r="U1888" s="1">
        <v>42034</v>
      </c>
      <c r="V1888">
        <v>-722.23</v>
      </c>
      <c r="W1888">
        <v>4</v>
      </c>
      <c r="X1888">
        <v>498.31</v>
      </c>
      <c r="Y1888">
        <v>90462</v>
      </c>
    </row>
    <row r="1889" spans="1:25" x14ac:dyDescent="0.35">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1">
        <v>42145</v>
      </c>
      <c r="U1889" s="1">
        <v>42145</v>
      </c>
      <c r="V1889">
        <v>30.023999999999997</v>
      </c>
      <c r="W1889">
        <v>20</v>
      </c>
      <c r="X1889">
        <v>431.43</v>
      </c>
      <c r="Y1889">
        <v>90104</v>
      </c>
    </row>
    <row r="1890" spans="1:25" x14ac:dyDescent="0.35">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1">
        <v>42121</v>
      </c>
      <c r="U1890" s="1">
        <v>42122</v>
      </c>
      <c r="V1890">
        <v>0.42660000000000337</v>
      </c>
      <c r="W1890">
        <v>18</v>
      </c>
      <c r="X1890">
        <v>57.24</v>
      </c>
      <c r="Y1890">
        <v>90103</v>
      </c>
    </row>
    <row r="1891" spans="1:25" x14ac:dyDescent="0.35">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1">
        <v>42121</v>
      </c>
      <c r="U1891" s="1">
        <v>42123</v>
      </c>
      <c r="V1891">
        <v>66.215999999999994</v>
      </c>
      <c r="W1891">
        <v>22</v>
      </c>
      <c r="X1891">
        <v>824.7</v>
      </c>
      <c r="Y1891">
        <v>90103</v>
      </c>
    </row>
    <row r="1892" spans="1:25" x14ac:dyDescent="0.35">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1">
        <v>42047</v>
      </c>
      <c r="U1892" s="1">
        <v>42050</v>
      </c>
      <c r="V1892">
        <v>-164.18</v>
      </c>
      <c r="W1892">
        <v>9</v>
      </c>
      <c r="X1892">
        <v>58.5</v>
      </c>
      <c r="Y1892">
        <v>90985</v>
      </c>
    </row>
    <row r="1893" spans="1:25" x14ac:dyDescent="0.35">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1">
        <v>42179</v>
      </c>
      <c r="U1893" s="1">
        <v>42181</v>
      </c>
      <c r="V1893">
        <v>-79.400000000000006</v>
      </c>
      <c r="W1893">
        <v>14</v>
      </c>
      <c r="X1893">
        <v>131.62</v>
      </c>
      <c r="Y1893">
        <v>90986</v>
      </c>
    </row>
    <row r="1894" spans="1:25" x14ac:dyDescent="0.35">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1">
        <v>42118</v>
      </c>
      <c r="U1894" s="1">
        <v>42120</v>
      </c>
      <c r="V1894">
        <v>23.045999999999999</v>
      </c>
      <c r="W1894">
        <v>23</v>
      </c>
      <c r="X1894">
        <v>121.46</v>
      </c>
      <c r="Y1894">
        <v>90987</v>
      </c>
    </row>
    <row r="1895" spans="1:25" x14ac:dyDescent="0.35">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1">
        <v>42069</v>
      </c>
      <c r="U1895" s="1">
        <v>42071</v>
      </c>
      <c r="V1895">
        <v>-127.3</v>
      </c>
      <c r="W1895">
        <v>3</v>
      </c>
      <c r="X1895">
        <v>356.14</v>
      </c>
      <c r="Y1895">
        <v>87272</v>
      </c>
    </row>
    <row r="1896" spans="1:25" x14ac:dyDescent="0.35">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1">
        <v>42069</v>
      </c>
      <c r="U1896" s="1">
        <v>42071</v>
      </c>
      <c r="V1896">
        <v>-52.77</v>
      </c>
      <c r="W1896">
        <v>4</v>
      </c>
      <c r="X1896">
        <v>27.08</v>
      </c>
      <c r="Y1896">
        <v>87272</v>
      </c>
    </row>
    <row r="1897" spans="1:25" x14ac:dyDescent="0.35">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1">
        <v>42009</v>
      </c>
      <c r="U1897" s="1">
        <v>42010</v>
      </c>
      <c r="V1897">
        <v>-781.13419999999996</v>
      </c>
      <c r="W1897">
        <v>11</v>
      </c>
      <c r="X1897">
        <v>65.849999999999994</v>
      </c>
      <c r="Y1897">
        <v>86283</v>
      </c>
    </row>
    <row r="1898" spans="1:25" x14ac:dyDescent="0.35">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1">
        <v>42013</v>
      </c>
      <c r="U1898" s="1">
        <v>42013</v>
      </c>
      <c r="V1898">
        <v>-23.295999999999999</v>
      </c>
      <c r="W1898">
        <v>12</v>
      </c>
      <c r="X1898">
        <v>50.71</v>
      </c>
      <c r="Y1898">
        <v>86284</v>
      </c>
    </row>
    <row r="1899" spans="1:25" x14ac:dyDescent="0.35">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1">
        <v>42131</v>
      </c>
      <c r="U1899" s="1">
        <v>42131</v>
      </c>
      <c r="V1899">
        <v>58.811999999999998</v>
      </c>
      <c r="W1899">
        <v>7</v>
      </c>
      <c r="X1899">
        <v>45</v>
      </c>
      <c r="Y1899">
        <v>85979</v>
      </c>
    </row>
    <row r="1900" spans="1:25" x14ac:dyDescent="0.35">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1">
        <v>42169</v>
      </c>
      <c r="U1900" s="1">
        <v>42170</v>
      </c>
      <c r="V1900">
        <v>4.0442999999999998</v>
      </c>
      <c r="W1900">
        <v>7</v>
      </c>
      <c r="X1900">
        <v>19.02</v>
      </c>
      <c r="Y1900">
        <v>85981</v>
      </c>
    </row>
    <row r="1901" spans="1:25" x14ac:dyDescent="0.35">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1">
        <v>42169</v>
      </c>
      <c r="U1901" s="1">
        <v>42170</v>
      </c>
      <c r="V1901">
        <v>-10.368400000000001</v>
      </c>
      <c r="W1901">
        <v>16</v>
      </c>
      <c r="X1901">
        <v>193.87</v>
      </c>
      <c r="Y1901">
        <v>85981</v>
      </c>
    </row>
    <row r="1902" spans="1:25" x14ac:dyDescent="0.35">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1">
        <v>42017</v>
      </c>
      <c r="U1902" s="1">
        <v>42018</v>
      </c>
      <c r="V1902">
        <v>989.81189999999992</v>
      </c>
      <c r="W1902">
        <v>14</v>
      </c>
      <c r="X1902">
        <v>1434.51</v>
      </c>
      <c r="Y1902">
        <v>85980</v>
      </c>
    </row>
    <row r="1903" spans="1:25" x14ac:dyDescent="0.35">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1">
        <v>42048</v>
      </c>
      <c r="U1903" s="1">
        <v>42050</v>
      </c>
      <c r="V1903">
        <v>2861.01</v>
      </c>
      <c r="W1903">
        <v>42</v>
      </c>
      <c r="X1903">
        <v>8549.0400000000009</v>
      </c>
      <c r="Y1903">
        <v>21572</v>
      </c>
    </row>
    <row r="1904" spans="1:25" x14ac:dyDescent="0.35">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1">
        <v>42048</v>
      </c>
      <c r="U1904" s="1">
        <v>42050</v>
      </c>
      <c r="V1904">
        <v>1544.9307000000001</v>
      </c>
      <c r="W1904">
        <v>11</v>
      </c>
      <c r="X1904">
        <v>2239.0300000000002</v>
      </c>
      <c r="Y1904">
        <v>89928</v>
      </c>
    </row>
    <row r="1905" spans="1:25" x14ac:dyDescent="0.35">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1">
        <v>42010</v>
      </c>
      <c r="U1905" s="1">
        <v>42012</v>
      </c>
      <c r="V1905">
        <v>125.9982</v>
      </c>
      <c r="W1905">
        <v>1</v>
      </c>
      <c r="X1905">
        <v>22.13</v>
      </c>
      <c r="Y1905">
        <v>89355</v>
      </c>
    </row>
    <row r="1906" spans="1:25" x14ac:dyDescent="0.35">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1">
        <v>42010</v>
      </c>
      <c r="U1906" s="1">
        <v>42012</v>
      </c>
      <c r="V1906">
        <v>-92.929200000000009</v>
      </c>
      <c r="W1906">
        <v>5</v>
      </c>
      <c r="X1906">
        <v>34.17</v>
      </c>
      <c r="Y1906">
        <v>89355</v>
      </c>
    </row>
    <row r="1907" spans="1:25" x14ac:dyDescent="0.35">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1">
        <v>42031</v>
      </c>
      <c r="U1907" s="1">
        <v>42033</v>
      </c>
      <c r="V1907">
        <v>-39.808999999999997</v>
      </c>
      <c r="W1907">
        <v>1</v>
      </c>
      <c r="X1907">
        <v>94.3</v>
      </c>
      <c r="Y1907">
        <v>89356</v>
      </c>
    </row>
    <row r="1908" spans="1:25" x14ac:dyDescent="0.35">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1">
        <v>42027</v>
      </c>
      <c r="U1908" s="1">
        <v>42029</v>
      </c>
      <c r="V1908">
        <v>-29.065600000000003</v>
      </c>
      <c r="W1908">
        <v>5</v>
      </c>
      <c r="X1908">
        <v>384.22</v>
      </c>
      <c r="Y1908">
        <v>91296</v>
      </c>
    </row>
    <row r="1909" spans="1:25" x14ac:dyDescent="0.35">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1">
        <v>42039</v>
      </c>
      <c r="U1909" s="1">
        <v>42041</v>
      </c>
      <c r="V1909">
        <v>-19.2972</v>
      </c>
      <c r="W1909">
        <v>17</v>
      </c>
      <c r="X1909">
        <v>178.68</v>
      </c>
      <c r="Y1909">
        <v>91297</v>
      </c>
    </row>
    <row r="1910" spans="1:25" x14ac:dyDescent="0.35">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1">
        <v>42042</v>
      </c>
      <c r="U1910" s="1">
        <v>42044</v>
      </c>
      <c r="V1910">
        <v>40.6556</v>
      </c>
      <c r="W1910">
        <v>12</v>
      </c>
      <c r="X1910">
        <v>79.39</v>
      </c>
      <c r="Y1910">
        <v>91298</v>
      </c>
    </row>
    <row r="1911" spans="1:25" x14ac:dyDescent="0.35">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1">
        <v>42140</v>
      </c>
      <c r="U1911" s="1">
        <v>42141</v>
      </c>
      <c r="V1911">
        <v>137.67569999999998</v>
      </c>
      <c r="W1911">
        <v>7</v>
      </c>
      <c r="X1911">
        <v>199.53</v>
      </c>
      <c r="Y1911">
        <v>88589</v>
      </c>
    </row>
    <row r="1912" spans="1:25" x14ac:dyDescent="0.35">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1">
        <v>42140</v>
      </c>
      <c r="U1912" s="1">
        <v>42142</v>
      </c>
      <c r="V1912">
        <v>-62</v>
      </c>
      <c r="W1912">
        <v>6</v>
      </c>
      <c r="X1912">
        <v>37.049999999999997</v>
      </c>
      <c r="Y1912">
        <v>88589</v>
      </c>
    </row>
    <row r="1913" spans="1:25" x14ac:dyDescent="0.35">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1">
        <v>42090</v>
      </c>
      <c r="U1913" s="1">
        <v>42092</v>
      </c>
      <c r="V1913">
        <v>47.527199999999993</v>
      </c>
      <c r="W1913">
        <v>19</v>
      </c>
      <c r="X1913">
        <v>68.88</v>
      </c>
      <c r="Y1913">
        <v>88590</v>
      </c>
    </row>
    <row r="1914" spans="1:25" x14ac:dyDescent="0.35">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1">
        <v>42063</v>
      </c>
      <c r="U1914" s="1">
        <v>42072</v>
      </c>
      <c r="V1914">
        <v>379.3965</v>
      </c>
      <c r="W1914">
        <v>5</v>
      </c>
      <c r="X1914">
        <v>549.85</v>
      </c>
      <c r="Y1914">
        <v>88587</v>
      </c>
    </row>
    <row r="1915" spans="1:25" x14ac:dyDescent="0.35">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1">
        <v>42063</v>
      </c>
      <c r="U1915" s="1">
        <v>42067</v>
      </c>
      <c r="V1915">
        <v>-41.83</v>
      </c>
      <c r="W1915">
        <v>6</v>
      </c>
      <c r="X1915">
        <v>48.99</v>
      </c>
      <c r="Y1915">
        <v>88587</v>
      </c>
    </row>
    <row r="1916" spans="1:25" x14ac:dyDescent="0.35">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1">
        <v>42063</v>
      </c>
      <c r="U1916" s="1">
        <v>42063</v>
      </c>
      <c r="V1916">
        <v>372.40199999999999</v>
      </c>
      <c r="W1916">
        <v>7</v>
      </c>
      <c r="X1916">
        <v>681.42</v>
      </c>
      <c r="Y1916">
        <v>88587</v>
      </c>
    </row>
    <row r="1917" spans="1:25" x14ac:dyDescent="0.35">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1">
        <v>42128</v>
      </c>
      <c r="U1917" s="1">
        <v>42130</v>
      </c>
      <c r="V1917">
        <v>-116.3455</v>
      </c>
      <c r="W1917">
        <v>13</v>
      </c>
      <c r="X1917">
        <v>66.650000000000006</v>
      </c>
      <c r="Y1917">
        <v>88588</v>
      </c>
    </row>
    <row r="1918" spans="1:25" x14ac:dyDescent="0.35">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1">
        <v>42128</v>
      </c>
      <c r="U1918" s="1">
        <v>42129</v>
      </c>
      <c r="V1918">
        <v>1304.9000000000001</v>
      </c>
      <c r="W1918">
        <v>18</v>
      </c>
      <c r="X1918">
        <v>2934.16</v>
      </c>
      <c r="Y1918">
        <v>88588</v>
      </c>
    </row>
    <row r="1919" spans="1:25" x14ac:dyDescent="0.35">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1">
        <v>42128</v>
      </c>
      <c r="U1919" s="1">
        <v>42128</v>
      </c>
      <c r="V1919">
        <v>605.04719999999998</v>
      </c>
      <c r="W1919">
        <v>15</v>
      </c>
      <c r="X1919">
        <v>876.88</v>
      </c>
      <c r="Y1919">
        <v>88588</v>
      </c>
    </row>
    <row r="1920" spans="1:25" x14ac:dyDescent="0.35">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1">
        <v>42122</v>
      </c>
      <c r="U1920" s="1">
        <v>42124</v>
      </c>
      <c r="V1920">
        <v>107.45461999999999</v>
      </c>
      <c r="W1920">
        <v>6</v>
      </c>
      <c r="X1920">
        <v>157.33000000000001</v>
      </c>
      <c r="Y1920">
        <v>91437</v>
      </c>
    </row>
    <row r="1921" spans="1:25" x14ac:dyDescent="0.35">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1">
        <v>42083</v>
      </c>
      <c r="U1921" s="1">
        <v>42085</v>
      </c>
      <c r="V1921">
        <v>18.41</v>
      </c>
      <c r="W1921">
        <v>3</v>
      </c>
      <c r="X1921">
        <v>27.37</v>
      </c>
      <c r="Y1921">
        <v>91435</v>
      </c>
    </row>
    <row r="1922" spans="1:25" x14ac:dyDescent="0.35">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1">
        <v>42083</v>
      </c>
      <c r="U1922" s="1">
        <v>42085</v>
      </c>
      <c r="V1922">
        <v>65.63</v>
      </c>
      <c r="W1922">
        <v>8</v>
      </c>
      <c r="X1922">
        <v>98.16</v>
      </c>
      <c r="Y1922">
        <v>91435</v>
      </c>
    </row>
    <row r="1923" spans="1:25" x14ac:dyDescent="0.35">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1">
        <v>42030</v>
      </c>
      <c r="U1923" s="1">
        <v>42030</v>
      </c>
      <c r="V1923">
        <v>-7.73</v>
      </c>
      <c r="W1923">
        <v>15</v>
      </c>
      <c r="X1923">
        <v>116.11</v>
      </c>
      <c r="Y1923">
        <v>91436</v>
      </c>
    </row>
    <row r="1924" spans="1:25" x14ac:dyDescent="0.35">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1">
        <v>42164</v>
      </c>
      <c r="U1924" s="1">
        <v>42166</v>
      </c>
      <c r="V1924">
        <v>-47.995249999999999</v>
      </c>
      <c r="W1924">
        <v>19</v>
      </c>
      <c r="X1924">
        <v>95</v>
      </c>
      <c r="Y1924">
        <v>91438</v>
      </c>
    </row>
    <row r="1925" spans="1:25" x14ac:dyDescent="0.35">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1">
        <v>42148</v>
      </c>
      <c r="U1925" s="1">
        <v>42153</v>
      </c>
      <c r="V1925">
        <v>66.22</v>
      </c>
      <c r="W1925">
        <v>11</v>
      </c>
      <c r="X1925">
        <v>837.57</v>
      </c>
      <c r="Y1925">
        <v>90501</v>
      </c>
    </row>
    <row r="1926" spans="1:25" x14ac:dyDescent="0.35">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1">
        <v>42148</v>
      </c>
      <c r="U1926" s="1">
        <v>42152</v>
      </c>
      <c r="V1926">
        <v>-23.53</v>
      </c>
      <c r="W1926">
        <v>8</v>
      </c>
      <c r="X1926">
        <v>56.22</v>
      </c>
      <c r="Y1926">
        <v>90501</v>
      </c>
    </row>
    <row r="1927" spans="1:25" x14ac:dyDescent="0.35">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1">
        <v>42126</v>
      </c>
      <c r="U1927" s="1">
        <v>42127</v>
      </c>
      <c r="V1927">
        <v>10.680000000000014</v>
      </c>
      <c r="W1927">
        <v>26</v>
      </c>
      <c r="X1927">
        <v>758.97</v>
      </c>
      <c r="Y1927">
        <v>90502</v>
      </c>
    </row>
    <row r="1928" spans="1:25" x14ac:dyDescent="0.35">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1">
        <v>42126</v>
      </c>
      <c r="U1928" s="1">
        <v>42128</v>
      </c>
      <c r="V1928">
        <v>58.263599999999997</v>
      </c>
      <c r="W1928">
        <v>18</v>
      </c>
      <c r="X1928">
        <v>84.44</v>
      </c>
      <c r="Y1928">
        <v>90502</v>
      </c>
    </row>
    <row r="1929" spans="1:25" x14ac:dyDescent="0.35">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1">
        <v>42047</v>
      </c>
      <c r="U1929" s="1">
        <v>42048</v>
      </c>
      <c r="V1929">
        <v>-42.170500000000004</v>
      </c>
      <c r="W1929">
        <v>4</v>
      </c>
      <c r="X1929">
        <v>29.99</v>
      </c>
      <c r="Y1929">
        <v>90500</v>
      </c>
    </row>
    <row r="1930" spans="1:25" x14ac:dyDescent="0.35">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1">
        <v>42157</v>
      </c>
      <c r="U1930" s="1">
        <v>42159</v>
      </c>
      <c r="V1930">
        <v>66.362220000000008</v>
      </c>
      <c r="W1930">
        <v>8</v>
      </c>
      <c r="X1930">
        <v>1487.9</v>
      </c>
      <c r="Y1930">
        <v>87473</v>
      </c>
    </row>
    <row r="1931" spans="1:25" x14ac:dyDescent="0.35">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1">
        <v>42184</v>
      </c>
      <c r="U1931" s="1">
        <v>42185</v>
      </c>
      <c r="V1931">
        <v>-1.904000000000019</v>
      </c>
      <c r="W1931">
        <v>8</v>
      </c>
      <c r="X1931">
        <v>600.4</v>
      </c>
      <c r="Y1931">
        <v>87474</v>
      </c>
    </row>
    <row r="1932" spans="1:25" x14ac:dyDescent="0.35">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1">
        <v>42184</v>
      </c>
      <c r="U1932" s="1">
        <v>42186</v>
      </c>
      <c r="V1932">
        <v>-37.048000000000002</v>
      </c>
      <c r="W1932">
        <v>5</v>
      </c>
      <c r="X1932">
        <v>34.25</v>
      </c>
      <c r="Y1932">
        <v>87474</v>
      </c>
    </row>
    <row r="1933" spans="1:25" x14ac:dyDescent="0.35">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1">
        <v>42184</v>
      </c>
      <c r="U1933" s="1">
        <v>42186</v>
      </c>
      <c r="V1933">
        <v>-56.887999999999998</v>
      </c>
      <c r="W1933">
        <v>9</v>
      </c>
      <c r="X1933">
        <v>31.45</v>
      </c>
      <c r="Y1933">
        <v>87474</v>
      </c>
    </row>
    <row r="1934" spans="1:25" x14ac:dyDescent="0.35">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1">
        <v>42089</v>
      </c>
      <c r="U1934" s="1">
        <v>42092</v>
      </c>
      <c r="V1934">
        <v>-189.714</v>
      </c>
      <c r="W1934">
        <v>12</v>
      </c>
      <c r="X1934">
        <v>249.07</v>
      </c>
      <c r="Y1934">
        <v>88837</v>
      </c>
    </row>
    <row r="1935" spans="1:25" x14ac:dyDescent="0.35">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1">
        <v>42119</v>
      </c>
      <c r="U1935" s="1">
        <v>42120</v>
      </c>
      <c r="V1935">
        <v>1628.37</v>
      </c>
      <c r="W1935">
        <v>18</v>
      </c>
      <c r="X1935">
        <v>59.22</v>
      </c>
      <c r="Y1935">
        <v>88839</v>
      </c>
    </row>
    <row r="1936" spans="1:25" x14ac:dyDescent="0.35">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1">
        <v>42114</v>
      </c>
      <c r="U1936" s="1">
        <v>42116</v>
      </c>
      <c r="V1936">
        <v>-4.4800000000000004</v>
      </c>
      <c r="W1936">
        <v>18</v>
      </c>
      <c r="X1936">
        <v>5572.18</v>
      </c>
      <c r="Y1936">
        <v>88838</v>
      </c>
    </row>
    <row r="1937" spans="1:25" x14ac:dyDescent="0.35">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1">
        <v>42114</v>
      </c>
      <c r="U1937" s="1">
        <v>42115</v>
      </c>
      <c r="V1937">
        <v>3193.2840000000001</v>
      </c>
      <c r="W1937">
        <v>11</v>
      </c>
      <c r="X1937">
        <v>2941.42</v>
      </c>
      <c r="Y1937">
        <v>88838</v>
      </c>
    </row>
    <row r="1938" spans="1:25" x14ac:dyDescent="0.35">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1">
        <v>42114</v>
      </c>
      <c r="U1938" s="1">
        <v>42115</v>
      </c>
      <c r="V1938">
        <v>43.691699999999997</v>
      </c>
      <c r="W1938">
        <v>8</v>
      </c>
      <c r="X1938">
        <v>522.46</v>
      </c>
      <c r="Y1938">
        <v>88838</v>
      </c>
    </row>
    <row r="1939" spans="1:25" x14ac:dyDescent="0.35">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1">
        <v>42086</v>
      </c>
      <c r="U1939" s="1">
        <v>42088</v>
      </c>
      <c r="V1939">
        <v>349.05930000000001</v>
      </c>
      <c r="W1939">
        <v>2</v>
      </c>
      <c r="X1939">
        <v>25.31</v>
      </c>
      <c r="Y1939">
        <v>88836</v>
      </c>
    </row>
    <row r="1940" spans="1:25" x14ac:dyDescent="0.35">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1">
        <v>42123</v>
      </c>
      <c r="U1940" s="1">
        <v>42123</v>
      </c>
      <c r="V1940">
        <v>1.9919999999999998</v>
      </c>
      <c r="W1940">
        <v>18</v>
      </c>
      <c r="X1940">
        <v>513.33000000000004</v>
      </c>
      <c r="Y1940">
        <v>88840</v>
      </c>
    </row>
    <row r="1941" spans="1:25" x14ac:dyDescent="0.35">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1">
        <v>42020</v>
      </c>
      <c r="U1941" s="1">
        <v>42020</v>
      </c>
      <c r="V1941">
        <v>-22.009999999999998</v>
      </c>
      <c r="W1941">
        <v>5</v>
      </c>
      <c r="X1941">
        <v>15.7</v>
      </c>
      <c r="Y1941">
        <v>88745</v>
      </c>
    </row>
    <row r="1942" spans="1:25" x14ac:dyDescent="0.35">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1">
        <v>42020</v>
      </c>
      <c r="U1942" s="1">
        <v>42025</v>
      </c>
      <c r="V1942">
        <v>426.46032000000002</v>
      </c>
      <c r="W1942">
        <v>6</v>
      </c>
      <c r="X1942">
        <v>680.65</v>
      </c>
      <c r="Y1942">
        <v>88745</v>
      </c>
    </row>
    <row r="1943" spans="1:25" x14ac:dyDescent="0.35">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1">
        <v>42127</v>
      </c>
      <c r="U1943" s="1">
        <v>42129</v>
      </c>
      <c r="V1943">
        <v>19.554599999999997</v>
      </c>
      <c r="W1943">
        <v>10</v>
      </c>
      <c r="X1943">
        <v>28.34</v>
      </c>
      <c r="Y1943">
        <v>88746</v>
      </c>
    </row>
    <row r="1944" spans="1:25" x14ac:dyDescent="0.35">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1">
        <v>42127</v>
      </c>
      <c r="U1944" s="1">
        <v>42130</v>
      </c>
      <c r="V1944">
        <v>152.48200000000003</v>
      </c>
      <c r="W1944">
        <v>35</v>
      </c>
      <c r="X1944">
        <v>861.3</v>
      </c>
      <c r="Y1944">
        <v>88746</v>
      </c>
    </row>
    <row r="1945" spans="1:25" x14ac:dyDescent="0.35">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1">
        <v>42135</v>
      </c>
      <c r="U1945" s="1">
        <v>42136</v>
      </c>
      <c r="V1945">
        <v>67.012000000000057</v>
      </c>
      <c r="W1945">
        <v>9</v>
      </c>
      <c r="X1945">
        <v>894.64</v>
      </c>
      <c r="Y1945">
        <v>90154</v>
      </c>
    </row>
    <row r="1946" spans="1:25" x14ac:dyDescent="0.35">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1">
        <v>42123</v>
      </c>
      <c r="U1946" s="1">
        <v>42124</v>
      </c>
      <c r="V1946">
        <v>374.625</v>
      </c>
      <c r="W1946">
        <v>7</v>
      </c>
      <c r="X1946">
        <v>710.36</v>
      </c>
      <c r="Y1946">
        <v>87908</v>
      </c>
    </row>
    <row r="1947" spans="1:25" x14ac:dyDescent="0.35">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1">
        <v>42049</v>
      </c>
      <c r="U1947" s="1">
        <v>42050</v>
      </c>
      <c r="V1947">
        <v>-3.2448000000000001</v>
      </c>
      <c r="W1947">
        <v>19</v>
      </c>
      <c r="X1947">
        <v>80.2</v>
      </c>
      <c r="Y1947">
        <v>87909</v>
      </c>
    </row>
    <row r="1948" spans="1:25" x14ac:dyDescent="0.35">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1">
        <v>42162</v>
      </c>
      <c r="U1948" s="1">
        <v>42164</v>
      </c>
      <c r="V1948">
        <v>6384.4388999999992</v>
      </c>
      <c r="W1948">
        <v>7</v>
      </c>
      <c r="X1948">
        <v>9252.81</v>
      </c>
      <c r="Y1948">
        <v>87535</v>
      </c>
    </row>
    <row r="1949" spans="1:25" x14ac:dyDescent="0.35">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1">
        <v>42074</v>
      </c>
      <c r="U1949" s="1">
        <v>42075</v>
      </c>
      <c r="V1949">
        <v>-116.76</v>
      </c>
      <c r="W1949">
        <v>18</v>
      </c>
      <c r="X1949">
        <v>207.31</v>
      </c>
      <c r="Y1949">
        <v>87536</v>
      </c>
    </row>
    <row r="1950" spans="1:25" x14ac:dyDescent="0.35">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1">
        <v>42074</v>
      </c>
      <c r="U1950" s="1">
        <v>42075</v>
      </c>
      <c r="V1950">
        <v>-160.952</v>
      </c>
      <c r="W1950">
        <v>22</v>
      </c>
      <c r="X1950">
        <v>143.12</v>
      </c>
      <c r="Y1950">
        <v>87536</v>
      </c>
    </row>
    <row r="1951" spans="1:25" x14ac:dyDescent="0.35">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1">
        <v>42092</v>
      </c>
      <c r="U1951" s="1">
        <v>42094</v>
      </c>
      <c r="V1951">
        <v>-41.87</v>
      </c>
      <c r="W1951">
        <v>5</v>
      </c>
      <c r="X1951">
        <v>59.98</v>
      </c>
      <c r="Y1951">
        <v>87534</v>
      </c>
    </row>
    <row r="1952" spans="1:25" x14ac:dyDescent="0.35">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1">
        <v>42098</v>
      </c>
      <c r="U1952" s="1">
        <v>42098</v>
      </c>
      <c r="V1952">
        <v>-24.7104</v>
      </c>
      <c r="W1952">
        <v>15</v>
      </c>
      <c r="X1952">
        <v>135.78</v>
      </c>
      <c r="Y1952">
        <v>87537</v>
      </c>
    </row>
    <row r="1953" spans="1:25" x14ac:dyDescent="0.35">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68523-4BBE-4D71-95E2-E25272FF993C}">
  <dimension ref="A1:B1635"/>
  <sheetViews>
    <sheetView workbookViewId="0"/>
  </sheetViews>
  <sheetFormatPr defaultRowHeight="14.5" x14ac:dyDescent="0.35"/>
  <cols>
    <col min="1" max="1" width="10.26953125" bestFit="1" customWidth="1"/>
    <col min="2" max="2" width="8.54296875" bestFit="1" customWidth="1"/>
  </cols>
  <sheetData>
    <row r="1" spans="1:2" x14ac:dyDescent="0.35">
      <c r="A1" t="s">
        <v>24</v>
      </c>
      <c r="B1" t="s">
        <v>3029</v>
      </c>
    </row>
    <row r="2" spans="1:2" x14ac:dyDescent="0.35">
      <c r="A2">
        <v>65</v>
      </c>
      <c r="B2" t="s">
        <v>3030</v>
      </c>
    </row>
    <row r="3" spans="1:2" x14ac:dyDescent="0.35">
      <c r="A3">
        <v>612</v>
      </c>
      <c r="B3" t="s">
        <v>3030</v>
      </c>
    </row>
    <row r="4" spans="1:2" x14ac:dyDescent="0.35">
      <c r="A4">
        <v>614</v>
      </c>
      <c r="B4" t="s">
        <v>3030</v>
      </c>
    </row>
    <row r="5" spans="1:2" x14ac:dyDescent="0.35">
      <c r="A5">
        <v>678</v>
      </c>
      <c r="B5" t="s">
        <v>3030</v>
      </c>
    </row>
    <row r="6" spans="1:2" x14ac:dyDescent="0.35">
      <c r="A6">
        <v>710</v>
      </c>
      <c r="B6" t="s">
        <v>3030</v>
      </c>
    </row>
    <row r="7" spans="1:2" x14ac:dyDescent="0.35">
      <c r="A7">
        <v>740</v>
      </c>
      <c r="B7" t="s">
        <v>3030</v>
      </c>
    </row>
    <row r="8" spans="1:2" x14ac:dyDescent="0.35">
      <c r="A8">
        <v>775</v>
      </c>
      <c r="B8" t="s">
        <v>3030</v>
      </c>
    </row>
    <row r="9" spans="1:2" x14ac:dyDescent="0.35">
      <c r="A9">
        <v>833</v>
      </c>
      <c r="B9" t="s">
        <v>3030</v>
      </c>
    </row>
    <row r="10" spans="1:2" x14ac:dyDescent="0.35">
      <c r="A10">
        <v>902</v>
      </c>
      <c r="B10" t="s">
        <v>3030</v>
      </c>
    </row>
    <row r="11" spans="1:2" x14ac:dyDescent="0.35">
      <c r="A11">
        <v>3300</v>
      </c>
      <c r="B11" t="s">
        <v>3030</v>
      </c>
    </row>
    <row r="12" spans="1:2" x14ac:dyDescent="0.35">
      <c r="A12">
        <v>3456</v>
      </c>
      <c r="B12" t="s">
        <v>3030</v>
      </c>
    </row>
    <row r="13" spans="1:2" x14ac:dyDescent="0.35">
      <c r="A13">
        <v>3525</v>
      </c>
      <c r="B13" t="s">
        <v>3030</v>
      </c>
    </row>
    <row r="14" spans="1:2" x14ac:dyDescent="0.35">
      <c r="A14">
        <v>3589</v>
      </c>
      <c r="B14" t="s">
        <v>3030</v>
      </c>
    </row>
    <row r="15" spans="1:2" x14ac:dyDescent="0.35">
      <c r="A15">
        <v>3687</v>
      </c>
      <c r="B15" t="s">
        <v>3030</v>
      </c>
    </row>
    <row r="16" spans="1:2" x14ac:dyDescent="0.35">
      <c r="A16">
        <v>3777</v>
      </c>
      <c r="B16" t="s">
        <v>3030</v>
      </c>
    </row>
    <row r="17" spans="1:2" x14ac:dyDescent="0.35">
      <c r="A17">
        <v>3783</v>
      </c>
      <c r="B17" t="s">
        <v>3030</v>
      </c>
    </row>
    <row r="18" spans="1:2" x14ac:dyDescent="0.35">
      <c r="A18">
        <v>4006</v>
      </c>
      <c r="B18" t="s">
        <v>3030</v>
      </c>
    </row>
    <row r="19" spans="1:2" x14ac:dyDescent="0.35">
      <c r="A19">
        <v>4037</v>
      </c>
      <c r="B19" t="s">
        <v>3030</v>
      </c>
    </row>
    <row r="20" spans="1:2" x14ac:dyDescent="0.35">
      <c r="A20">
        <v>4230</v>
      </c>
      <c r="B20" t="s">
        <v>3030</v>
      </c>
    </row>
    <row r="21" spans="1:2" x14ac:dyDescent="0.35">
      <c r="A21">
        <v>4261</v>
      </c>
      <c r="B21" t="s">
        <v>3030</v>
      </c>
    </row>
    <row r="22" spans="1:2" x14ac:dyDescent="0.35">
      <c r="A22">
        <v>4391</v>
      </c>
      <c r="B22" t="s">
        <v>3030</v>
      </c>
    </row>
    <row r="23" spans="1:2" x14ac:dyDescent="0.35">
      <c r="A23">
        <v>4610</v>
      </c>
      <c r="B23" t="s">
        <v>3030</v>
      </c>
    </row>
    <row r="24" spans="1:2" x14ac:dyDescent="0.35">
      <c r="A24">
        <v>4738</v>
      </c>
      <c r="B24" t="s">
        <v>3030</v>
      </c>
    </row>
    <row r="25" spans="1:2" x14ac:dyDescent="0.35">
      <c r="A25">
        <v>4864</v>
      </c>
      <c r="B25" t="s">
        <v>3030</v>
      </c>
    </row>
    <row r="26" spans="1:2" x14ac:dyDescent="0.35">
      <c r="A26">
        <v>4960</v>
      </c>
      <c r="B26" t="s">
        <v>3030</v>
      </c>
    </row>
    <row r="27" spans="1:2" x14ac:dyDescent="0.35">
      <c r="A27">
        <v>5028</v>
      </c>
      <c r="B27" t="s">
        <v>3030</v>
      </c>
    </row>
    <row r="28" spans="1:2" x14ac:dyDescent="0.35">
      <c r="A28">
        <v>5059</v>
      </c>
      <c r="B28" t="s">
        <v>3030</v>
      </c>
    </row>
    <row r="29" spans="1:2" x14ac:dyDescent="0.35">
      <c r="A29">
        <v>5061</v>
      </c>
      <c r="B29" t="s">
        <v>3030</v>
      </c>
    </row>
    <row r="30" spans="1:2" x14ac:dyDescent="0.35">
      <c r="A30">
        <v>5189</v>
      </c>
      <c r="B30" t="s">
        <v>3030</v>
      </c>
    </row>
    <row r="31" spans="1:2" x14ac:dyDescent="0.35">
      <c r="A31">
        <v>5381</v>
      </c>
      <c r="B31" t="s">
        <v>3030</v>
      </c>
    </row>
    <row r="32" spans="1:2" x14ac:dyDescent="0.35">
      <c r="A32">
        <v>5414</v>
      </c>
      <c r="B32" t="s">
        <v>3030</v>
      </c>
    </row>
    <row r="33" spans="1:2" x14ac:dyDescent="0.35">
      <c r="A33">
        <v>5511</v>
      </c>
      <c r="B33" t="s">
        <v>3030</v>
      </c>
    </row>
    <row r="34" spans="1:2" x14ac:dyDescent="0.35">
      <c r="A34">
        <v>5699</v>
      </c>
      <c r="B34" t="s">
        <v>3030</v>
      </c>
    </row>
    <row r="35" spans="1:2" x14ac:dyDescent="0.35">
      <c r="A35">
        <v>6054</v>
      </c>
      <c r="B35" t="s">
        <v>3030</v>
      </c>
    </row>
    <row r="36" spans="1:2" x14ac:dyDescent="0.35">
      <c r="A36">
        <v>6241</v>
      </c>
      <c r="B36" t="s">
        <v>3030</v>
      </c>
    </row>
    <row r="37" spans="1:2" x14ac:dyDescent="0.35">
      <c r="A37">
        <v>6272</v>
      </c>
      <c r="B37" t="s">
        <v>3030</v>
      </c>
    </row>
    <row r="38" spans="1:2" x14ac:dyDescent="0.35">
      <c r="A38">
        <v>6498</v>
      </c>
      <c r="B38" t="s">
        <v>3030</v>
      </c>
    </row>
    <row r="39" spans="1:2" x14ac:dyDescent="0.35">
      <c r="A39">
        <v>6500</v>
      </c>
      <c r="B39" t="s">
        <v>3030</v>
      </c>
    </row>
    <row r="40" spans="1:2" x14ac:dyDescent="0.35">
      <c r="A40">
        <v>6502</v>
      </c>
      <c r="B40" t="s">
        <v>3030</v>
      </c>
    </row>
    <row r="41" spans="1:2" x14ac:dyDescent="0.35">
      <c r="A41">
        <v>6661</v>
      </c>
      <c r="B41" t="s">
        <v>3030</v>
      </c>
    </row>
    <row r="42" spans="1:2" x14ac:dyDescent="0.35">
      <c r="A42">
        <v>6695</v>
      </c>
      <c r="B42" t="s">
        <v>3030</v>
      </c>
    </row>
    <row r="43" spans="1:2" x14ac:dyDescent="0.35">
      <c r="A43">
        <v>6757</v>
      </c>
      <c r="B43" t="s">
        <v>3030</v>
      </c>
    </row>
    <row r="44" spans="1:2" x14ac:dyDescent="0.35">
      <c r="A44">
        <v>6978</v>
      </c>
      <c r="B44" t="s">
        <v>3030</v>
      </c>
    </row>
    <row r="45" spans="1:2" x14ac:dyDescent="0.35">
      <c r="A45">
        <v>6979</v>
      </c>
      <c r="B45" t="s">
        <v>3030</v>
      </c>
    </row>
    <row r="46" spans="1:2" x14ac:dyDescent="0.35">
      <c r="A46">
        <v>7079</v>
      </c>
      <c r="B46" t="s">
        <v>3030</v>
      </c>
    </row>
    <row r="47" spans="1:2" x14ac:dyDescent="0.35">
      <c r="A47">
        <v>7107</v>
      </c>
      <c r="B47" t="s">
        <v>3030</v>
      </c>
    </row>
    <row r="48" spans="1:2" x14ac:dyDescent="0.35">
      <c r="A48">
        <v>7203</v>
      </c>
      <c r="B48" t="s">
        <v>3030</v>
      </c>
    </row>
    <row r="49" spans="1:2" x14ac:dyDescent="0.35">
      <c r="A49">
        <v>7269</v>
      </c>
      <c r="B49" t="s">
        <v>3030</v>
      </c>
    </row>
    <row r="50" spans="1:2" x14ac:dyDescent="0.35">
      <c r="A50">
        <v>7364</v>
      </c>
      <c r="B50" t="s">
        <v>3030</v>
      </c>
    </row>
    <row r="51" spans="1:2" x14ac:dyDescent="0.35">
      <c r="A51">
        <v>7521</v>
      </c>
      <c r="B51" t="s">
        <v>3030</v>
      </c>
    </row>
    <row r="52" spans="1:2" x14ac:dyDescent="0.35">
      <c r="A52">
        <v>7744</v>
      </c>
      <c r="B52" t="s">
        <v>3030</v>
      </c>
    </row>
    <row r="53" spans="1:2" x14ac:dyDescent="0.35">
      <c r="A53">
        <v>7812</v>
      </c>
      <c r="B53" t="s">
        <v>3030</v>
      </c>
    </row>
    <row r="54" spans="1:2" x14ac:dyDescent="0.35">
      <c r="A54">
        <v>7815</v>
      </c>
      <c r="B54" t="s">
        <v>3030</v>
      </c>
    </row>
    <row r="55" spans="1:2" x14ac:dyDescent="0.35">
      <c r="A55">
        <v>7841</v>
      </c>
      <c r="B55" t="s">
        <v>3030</v>
      </c>
    </row>
    <row r="56" spans="1:2" x14ac:dyDescent="0.35">
      <c r="A56">
        <v>7845</v>
      </c>
      <c r="B56" t="s">
        <v>3030</v>
      </c>
    </row>
    <row r="57" spans="1:2" x14ac:dyDescent="0.35">
      <c r="A57">
        <v>8034</v>
      </c>
      <c r="B57" t="s">
        <v>3030</v>
      </c>
    </row>
    <row r="58" spans="1:2" x14ac:dyDescent="0.35">
      <c r="A58">
        <v>8133</v>
      </c>
      <c r="B58" t="s">
        <v>3030</v>
      </c>
    </row>
    <row r="59" spans="1:2" x14ac:dyDescent="0.35">
      <c r="A59">
        <v>8292</v>
      </c>
      <c r="B59" t="s">
        <v>3030</v>
      </c>
    </row>
    <row r="60" spans="1:2" x14ac:dyDescent="0.35">
      <c r="A60">
        <v>8293</v>
      </c>
      <c r="B60" t="s">
        <v>3030</v>
      </c>
    </row>
    <row r="61" spans="1:2" x14ac:dyDescent="0.35">
      <c r="A61">
        <v>8353</v>
      </c>
      <c r="B61" t="s">
        <v>3030</v>
      </c>
    </row>
    <row r="62" spans="1:2" x14ac:dyDescent="0.35">
      <c r="A62">
        <v>8961</v>
      </c>
      <c r="B62" t="s">
        <v>3030</v>
      </c>
    </row>
    <row r="63" spans="1:2" x14ac:dyDescent="0.35">
      <c r="A63">
        <v>9027</v>
      </c>
      <c r="B63" t="s">
        <v>3030</v>
      </c>
    </row>
    <row r="64" spans="1:2" x14ac:dyDescent="0.35">
      <c r="A64">
        <v>9093</v>
      </c>
      <c r="B64" t="s">
        <v>3030</v>
      </c>
    </row>
    <row r="65" spans="1:2" x14ac:dyDescent="0.35">
      <c r="A65">
        <v>9152</v>
      </c>
      <c r="B65" t="s">
        <v>3030</v>
      </c>
    </row>
    <row r="66" spans="1:2" x14ac:dyDescent="0.35">
      <c r="A66">
        <v>9219</v>
      </c>
      <c r="B66" t="s">
        <v>3030</v>
      </c>
    </row>
    <row r="67" spans="1:2" x14ac:dyDescent="0.35">
      <c r="A67">
        <v>9472</v>
      </c>
      <c r="B67" t="s">
        <v>3030</v>
      </c>
    </row>
    <row r="68" spans="1:2" x14ac:dyDescent="0.35">
      <c r="A68">
        <v>9574</v>
      </c>
      <c r="B68" t="s">
        <v>3030</v>
      </c>
    </row>
    <row r="69" spans="1:2" x14ac:dyDescent="0.35">
      <c r="A69">
        <v>9696</v>
      </c>
      <c r="B69" t="s">
        <v>3030</v>
      </c>
    </row>
    <row r="70" spans="1:2" x14ac:dyDescent="0.35">
      <c r="A70">
        <v>9701</v>
      </c>
      <c r="B70" t="s">
        <v>3030</v>
      </c>
    </row>
    <row r="71" spans="1:2" x14ac:dyDescent="0.35">
      <c r="A71">
        <v>9762</v>
      </c>
      <c r="B71" t="s">
        <v>3030</v>
      </c>
    </row>
    <row r="72" spans="1:2" x14ac:dyDescent="0.35">
      <c r="A72">
        <v>9829</v>
      </c>
      <c r="B72" t="s">
        <v>3030</v>
      </c>
    </row>
    <row r="73" spans="1:2" x14ac:dyDescent="0.35">
      <c r="A73">
        <v>9895</v>
      </c>
      <c r="B73" t="s">
        <v>3030</v>
      </c>
    </row>
    <row r="74" spans="1:2" x14ac:dyDescent="0.35">
      <c r="A74">
        <v>9923</v>
      </c>
      <c r="B74" t="s">
        <v>3030</v>
      </c>
    </row>
    <row r="75" spans="1:2" x14ac:dyDescent="0.35">
      <c r="A75">
        <v>9927</v>
      </c>
      <c r="B75" t="s">
        <v>3030</v>
      </c>
    </row>
    <row r="76" spans="1:2" x14ac:dyDescent="0.35">
      <c r="A76">
        <v>10054</v>
      </c>
      <c r="B76" t="s">
        <v>3030</v>
      </c>
    </row>
    <row r="77" spans="1:2" x14ac:dyDescent="0.35">
      <c r="A77">
        <v>10183</v>
      </c>
      <c r="B77" t="s">
        <v>3030</v>
      </c>
    </row>
    <row r="78" spans="1:2" x14ac:dyDescent="0.35">
      <c r="A78">
        <v>10498</v>
      </c>
      <c r="B78" t="s">
        <v>3030</v>
      </c>
    </row>
    <row r="79" spans="1:2" x14ac:dyDescent="0.35">
      <c r="A79">
        <v>10662</v>
      </c>
      <c r="B79" t="s">
        <v>3030</v>
      </c>
    </row>
    <row r="80" spans="1:2" x14ac:dyDescent="0.35">
      <c r="A80">
        <v>10917</v>
      </c>
      <c r="B80" t="s">
        <v>3030</v>
      </c>
    </row>
    <row r="81" spans="1:2" x14ac:dyDescent="0.35">
      <c r="A81">
        <v>11271</v>
      </c>
      <c r="B81" t="s">
        <v>3030</v>
      </c>
    </row>
    <row r="82" spans="1:2" x14ac:dyDescent="0.35">
      <c r="A82">
        <v>11396</v>
      </c>
      <c r="B82" t="s">
        <v>3030</v>
      </c>
    </row>
    <row r="83" spans="1:2" x14ac:dyDescent="0.35">
      <c r="A83">
        <v>11425</v>
      </c>
      <c r="B83" t="s">
        <v>3030</v>
      </c>
    </row>
    <row r="84" spans="1:2" x14ac:dyDescent="0.35">
      <c r="A84">
        <v>11426</v>
      </c>
      <c r="B84" t="s">
        <v>3030</v>
      </c>
    </row>
    <row r="85" spans="1:2" x14ac:dyDescent="0.35">
      <c r="A85">
        <v>11648</v>
      </c>
      <c r="B85" t="s">
        <v>3030</v>
      </c>
    </row>
    <row r="86" spans="1:2" x14ac:dyDescent="0.35">
      <c r="A86">
        <v>11652</v>
      </c>
      <c r="B86" t="s">
        <v>3030</v>
      </c>
    </row>
    <row r="87" spans="1:2" x14ac:dyDescent="0.35">
      <c r="A87">
        <v>11682</v>
      </c>
      <c r="B87" t="s">
        <v>3030</v>
      </c>
    </row>
    <row r="88" spans="1:2" x14ac:dyDescent="0.35">
      <c r="A88">
        <v>11748</v>
      </c>
      <c r="B88" t="s">
        <v>3030</v>
      </c>
    </row>
    <row r="89" spans="1:2" x14ac:dyDescent="0.35">
      <c r="A89">
        <v>11909</v>
      </c>
      <c r="B89" t="s">
        <v>3030</v>
      </c>
    </row>
    <row r="90" spans="1:2" x14ac:dyDescent="0.35">
      <c r="A90">
        <v>11911</v>
      </c>
      <c r="B90" t="s">
        <v>3030</v>
      </c>
    </row>
    <row r="91" spans="1:2" x14ac:dyDescent="0.35">
      <c r="A91">
        <v>12005</v>
      </c>
      <c r="B91" t="s">
        <v>3030</v>
      </c>
    </row>
    <row r="92" spans="1:2" x14ac:dyDescent="0.35">
      <c r="A92">
        <v>12067</v>
      </c>
      <c r="B92" t="s">
        <v>3030</v>
      </c>
    </row>
    <row r="93" spans="1:2" x14ac:dyDescent="0.35">
      <c r="A93">
        <v>12096</v>
      </c>
      <c r="B93" t="s">
        <v>3030</v>
      </c>
    </row>
    <row r="94" spans="1:2" x14ac:dyDescent="0.35">
      <c r="A94">
        <v>12262</v>
      </c>
      <c r="B94" t="s">
        <v>3030</v>
      </c>
    </row>
    <row r="95" spans="1:2" x14ac:dyDescent="0.35">
      <c r="A95">
        <v>12263</v>
      </c>
      <c r="B95" t="s">
        <v>3030</v>
      </c>
    </row>
    <row r="96" spans="1:2" x14ac:dyDescent="0.35">
      <c r="A96">
        <v>12389</v>
      </c>
      <c r="B96" t="s">
        <v>3030</v>
      </c>
    </row>
    <row r="97" spans="1:2" x14ac:dyDescent="0.35">
      <c r="A97">
        <v>12451</v>
      </c>
      <c r="B97" t="s">
        <v>3030</v>
      </c>
    </row>
    <row r="98" spans="1:2" x14ac:dyDescent="0.35">
      <c r="A98">
        <v>12483</v>
      </c>
      <c r="B98" t="s">
        <v>3030</v>
      </c>
    </row>
    <row r="99" spans="1:2" x14ac:dyDescent="0.35">
      <c r="A99">
        <v>12580</v>
      </c>
      <c r="B99" t="s">
        <v>3030</v>
      </c>
    </row>
    <row r="100" spans="1:2" x14ac:dyDescent="0.35">
      <c r="A100">
        <v>12613</v>
      </c>
      <c r="B100" t="s">
        <v>3030</v>
      </c>
    </row>
    <row r="101" spans="1:2" x14ac:dyDescent="0.35">
      <c r="A101">
        <v>12704</v>
      </c>
      <c r="B101" t="s">
        <v>3030</v>
      </c>
    </row>
    <row r="102" spans="1:2" x14ac:dyDescent="0.35">
      <c r="A102">
        <v>12706</v>
      </c>
      <c r="B102" t="s">
        <v>3030</v>
      </c>
    </row>
    <row r="103" spans="1:2" x14ac:dyDescent="0.35">
      <c r="A103">
        <v>12710</v>
      </c>
      <c r="B103" t="s">
        <v>3030</v>
      </c>
    </row>
    <row r="104" spans="1:2" x14ac:dyDescent="0.35">
      <c r="A104">
        <v>12806</v>
      </c>
      <c r="B104" t="s">
        <v>3030</v>
      </c>
    </row>
    <row r="105" spans="1:2" x14ac:dyDescent="0.35">
      <c r="A105">
        <v>12900</v>
      </c>
      <c r="B105" t="s">
        <v>3030</v>
      </c>
    </row>
    <row r="106" spans="1:2" x14ac:dyDescent="0.35">
      <c r="A106">
        <v>12903</v>
      </c>
      <c r="B106" t="s">
        <v>3030</v>
      </c>
    </row>
    <row r="107" spans="1:2" x14ac:dyDescent="0.35">
      <c r="A107">
        <v>13091</v>
      </c>
      <c r="B107" t="s">
        <v>3030</v>
      </c>
    </row>
    <row r="108" spans="1:2" x14ac:dyDescent="0.35">
      <c r="A108">
        <v>13158</v>
      </c>
      <c r="B108" t="s">
        <v>3030</v>
      </c>
    </row>
    <row r="109" spans="1:2" x14ac:dyDescent="0.35">
      <c r="A109">
        <v>13218</v>
      </c>
      <c r="B109" t="s">
        <v>3030</v>
      </c>
    </row>
    <row r="110" spans="1:2" x14ac:dyDescent="0.35">
      <c r="A110">
        <v>13284</v>
      </c>
      <c r="B110" t="s">
        <v>3030</v>
      </c>
    </row>
    <row r="111" spans="1:2" x14ac:dyDescent="0.35">
      <c r="A111">
        <v>13410</v>
      </c>
      <c r="B111" t="s">
        <v>3030</v>
      </c>
    </row>
    <row r="112" spans="1:2" x14ac:dyDescent="0.35">
      <c r="A112">
        <v>13444</v>
      </c>
      <c r="B112" t="s">
        <v>3030</v>
      </c>
    </row>
    <row r="113" spans="1:2" x14ac:dyDescent="0.35">
      <c r="A113">
        <v>13638</v>
      </c>
      <c r="B113" t="s">
        <v>3030</v>
      </c>
    </row>
    <row r="114" spans="1:2" x14ac:dyDescent="0.35">
      <c r="A114">
        <v>13729</v>
      </c>
      <c r="B114" t="s">
        <v>3030</v>
      </c>
    </row>
    <row r="115" spans="1:2" x14ac:dyDescent="0.35">
      <c r="A115">
        <v>13765</v>
      </c>
      <c r="B115" t="s">
        <v>3030</v>
      </c>
    </row>
    <row r="116" spans="1:2" x14ac:dyDescent="0.35">
      <c r="A116">
        <v>13959</v>
      </c>
      <c r="B116" t="s">
        <v>3030</v>
      </c>
    </row>
    <row r="117" spans="1:2" x14ac:dyDescent="0.35">
      <c r="A117">
        <v>13984</v>
      </c>
      <c r="B117" t="s">
        <v>3030</v>
      </c>
    </row>
    <row r="118" spans="1:2" x14ac:dyDescent="0.35">
      <c r="A118">
        <v>13986</v>
      </c>
      <c r="B118" t="s">
        <v>3030</v>
      </c>
    </row>
    <row r="119" spans="1:2" x14ac:dyDescent="0.35">
      <c r="A119">
        <v>14176</v>
      </c>
      <c r="B119" t="s">
        <v>3030</v>
      </c>
    </row>
    <row r="120" spans="1:2" x14ac:dyDescent="0.35">
      <c r="A120">
        <v>14242</v>
      </c>
      <c r="B120" t="s">
        <v>3030</v>
      </c>
    </row>
    <row r="121" spans="1:2" x14ac:dyDescent="0.35">
      <c r="A121">
        <v>14406</v>
      </c>
      <c r="B121" t="s">
        <v>3030</v>
      </c>
    </row>
    <row r="122" spans="1:2" x14ac:dyDescent="0.35">
      <c r="A122">
        <v>14497</v>
      </c>
      <c r="B122" t="s">
        <v>3030</v>
      </c>
    </row>
    <row r="123" spans="1:2" x14ac:dyDescent="0.35">
      <c r="A123">
        <v>14528</v>
      </c>
      <c r="B123" t="s">
        <v>3030</v>
      </c>
    </row>
    <row r="124" spans="1:2" x14ac:dyDescent="0.35">
      <c r="A124">
        <v>14534</v>
      </c>
      <c r="B124" t="s">
        <v>3030</v>
      </c>
    </row>
    <row r="125" spans="1:2" x14ac:dyDescent="0.35">
      <c r="A125">
        <v>14820</v>
      </c>
      <c r="B125" t="s">
        <v>3030</v>
      </c>
    </row>
    <row r="126" spans="1:2" x14ac:dyDescent="0.35">
      <c r="A126">
        <v>14951</v>
      </c>
      <c r="B126" t="s">
        <v>3030</v>
      </c>
    </row>
    <row r="127" spans="1:2" x14ac:dyDescent="0.35">
      <c r="A127">
        <v>15009</v>
      </c>
      <c r="B127" t="s">
        <v>3030</v>
      </c>
    </row>
    <row r="128" spans="1:2" x14ac:dyDescent="0.35">
      <c r="A128">
        <v>15106</v>
      </c>
      <c r="B128" t="s">
        <v>3030</v>
      </c>
    </row>
    <row r="129" spans="1:2" x14ac:dyDescent="0.35">
      <c r="A129">
        <v>15202</v>
      </c>
      <c r="B129" t="s">
        <v>3030</v>
      </c>
    </row>
    <row r="130" spans="1:2" x14ac:dyDescent="0.35">
      <c r="A130">
        <v>15206</v>
      </c>
      <c r="B130" t="s">
        <v>3030</v>
      </c>
    </row>
    <row r="131" spans="1:2" x14ac:dyDescent="0.35">
      <c r="A131">
        <v>15303</v>
      </c>
      <c r="B131" t="s">
        <v>3030</v>
      </c>
    </row>
    <row r="132" spans="1:2" x14ac:dyDescent="0.35">
      <c r="A132">
        <v>15712</v>
      </c>
      <c r="B132" t="s">
        <v>3030</v>
      </c>
    </row>
    <row r="133" spans="1:2" x14ac:dyDescent="0.35">
      <c r="A133">
        <v>15718</v>
      </c>
      <c r="B133" t="s">
        <v>3030</v>
      </c>
    </row>
    <row r="134" spans="1:2" x14ac:dyDescent="0.35">
      <c r="A134">
        <v>15778</v>
      </c>
      <c r="B134" t="s">
        <v>3030</v>
      </c>
    </row>
    <row r="135" spans="1:2" x14ac:dyDescent="0.35">
      <c r="A135">
        <v>15872</v>
      </c>
      <c r="B135" t="s">
        <v>3030</v>
      </c>
    </row>
    <row r="136" spans="1:2" x14ac:dyDescent="0.35">
      <c r="A136">
        <v>15904</v>
      </c>
      <c r="B136" t="s">
        <v>3030</v>
      </c>
    </row>
    <row r="137" spans="1:2" x14ac:dyDescent="0.35">
      <c r="A137">
        <v>16134</v>
      </c>
      <c r="B137" t="s">
        <v>3030</v>
      </c>
    </row>
    <row r="138" spans="1:2" x14ac:dyDescent="0.35">
      <c r="A138">
        <v>16582</v>
      </c>
      <c r="B138" t="s">
        <v>3030</v>
      </c>
    </row>
    <row r="139" spans="1:2" x14ac:dyDescent="0.35">
      <c r="A139">
        <v>16641</v>
      </c>
      <c r="B139" t="s">
        <v>3030</v>
      </c>
    </row>
    <row r="140" spans="1:2" x14ac:dyDescent="0.35">
      <c r="A140">
        <v>16679</v>
      </c>
      <c r="B140" t="s">
        <v>3030</v>
      </c>
    </row>
    <row r="141" spans="1:2" x14ac:dyDescent="0.35">
      <c r="A141">
        <v>16864</v>
      </c>
      <c r="B141" t="s">
        <v>3030</v>
      </c>
    </row>
    <row r="142" spans="1:2" x14ac:dyDescent="0.35">
      <c r="A142">
        <v>16961</v>
      </c>
      <c r="B142" t="s">
        <v>3030</v>
      </c>
    </row>
    <row r="143" spans="1:2" x14ac:dyDescent="0.35">
      <c r="A143">
        <v>17058</v>
      </c>
      <c r="B143" t="s">
        <v>3030</v>
      </c>
    </row>
    <row r="144" spans="1:2" x14ac:dyDescent="0.35">
      <c r="A144">
        <v>17155</v>
      </c>
      <c r="B144" t="s">
        <v>3030</v>
      </c>
    </row>
    <row r="145" spans="1:2" x14ac:dyDescent="0.35">
      <c r="A145">
        <v>17255</v>
      </c>
      <c r="B145" t="s">
        <v>3030</v>
      </c>
    </row>
    <row r="146" spans="1:2" x14ac:dyDescent="0.35">
      <c r="A146">
        <v>17282</v>
      </c>
      <c r="B146" t="s">
        <v>3030</v>
      </c>
    </row>
    <row r="147" spans="1:2" x14ac:dyDescent="0.35">
      <c r="A147">
        <v>17313</v>
      </c>
      <c r="B147" t="s">
        <v>3030</v>
      </c>
    </row>
    <row r="148" spans="1:2" x14ac:dyDescent="0.35">
      <c r="A148">
        <v>17508</v>
      </c>
      <c r="B148" t="s">
        <v>3030</v>
      </c>
    </row>
    <row r="149" spans="1:2" x14ac:dyDescent="0.35">
      <c r="A149">
        <v>17668</v>
      </c>
      <c r="B149" t="s">
        <v>3030</v>
      </c>
    </row>
    <row r="150" spans="1:2" x14ac:dyDescent="0.35">
      <c r="A150">
        <v>17858</v>
      </c>
      <c r="B150" t="s">
        <v>3030</v>
      </c>
    </row>
    <row r="151" spans="1:2" x14ac:dyDescent="0.35">
      <c r="A151">
        <v>17985</v>
      </c>
      <c r="B151" t="s">
        <v>3030</v>
      </c>
    </row>
    <row r="152" spans="1:2" x14ac:dyDescent="0.35">
      <c r="A152">
        <v>17988</v>
      </c>
      <c r="B152" t="s">
        <v>3030</v>
      </c>
    </row>
    <row r="153" spans="1:2" x14ac:dyDescent="0.35">
      <c r="A153">
        <v>18119</v>
      </c>
      <c r="B153" t="s">
        <v>3030</v>
      </c>
    </row>
    <row r="154" spans="1:2" x14ac:dyDescent="0.35">
      <c r="A154">
        <v>18215</v>
      </c>
      <c r="B154" t="s">
        <v>3030</v>
      </c>
    </row>
    <row r="155" spans="1:2" x14ac:dyDescent="0.35">
      <c r="A155">
        <v>18336</v>
      </c>
      <c r="B155" t="s">
        <v>3030</v>
      </c>
    </row>
    <row r="156" spans="1:2" x14ac:dyDescent="0.35">
      <c r="A156">
        <v>18496</v>
      </c>
      <c r="B156" t="s">
        <v>3030</v>
      </c>
    </row>
    <row r="157" spans="1:2" x14ac:dyDescent="0.35">
      <c r="A157">
        <v>18533</v>
      </c>
      <c r="B157" t="s">
        <v>3030</v>
      </c>
    </row>
    <row r="158" spans="1:2" x14ac:dyDescent="0.35">
      <c r="A158">
        <v>18593</v>
      </c>
      <c r="B158" t="s">
        <v>3030</v>
      </c>
    </row>
    <row r="159" spans="1:2" x14ac:dyDescent="0.35">
      <c r="A159">
        <v>18661</v>
      </c>
      <c r="B159" t="s">
        <v>3030</v>
      </c>
    </row>
    <row r="160" spans="1:2" x14ac:dyDescent="0.35">
      <c r="A160">
        <v>18689</v>
      </c>
      <c r="B160" t="s">
        <v>3030</v>
      </c>
    </row>
    <row r="161" spans="1:2" x14ac:dyDescent="0.35">
      <c r="A161">
        <v>18753</v>
      </c>
      <c r="B161" t="s">
        <v>3030</v>
      </c>
    </row>
    <row r="162" spans="1:2" x14ac:dyDescent="0.35">
      <c r="A162">
        <v>18822</v>
      </c>
      <c r="B162" t="s">
        <v>3030</v>
      </c>
    </row>
    <row r="163" spans="1:2" x14ac:dyDescent="0.35">
      <c r="A163">
        <v>18919</v>
      </c>
      <c r="B163" t="s">
        <v>3030</v>
      </c>
    </row>
    <row r="164" spans="1:2" x14ac:dyDescent="0.35">
      <c r="A164">
        <v>19010</v>
      </c>
      <c r="B164" t="s">
        <v>3030</v>
      </c>
    </row>
    <row r="165" spans="1:2" x14ac:dyDescent="0.35">
      <c r="A165">
        <v>19078</v>
      </c>
      <c r="B165" t="s">
        <v>3030</v>
      </c>
    </row>
    <row r="166" spans="1:2" x14ac:dyDescent="0.35">
      <c r="A166">
        <v>19138</v>
      </c>
      <c r="B166" t="s">
        <v>3030</v>
      </c>
    </row>
    <row r="167" spans="1:2" x14ac:dyDescent="0.35">
      <c r="A167">
        <v>19523</v>
      </c>
      <c r="B167" t="s">
        <v>3030</v>
      </c>
    </row>
    <row r="168" spans="1:2" x14ac:dyDescent="0.35">
      <c r="A168">
        <v>19616</v>
      </c>
      <c r="B168" t="s">
        <v>3030</v>
      </c>
    </row>
    <row r="169" spans="1:2" x14ac:dyDescent="0.35">
      <c r="A169">
        <v>19718</v>
      </c>
      <c r="B169" t="s">
        <v>3030</v>
      </c>
    </row>
    <row r="170" spans="1:2" x14ac:dyDescent="0.35">
      <c r="A170">
        <v>20036</v>
      </c>
      <c r="B170" t="s">
        <v>3030</v>
      </c>
    </row>
    <row r="171" spans="1:2" x14ac:dyDescent="0.35">
      <c r="A171">
        <v>20134</v>
      </c>
      <c r="B171" t="s">
        <v>3030</v>
      </c>
    </row>
    <row r="172" spans="1:2" x14ac:dyDescent="0.35">
      <c r="A172">
        <v>20389</v>
      </c>
      <c r="B172" t="s">
        <v>3030</v>
      </c>
    </row>
    <row r="173" spans="1:2" x14ac:dyDescent="0.35">
      <c r="A173">
        <v>20453</v>
      </c>
      <c r="B173" t="s">
        <v>3030</v>
      </c>
    </row>
    <row r="174" spans="1:2" x14ac:dyDescent="0.35">
      <c r="A174">
        <v>20480</v>
      </c>
      <c r="B174" t="s">
        <v>3030</v>
      </c>
    </row>
    <row r="175" spans="1:2" x14ac:dyDescent="0.35">
      <c r="A175">
        <v>20486</v>
      </c>
      <c r="B175" t="s">
        <v>3030</v>
      </c>
    </row>
    <row r="176" spans="1:2" x14ac:dyDescent="0.35">
      <c r="A176">
        <v>20704</v>
      </c>
      <c r="B176" t="s">
        <v>3030</v>
      </c>
    </row>
    <row r="177" spans="1:2" x14ac:dyDescent="0.35">
      <c r="A177">
        <v>20743</v>
      </c>
      <c r="B177" t="s">
        <v>3030</v>
      </c>
    </row>
    <row r="178" spans="1:2" x14ac:dyDescent="0.35">
      <c r="A178">
        <v>20864</v>
      </c>
      <c r="B178" t="s">
        <v>3030</v>
      </c>
    </row>
    <row r="179" spans="1:2" x14ac:dyDescent="0.35">
      <c r="A179">
        <v>20899</v>
      </c>
      <c r="B179" t="s">
        <v>3030</v>
      </c>
    </row>
    <row r="180" spans="1:2" x14ac:dyDescent="0.35">
      <c r="A180">
        <v>20934</v>
      </c>
      <c r="B180" t="s">
        <v>3030</v>
      </c>
    </row>
    <row r="181" spans="1:2" x14ac:dyDescent="0.35">
      <c r="A181">
        <v>21222</v>
      </c>
      <c r="B181" t="s">
        <v>3030</v>
      </c>
    </row>
    <row r="182" spans="1:2" x14ac:dyDescent="0.35">
      <c r="A182">
        <v>21286</v>
      </c>
      <c r="B182" t="s">
        <v>3030</v>
      </c>
    </row>
    <row r="183" spans="1:2" x14ac:dyDescent="0.35">
      <c r="A183">
        <v>21346</v>
      </c>
      <c r="B183" t="s">
        <v>3030</v>
      </c>
    </row>
    <row r="184" spans="1:2" x14ac:dyDescent="0.35">
      <c r="A184">
        <v>21383</v>
      </c>
      <c r="B184" t="s">
        <v>3030</v>
      </c>
    </row>
    <row r="185" spans="1:2" x14ac:dyDescent="0.35">
      <c r="A185">
        <v>21729</v>
      </c>
      <c r="B185" t="s">
        <v>3030</v>
      </c>
    </row>
    <row r="186" spans="1:2" x14ac:dyDescent="0.35">
      <c r="A186">
        <v>21824</v>
      </c>
      <c r="B186" t="s">
        <v>3030</v>
      </c>
    </row>
    <row r="187" spans="1:2" x14ac:dyDescent="0.35">
      <c r="A187">
        <v>21890</v>
      </c>
      <c r="B187" t="s">
        <v>3030</v>
      </c>
    </row>
    <row r="188" spans="1:2" x14ac:dyDescent="0.35">
      <c r="A188">
        <v>22181</v>
      </c>
      <c r="B188" t="s">
        <v>3030</v>
      </c>
    </row>
    <row r="189" spans="1:2" x14ac:dyDescent="0.35">
      <c r="A189">
        <v>22402</v>
      </c>
      <c r="B189" t="s">
        <v>3030</v>
      </c>
    </row>
    <row r="190" spans="1:2" x14ac:dyDescent="0.35">
      <c r="A190">
        <v>22627</v>
      </c>
      <c r="B190" t="s">
        <v>3030</v>
      </c>
    </row>
    <row r="191" spans="1:2" x14ac:dyDescent="0.35">
      <c r="A191">
        <v>22656</v>
      </c>
      <c r="B191" t="s">
        <v>3030</v>
      </c>
    </row>
    <row r="192" spans="1:2" x14ac:dyDescent="0.35">
      <c r="A192">
        <v>22661</v>
      </c>
      <c r="B192" t="s">
        <v>3030</v>
      </c>
    </row>
    <row r="193" spans="1:2" x14ac:dyDescent="0.35">
      <c r="A193">
        <v>22787</v>
      </c>
      <c r="B193" t="s">
        <v>3030</v>
      </c>
    </row>
    <row r="194" spans="1:2" x14ac:dyDescent="0.35">
      <c r="A194">
        <v>22820</v>
      </c>
      <c r="B194" t="s">
        <v>3030</v>
      </c>
    </row>
    <row r="195" spans="1:2" x14ac:dyDescent="0.35">
      <c r="A195">
        <v>22947</v>
      </c>
      <c r="B195" t="s">
        <v>3030</v>
      </c>
    </row>
    <row r="196" spans="1:2" x14ac:dyDescent="0.35">
      <c r="A196">
        <v>22950</v>
      </c>
      <c r="B196" t="s">
        <v>3030</v>
      </c>
    </row>
    <row r="197" spans="1:2" x14ac:dyDescent="0.35">
      <c r="A197">
        <v>23076</v>
      </c>
      <c r="B197" t="s">
        <v>3030</v>
      </c>
    </row>
    <row r="198" spans="1:2" x14ac:dyDescent="0.35">
      <c r="A198">
        <v>23168</v>
      </c>
      <c r="B198" t="s">
        <v>3030</v>
      </c>
    </row>
    <row r="199" spans="1:2" x14ac:dyDescent="0.35">
      <c r="A199">
        <v>23488</v>
      </c>
      <c r="B199" t="s">
        <v>3030</v>
      </c>
    </row>
    <row r="200" spans="1:2" x14ac:dyDescent="0.35">
      <c r="A200">
        <v>23557</v>
      </c>
      <c r="B200" t="s">
        <v>3030</v>
      </c>
    </row>
    <row r="201" spans="1:2" x14ac:dyDescent="0.35">
      <c r="A201">
        <v>23559</v>
      </c>
      <c r="B201" t="s">
        <v>3030</v>
      </c>
    </row>
    <row r="202" spans="1:2" x14ac:dyDescent="0.35">
      <c r="A202">
        <v>23616</v>
      </c>
      <c r="B202" t="s">
        <v>3030</v>
      </c>
    </row>
    <row r="203" spans="1:2" x14ac:dyDescent="0.35">
      <c r="A203">
        <v>23619</v>
      </c>
      <c r="B203" t="s">
        <v>3030</v>
      </c>
    </row>
    <row r="204" spans="1:2" x14ac:dyDescent="0.35">
      <c r="A204">
        <v>23748</v>
      </c>
      <c r="B204" t="s">
        <v>3030</v>
      </c>
    </row>
    <row r="205" spans="1:2" x14ac:dyDescent="0.35">
      <c r="A205">
        <v>24066</v>
      </c>
      <c r="B205" t="s">
        <v>3030</v>
      </c>
    </row>
    <row r="206" spans="1:2" x14ac:dyDescent="0.35">
      <c r="A206">
        <v>24519</v>
      </c>
      <c r="B206" t="s">
        <v>3030</v>
      </c>
    </row>
    <row r="207" spans="1:2" x14ac:dyDescent="0.35">
      <c r="A207">
        <v>24707</v>
      </c>
      <c r="B207" t="s">
        <v>3030</v>
      </c>
    </row>
    <row r="208" spans="1:2" x14ac:dyDescent="0.35">
      <c r="A208">
        <v>24902</v>
      </c>
      <c r="B208" t="s">
        <v>3030</v>
      </c>
    </row>
    <row r="209" spans="1:2" x14ac:dyDescent="0.35">
      <c r="A209">
        <v>25095</v>
      </c>
      <c r="B209" t="s">
        <v>3030</v>
      </c>
    </row>
    <row r="210" spans="1:2" x14ac:dyDescent="0.35">
      <c r="A210">
        <v>25152</v>
      </c>
      <c r="B210" t="s">
        <v>3030</v>
      </c>
    </row>
    <row r="211" spans="1:2" x14ac:dyDescent="0.35">
      <c r="A211">
        <v>25157</v>
      </c>
      <c r="B211" t="s">
        <v>3030</v>
      </c>
    </row>
    <row r="212" spans="1:2" x14ac:dyDescent="0.35">
      <c r="A212">
        <v>25478</v>
      </c>
      <c r="B212" t="s">
        <v>3030</v>
      </c>
    </row>
    <row r="213" spans="1:2" x14ac:dyDescent="0.35">
      <c r="A213">
        <v>25479</v>
      </c>
      <c r="B213" t="s">
        <v>3030</v>
      </c>
    </row>
    <row r="214" spans="1:2" x14ac:dyDescent="0.35">
      <c r="A214">
        <v>25735</v>
      </c>
      <c r="B214" t="s">
        <v>3030</v>
      </c>
    </row>
    <row r="215" spans="1:2" x14ac:dyDescent="0.35">
      <c r="A215">
        <v>25799</v>
      </c>
      <c r="B215" t="s">
        <v>3030</v>
      </c>
    </row>
    <row r="216" spans="1:2" x14ac:dyDescent="0.35">
      <c r="A216">
        <v>25828</v>
      </c>
      <c r="B216" t="s">
        <v>3030</v>
      </c>
    </row>
    <row r="217" spans="1:2" x14ac:dyDescent="0.35">
      <c r="A217">
        <v>25952</v>
      </c>
      <c r="B217" t="s">
        <v>3030</v>
      </c>
    </row>
    <row r="218" spans="1:2" x14ac:dyDescent="0.35">
      <c r="A218">
        <v>26240</v>
      </c>
      <c r="B218" t="s">
        <v>3030</v>
      </c>
    </row>
    <row r="219" spans="1:2" x14ac:dyDescent="0.35">
      <c r="A219">
        <v>26372</v>
      </c>
      <c r="B219" t="s">
        <v>3030</v>
      </c>
    </row>
    <row r="220" spans="1:2" x14ac:dyDescent="0.35">
      <c r="A220">
        <v>26784</v>
      </c>
      <c r="B220" t="s">
        <v>3030</v>
      </c>
    </row>
    <row r="221" spans="1:2" x14ac:dyDescent="0.35">
      <c r="A221">
        <v>26852</v>
      </c>
      <c r="B221" t="s">
        <v>3030</v>
      </c>
    </row>
    <row r="222" spans="1:2" x14ac:dyDescent="0.35">
      <c r="A222">
        <v>26881</v>
      </c>
      <c r="B222" t="s">
        <v>3030</v>
      </c>
    </row>
    <row r="223" spans="1:2" x14ac:dyDescent="0.35">
      <c r="A223">
        <v>26982</v>
      </c>
      <c r="B223" t="s">
        <v>3030</v>
      </c>
    </row>
    <row r="224" spans="1:2" x14ac:dyDescent="0.35">
      <c r="A224">
        <v>27137</v>
      </c>
      <c r="B224" t="s">
        <v>3030</v>
      </c>
    </row>
    <row r="225" spans="1:2" x14ac:dyDescent="0.35">
      <c r="A225">
        <v>27490</v>
      </c>
      <c r="B225" t="s">
        <v>3030</v>
      </c>
    </row>
    <row r="226" spans="1:2" x14ac:dyDescent="0.35">
      <c r="A226">
        <v>27712</v>
      </c>
      <c r="B226" t="s">
        <v>3030</v>
      </c>
    </row>
    <row r="227" spans="1:2" x14ac:dyDescent="0.35">
      <c r="A227">
        <v>27744</v>
      </c>
      <c r="B227" t="s">
        <v>3030</v>
      </c>
    </row>
    <row r="228" spans="1:2" x14ac:dyDescent="0.35">
      <c r="A228">
        <v>27750</v>
      </c>
      <c r="B228" t="s">
        <v>3030</v>
      </c>
    </row>
    <row r="229" spans="1:2" x14ac:dyDescent="0.35">
      <c r="A229">
        <v>28003</v>
      </c>
      <c r="B229" t="s">
        <v>3030</v>
      </c>
    </row>
    <row r="230" spans="1:2" x14ac:dyDescent="0.35">
      <c r="A230">
        <v>28037</v>
      </c>
      <c r="B230" t="s">
        <v>3030</v>
      </c>
    </row>
    <row r="231" spans="1:2" x14ac:dyDescent="0.35">
      <c r="A231">
        <v>28291</v>
      </c>
      <c r="B231" t="s">
        <v>3030</v>
      </c>
    </row>
    <row r="232" spans="1:2" x14ac:dyDescent="0.35">
      <c r="A232">
        <v>28387</v>
      </c>
      <c r="B232" t="s">
        <v>3030</v>
      </c>
    </row>
    <row r="233" spans="1:2" x14ac:dyDescent="0.35">
      <c r="A233">
        <v>28419</v>
      </c>
      <c r="B233" t="s">
        <v>3030</v>
      </c>
    </row>
    <row r="234" spans="1:2" x14ac:dyDescent="0.35">
      <c r="A234">
        <v>28455</v>
      </c>
      <c r="B234" t="s">
        <v>3030</v>
      </c>
    </row>
    <row r="235" spans="1:2" x14ac:dyDescent="0.35">
      <c r="A235">
        <v>28544</v>
      </c>
      <c r="B235" t="s">
        <v>3030</v>
      </c>
    </row>
    <row r="236" spans="1:2" x14ac:dyDescent="0.35">
      <c r="A236">
        <v>28928</v>
      </c>
      <c r="B236" t="s">
        <v>3030</v>
      </c>
    </row>
    <row r="237" spans="1:2" x14ac:dyDescent="0.35">
      <c r="A237">
        <v>29095</v>
      </c>
      <c r="B237" t="s">
        <v>3030</v>
      </c>
    </row>
    <row r="238" spans="1:2" x14ac:dyDescent="0.35">
      <c r="A238">
        <v>29318</v>
      </c>
      <c r="B238" t="s">
        <v>3030</v>
      </c>
    </row>
    <row r="239" spans="1:2" x14ac:dyDescent="0.35">
      <c r="A239">
        <v>29376</v>
      </c>
      <c r="B239" t="s">
        <v>3030</v>
      </c>
    </row>
    <row r="240" spans="1:2" x14ac:dyDescent="0.35">
      <c r="A240">
        <v>29380</v>
      </c>
      <c r="B240" t="s">
        <v>3030</v>
      </c>
    </row>
    <row r="241" spans="1:2" x14ac:dyDescent="0.35">
      <c r="A241">
        <v>29410</v>
      </c>
      <c r="B241" t="s">
        <v>3030</v>
      </c>
    </row>
    <row r="242" spans="1:2" x14ac:dyDescent="0.35">
      <c r="A242">
        <v>29505</v>
      </c>
      <c r="B242" t="s">
        <v>3030</v>
      </c>
    </row>
    <row r="243" spans="1:2" x14ac:dyDescent="0.35">
      <c r="A243">
        <v>29506</v>
      </c>
      <c r="B243" t="s">
        <v>3030</v>
      </c>
    </row>
    <row r="244" spans="1:2" x14ac:dyDescent="0.35">
      <c r="A244">
        <v>29861</v>
      </c>
      <c r="B244" t="s">
        <v>3030</v>
      </c>
    </row>
    <row r="245" spans="1:2" x14ac:dyDescent="0.35">
      <c r="A245">
        <v>29991</v>
      </c>
      <c r="B245" t="s">
        <v>3030</v>
      </c>
    </row>
    <row r="246" spans="1:2" x14ac:dyDescent="0.35">
      <c r="A246">
        <v>30176</v>
      </c>
      <c r="B246" t="s">
        <v>3030</v>
      </c>
    </row>
    <row r="247" spans="1:2" x14ac:dyDescent="0.35">
      <c r="A247">
        <v>30403</v>
      </c>
      <c r="B247" t="s">
        <v>3030</v>
      </c>
    </row>
    <row r="248" spans="1:2" x14ac:dyDescent="0.35">
      <c r="A248">
        <v>30469</v>
      </c>
      <c r="B248" t="s">
        <v>3030</v>
      </c>
    </row>
    <row r="249" spans="1:2" x14ac:dyDescent="0.35">
      <c r="A249">
        <v>31073</v>
      </c>
      <c r="B249" t="s">
        <v>3030</v>
      </c>
    </row>
    <row r="250" spans="1:2" x14ac:dyDescent="0.35">
      <c r="A250">
        <v>31232</v>
      </c>
      <c r="B250" t="s">
        <v>3030</v>
      </c>
    </row>
    <row r="251" spans="1:2" x14ac:dyDescent="0.35">
      <c r="A251">
        <v>31303</v>
      </c>
      <c r="B251" t="s">
        <v>3030</v>
      </c>
    </row>
    <row r="252" spans="1:2" x14ac:dyDescent="0.35">
      <c r="A252">
        <v>31682</v>
      </c>
      <c r="B252" t="s">
        <v>3030</v>
      </c>
    </row>
    <row r="253" spans="1:2" x14ac:dyDescent="0.35">
      <c r="A253">
        <v>31844</v>
      </c>
      <c r="B253" t="s">
        <v>3030</v>
      </c>
    </row>
    <row r="254" spans="1:2" x14ac:dyDescent="0.35">
      <c r="A254">
        <v>31907</v>
      </c>
      <c r="B254" t="s">
        <v>3030</v>
      </c>
    </row>
    <row r="255" spans="1:2" x14ac:dyDescent="0.35">
      <c r="A255">
        <v>32036</v>
      </c>
      <c r="B255" t="s">
        <v>3030</v>
      </c>
    </row>
    <row r="256" spans="1:2" x14ac:dyDescent="0.35">
      <c r="A256">
        <v>32582</v>
      </c>
      <c r="B256" t="s">
        <v>3030</v>
      </c>
    </row>
    <row r="257" spans="1:2" x14ac:dyDescent="0.35">
      <c r="A257">
        <v>32901</v>
      </c>
      <c r="B257" t="s">
        <v>3030</v>
      </c>
    </row>
    <row r="258" spans="1:2" x14ac:dyDescent="0.35">
      <c r="A258">
        <v>32931</v>
      </c>
      <c r="B258" t="s">
        <v>3030</v>
      </c>
    </row>
    <row r="259" spans="1:2" x14ac:dyDescent="0.35">
      <c r="A259">
        <v>32966</v>
      </c>
      <c r="B259" t="s">
        <v>3030</v>
      </c>
    </row>
    <row r="260" spans="1:2" x14ac:dyDescent="0.35">
      <c r="A260">
        <v>32996</v>
      </c>
      <c r="B260" t="s">
        <v>3030</v>
      </c>
    </row>
    <row r="261" spans="1:2" x14ac:dyDescent="0.35">
      <c r="A261">
        <v>32998</v>
      </c>
      <c r="B261" t="s">
        <v>3030</v>
      </c>
    </row>
    <row r="262" spans="1:2" x14ac:dyDescent="0.35">
      <c r="A262">
        <v>33283</v>
      </c>
      <c r="B262" t="s">
        <v>3030</v>
      </c>
    </row>
    <row r="263" spans="1:2" x14ac:dyDescent="0.35">
      <c r="A263">
        <v>33317</v>
      </c>
      <c r="B263" t="s">
        <v>3030</v>
      </c>
    </row>
    <row r="264" spans="1:2" x14ac:dyDescent="0.35">
      <c r="A264">
        <v>33477</v>
      </c>
      <c r="B264" t="s">
        <v>3030</v>
      </c>
    </row>
    <row r="265" spans="1:2" x14ac:dyDescent="0.35">
      <c r="A265">
        <v>33510</v>
      </c>
      <c r="B265" t="s">
        <v>3030</v>
      </c>
    </row>
    <row r="266" spans="1:2" x14ac:dyDescent="0.35">
      <c r="A266">
        <v>33541</v>
      </c>
      <c r="B266" t="s">
        <v>3030</v>
      </c>
    </row>
    <row r="267" spans="1:2" x14ac:dyDescent="0.35">
      <c r="A267">
        <v>33637</v>
      </c>
      <c r="B267" t="s">
        <v>3030</v>
      </c>
    </row>
    <row r="268" spans="1:2" x14ac:dyDescent="0.35">
      <c r="A268">
        <v>33921</v>
      </c>
      <c r="B268" t="s">
        <v>3030</v>
      </c>
    </row>
    <row r="269" spans="1:2" x14ac:dyDescent="0.35">
      <c r="A269">
        <v>34117</v>
      </c>
      <c r="B269" t="s">
        <v>3030</v>
      </c>
    </row>
    <row r="270" spans="1:2" x14ac:dyDescent="0.35">
      <c r="A270">
        <v>34209</v>
      </c>
      <c r="B270" t="s">
        <v>3030</v>
      </c>
    </row>
    <row r="271" spans="1:2" x14ac:dyDescent="0.35">
      <c r="A271">
        <v>34338</v>
      </c>
      <c r="B271" t="s">
        <v>3030</v>
      </c>
    </row>
    <row r="272" spans="1:2" x14ac:dyDescent="0.35">
      <c r="A272">
        <v>34532</v>
      </c>
      <c r="B272" t="s">
        <v>3030</v>
      </c>
    </row>
    <row r="273" spans="1:2" x14ac:dyDescent="0.35">
      <c r="A273">
        <v>34658</v>
      </c>
      <c r="B273" t="s">
        <v>3030</v>
      </c>
    </row>
    <row r="274" spans="1:2" x14ac:dyDescent="0.35">
      <c r="A274">
        <v>34661</v>
      </c>
      <c r="B274" t="s">
        <v>3030</v>
      </c>
    </row>
    <row r="275" spans="1:2" x14ac:dyDescent="0.35">
      <c r="A275">
        <v>34689</v>
      </c>
      <c r="B275" t="s">
        <v>3030</v>
      </c>
    </row>
    <row r="276" spans="1:2" x14ac:dyDescent="0.35">
      <c r="A276">
        <v>34916</v>
      </c>
      <c r="B276" t="s">
        <v>3030</v>
      </c>
    </row>
    <row r="277" spans="1:2" x14ac:dyDescent="0.35">
      <c r="A277">
        <v>35047</v>
      </c>
      <c r="B277" t="s">
        <v>3030</v>
      </c>
    </row>
    <row r="278" spans="1:2" x14ac:dyDescent="0.35">
      <c r="A278">
        <v>35110</v>
      </c>
      <c r="B278" t="s">
        <v>3030</v>
      </c>
    </row>
    <row r="279" spans="1:2" x14ac:dyDescent="0.35">
      <c r="A279">
        <v>35111</v>
      </c>
      <c r="B279" t="s">
        <v>3030</v>
      </c>
    </row>
    <row r="280" spans="1:2" x14ac:dyDescent="0.35">
      <c r="A280">
        <v>35137</v>
      </c>
      <c r="B280" t="s">
        <v>3030</v>
      </c>
    </row>
    <row r="281" spans="1:2" x14ac:dyDescent="0.35">
      <c r="A281">
        <v>35366</v>
      </c>
      <c r="B281" t="s">
        <v>3030</v>
      </c>
    </row>
    <row r="282" spans="1:2" x14ac:dyDescent="0.35">
      <c r="A282">
        <v>35492</v>
      </c>
      <c r="B282" t="s">
        <v>3030</v>
      </c>
    </row>
    <row r="283" spans="1:2" x14ac:dyDescent="0.35">
      <c r="A283">
        <v>35554</v>
      </c>
      <c r="B283" t="s">
        <v>3030</v>
      </c>
    </row>
    <row r="284" spans="1:2" x14ac:dyDescent="0.35">
      <c r="A284">
        <v>35588</v>
      </c>
      <c r="B284" t="s">
        <v>3030</v>
      </c>
    </row>
    <row r="285" spans="1:2" x14ac:dyDescent="0.35">
      <c r="A285">
        <v>35687</v>
      </c>
      <c r="B285" t="s">
        <v>3030</v>
      </c>
    </row>
    <row r="286" spans="1:2" x14ac:dyDescent="0.35">
      <c r="A286">
        <v>35744</v>
      </c>
      <c r="B286" t="s">
        <v>3030</v>
      </c>
    </row>
    <row r="287" spans="1:2" x14ac:dyDescent="0.35">
      <c r="A287">
        <v>35877</v>
      </c>
      <c r="B287" t="s">
        <v>3030</v>
      </c>
    </row>
    <row r="288" spans="1:2" x14ac:dyDescent="0.35">
      <c r="A288">
        <v>35910</v>
      </c>
      <c r="B288" t="s">
        <v>3030</v>
      </c>
    </row>
    <row r="289" spans="1:2" x14ac:dyDescent="0.35">
      <c r="A289">
        <v>35936</v>
      </c>
      <c r="B289" t="s">
        <v>3030</v>
      </c>
    </row>
    <row r="290" spans="1:2" x14ac:dyDescent="0.35">
      <c r="A290">
        <v>36038</v>
      </c>
      <c r="B290" t="s">
        <v>3030</v>
      </c>
    </row>
    <row r="291" spans="1:2" x14ac:dyDescent="0.35">
      <c r="A291">
        <v>36067</v>
      </c>
      <c r="B291" t="s">
        <v>3030</v>
      </c>
    </row>
    <row r="292" spans="1:2" x14ac:dyDescent="0.35">
      <c r="A292">
        <v>36160</v>
      </c>
      <c r="B292" t="s">
        <v>3030</v>
      </c>
    </row>
    <row r="293" spans="1:2" x14ac:dyDescent="0.35">
      <c r="A293">
        <v>36262</v>
      </c>
      <c r="B293" t="s">
        <v>3030</v>
      </c>
    </row>
    <row r="294" spans="1:2" x14ac:dyDescent="0.35">
      <c r="A294">
        <v>36449</v>
      </c>
      <c r="B294" t="s">
        <v>3030</v>
      </c>
    </row>
    <row r="295" spans="1:2" x14ac:dyDescent="0.35">
      <c r="A295">
        <v>36609</v>
      </c>
      <c r="B295" t="s">
        <v>3030</v>
      </c>
    </row>
    <row r="296" spans="1:2" x14ac:dyDescent="0.35">
      <c r="A296">
        <v>36676</v>
      </c>
      <c r="B296" t="s">
        <v>3030</v>
      </c>
    </row>
    <row r="297" spans="1:2" x14ac:dyDescent="0.35">
      <c r="A297">
        <v>36679</v>
      </c>
      <c r="B297" t="s">
        <v>3030</v>
      </c>
    </row>
    <row r="298" spans="1:2" x14ac:dyDescent="0.35">
      <c r="A298">
        <v>36705</v>
      </c>
      <c r="B298" t="s">
        <v>3030</v>
      </c>
    </row>
    <row r="299" spans="1:2" x14ac:dyDescent="0.35">
      <c r="A299">
        <v>36707</v>
      </c>
      <c r="B299" t="s">
        <v>3030</v>
      </c>
    </row>
    <row r="300" spans="1:2" x14ac:dyDescent="0.35">
      <c r="A300">
        <v>36743</v>
      </c>
      <c r="B300" t="s">
        <v>3030</v>
      </c>
    </row>
    <row r="301" spans="1:2" x14ac:dyDescent="0.35">
      <c r="A301">
        <v>36772</v>
      </c>
      <c r="B301" t="s">
        <v>3030</v>
      </c>
    </row>
    <row r="302" spans="1:2" x14ac:dyDescent="0.35">
      <c r="A302">
        <v>36773</v>
      </c>
      <c r="B302" t="s">
        <v>3030</v>
      </c>
    </row>
    <row r="303" spans="1:2" x14ac:dyDescent="0.35">
      <c r="A303">
        <v>36932</v>
      </c>
      <c r="B303" t="s">
        <v>3030</v>
      </c>
    </row>
    <row r="304" spans="1:2" x14ac:dyDescent="0.35">
      <c r="A304">
        <v>36934</v>
      </c>
      <c r="B304" t="s">
        <v>3030</v>
      </c>
    </row>
    <row r="305" spans="1:2" x14ac:dyDescent="0.35">
      <c r="A305">
        <v>36992</v>
      </c>
      <c r="B305" t="s">
        <v>3030</v>
      </c>
    </row>
    <row r="306" spans="1:2" x14ac:dyDescent="0.35">
      <c r="A306">
        <v>36994</v>
      </c>
      <c r="B306" t="s">
        <v>3030</v>
      </c>
    </row>
    <row r="307" spans="1:2" x14ac:dyDescent="0.35">
      <c r="A307">
        <v>36998</v>
      </c>
      <c r="B307" t="s">
        <v>3030</v>
      </c>
    </row>
    <row r="308" spans="1:2" x14ac:dyDescent="0.35">
      <c r="A308">
        <v>36999</v>
      </c>
      <c r="B308" t="s">
        <v>3030</v>
      </c>
    </row>
    <row r="309" spans="1:2" x14ac:dyDescent="0.35">
      <c r="A309">
        <v>37250</v>
      </c>
      <c r="B309" t="s">
        <v>3030</v>
      </c>
    </row>
    <row r="310" spans="1:2" x14ac:dyDescent="0.35">
      <c r="A310">
        <v>37380</v>
      </c>
      <c r="B310" t="s">
        <v>3030</v>
      </c>
    </row>
    <row r="311" spans="1:2" x14ac:dyDescent="0.35">
      <c r="A311">
        <v>37414</v>
      </c>
      <c r="B311" t="s">
        <v>3030</v>
      </c>
    </row>
    <row r="312" spans="1:2" x14ac:dyDescent="0.35">
      <c r="A312">
        <v>37572</v>
      </c>
      <c r="B312" t="s">
        <v>3030</v>
      </c>
    </row>
    <row r="313" spans="1:2" x14ac:dyDescent="0.35">
      <c r="A313">
        <v>37760</v>
      </c>
      <c r="B313" t="s">
        <v>3030</v>
      </c>
    </row>
    <row r="314" spans="1:2" x14ac:dyDescent="0.35">
      <c r="A314">
        <v>37860</v>
      </c>
      <c r="B314" t="s">
        <v>3030</v>
      </c>
    </row>
    <row r="315" spans="1:2" x14ac:dyDescent="0.35">
      <c r="A315">
        <v>37862</v>
      </c>
      <c r="B315" t="s">
        <v>3030</v>
      </c>
    </row>
    <row r="316" spans="1:2" x14ac:dyDescent="0.35">
      <c r="A316">
        <v>37924</v>
      </c>
      <c r="B316" t="s">
        <v>3030</v>
      </c>
    </row>
    <row r="317" spans="1:2" x14ac:dyDescent="0.35">
      <c r="A317">
        <v>38050</v>
      </c>
      <c r="B317" t="s">
        <v>3030</v>
      </c>
    </row>
    <row r="318" spans="1:2" x14ac:dyDescent="0.35">
      <c r="A318">
        <v>38210</v>
      </c>
      <c r="B318" t="s">
        <v>3030</v>
      </c>
    </row>
    <row r="319" spans="1:2" x14ac:dyDescent="0.35">
      <c r="A319">
        <v>38240</v>
      </c>
      <c r="B319" t="s">
        <v>3030</v>
      </c>
    </row>
    <row r="320" spans="1:2" x14ac:dyDescent="0.35">
      <c r="A320">
        <v>38272</v>
      </c>
      <c r="B320" t="s">
        <v>3030</v>
      </c>
    </row>
    <row r="321" spans="1:2" x14ac:dyDescent="0.35">
      <c r="A321">
        <v>38400</v>
      </c>
      <c r="B321" t="s">
        <v>3030</v>
      </c>
    </row>
    <row r="322" spans="1:2" x14ac:dyDescent="0.35">
      <c r="A322">
        <v>38530</v>
      </c>
      <c r="B322" t="s">
        <v>3030</v>
      </c>
    </row>
    <row r="323" spans="1:2" x14ac:dyDescent="0.35">
      <c r="A323">
        <v>38596</v>
      </c>
      <c r="B323" t="s">
        <v>3030</v>
      </c>
    </row>
    <row r="324" spans="1:2" x14ac:dyDescent="0.35">
      <c r="A324">
        <v>38661</v>
      </c>
      <c r="B324" t="s">
        <v>3030</v>
      </c>
    </row>
    <row r="325" spans="1:2" x14ac:dyDescent="0.35">
      <c r="A325">
        <v>38787</v>
      </c>
      <c r="B325" t="s">
        <v>3030</v>
      </c>
    </row>
    <row r="326" spans="1:2" x14ac:dyDescent="0.35">
      <c r="A326">
        <v>39043</v>
      </c>
      <c r="B326" t="s">
        <v>3030</v>
      </c>
    </row>
    <row r="327" spans="1:2" x14ac:dyDescent="0.35">
      <c r="A327">
        <v>39075</v>
      </c>
      <c r="B327" t="s">
        <v>3030</v>
      </c>
    </row>
    <row r="328" spans="1:2" x14ac:dyDescent="0.35">
      <c r="A328">
        <v>39169</v>
      </c>
      <c r="B328" t="s">
        <v>3030</v>
      </c>
    </row>
    <row r="329" spans="1:2" x14ac:dyDescent="0.35">
      <c r="A329">
        <v>39333</v>
      </c>
      <c r="B329" t="s">
        <v>3030</v>
      </c>
    </row>
    <row r="330" spans="1:2" x14ac:dyDescent="0.35">
      <c r="A330">
        <v>39490</v>
      </c>
      <c r="B330" t="s">
        <v>3030</v>
      </c>
    </row>
    <row r="331" spans="1:2" x14ac:dyDescent="0.35">
      <c r="A331">
        <v>39555</v>
      </c>
      <c r="B331" t="s">
        <v>3030</v>
      </c>
    </row>
    <row r="332" spans="1:2" x14ac:dyDescent="0.35">
      <c r="A332">
        <v>39619</v>
      </c>
      <c r="B332" t="s">
        <v>3030</v>
      </c>
    </row>
    <row r="333" spans="1:2" x14ac:dyDescent="0.35">
      <c r="A333">
        <v>39872</v>
      </c>
      <c r="B333" t="s">
        <v>3030</v>
      </c>
    </row>
    <row r="334" spans="1:2" x14ac:dyDescent="0.35">
      <c r="A334">
        <v>39904</v>
      </c>
      <c r="B334" t="s">
        <v>3030</v>
      </c>
    </row>
    <row r="335" spans="1:2" x14ac:dyDescent="0.35">
      <c r="A335">
        <v>39943</v>
      </c>
      <c r="B335" t="s">
        <v>3030</v>
      </c>
    </row>
    <row r="336" spans="1:2" x14ac:dyDescent="0.35">
      <c r="A336">
        <v>40097</v>
      </c>
      <c r="B336" t="s">
        <v>3030</v>
      </c>
    </row>
    <row r="337" spans="1:2" x14ac:dyDescent="0.35">
      <c r="A337">
        <v>40132</v>
      </c>
      <c r="B337" t="s">
        <v>3030</v>
      </c>
    </row>
    <row r="338" spans="1:2" x14ac:dyDescent="0.35">
      <c r="A338">
        <v>40134</v>
      </c>
      <c r="B338" t="s">
        <v>3030</v>
      </c>
    </row>
    <row r="339" spans="1:2" x14ac:dyDescent="0.35">
      <c r="A339">
        <v>40160</v>
      </c>
      <c r="B339" t="s">
        <v>3030</v>
      </c>
    </row>
    <row r="340" spans="1:2" x14ac:dyDescent="0.35">
      <c r="A340">
        <v>40354</v>
      </c>
      <c r="B340" t="s">
        <v>3030</v>
      </c>
    </row>
    <row r="341" spans="1:2" x14ac:dyDescent="0.35">
      <c r="A341">
        <v>40802</v>
      </c>
      <c r="B341" t="s">
        <v>3030</v>
      </c>
    </row>
    <row r="342" spans="1:2" x14ac:dyDescent="0.35">
      <c r="A342">
        <v>40806</v>
      </c>
      <c r="B342" t="s">
        <v>3030</v>
      </c>
    </row>
    <row r="343" spans="1:2" x14ac:dyDescent="0.35">
      <c r="A343">
        <v>41059</v>
      </c>
      <c r="B343" t="s">
        <v>3030</v>
      </c>
    </row>
    <row r="344" spans="1:2" x14ac:dyDescent="0.35">
      <c r="A344">
        <v>41120</v>
      </c>
      <c r="B344" t="s">
        <v>3030</v>
      </c>
    </row>
    <row r="345" spans="1:2" x14ac:dyDescent="0.35">
      <c r="A345">
        <v>41186</v>
      </c>
      <c r="B345" t="s">
        <v>3030</v>
      </c>
    </row>
    <row r="346" spans="1:2" x14ac:dyDescent="0.35">
      <c r="A346">
        <v>41216</v>
      </c>
      <c r="B346" t="s">
        <v>3030</v>
      </c>
    </row>
    <row r="347" spans="1:2" x14ac:dyDescent="0.35">
      <c r="A347">
        <v>41508</v>
      </c>
      <c r="B347" t="s">
        <v>3030</v>
      </c>
    </row>
    <row r="348" spans="1:2" x14ac:dyDescent="0.35">
      <c r="A348">
        <v>41760</v>
      </c>
      <c r="B348" t="s">
        <v>3030</v>
      </c>
    </row>
    <row r="349" spans="1:2" x14ac:dyDescent="0.35">
      <c r="A349">
        <v>41861</v>
      </c>
      <c r="B349" t="s">
        <v>3030</v>
      </c>
    </row>
    <row r="350" spans="1:2" x14ac:dyDescent="0.35">
      <c r="A350">
        <v>42342</v>
      </c>
      <c r="B350" t="s">
        <v>3030</v>
      </c>
    </row>
    <row r="351" spans="1:2" x14ac:dyDescent="0.35">
      <c r="A351">
        <v>42375</v>
      </c>
      <c r="B351" t="s">
        <v>3030</v>
      </c>
    </row>
    <row r="352" spans="1:2" x14ac:dyDescent="0.35">
      <c r="A352">
        <v>42436</v>
      </c>
      <c r="B352" t="s">
        <v>3030</v>
      </c>
    </row>
    <row r="353" spans="1:2" x14ac:dyDescent="0.35">
      <c r="A353">
        <v>42563</v>
      </c>
      <c r="B353" t="s">
        <v>3030</v>
      </c>
    </row>
    <row r="354" spans="1:2" x14ac:dyDescent="0.35">
      <c r="A354">
        <v>42628</v>
      </c>
      <c r="B354" t="s">
        <v>3030</v>
      </c>
    </row>
    <row r="355" spans="1:2" x14ac:dyDescent="0.35">
      <c r="A355">
        <v>42788</v>
      </c>
      <c r="B355" t="s">
        <v>3030</v>
      </c>
    </row>
    <row r="356" spans="1:2" x14ac:dyDescent="0.35">
      <c r="A356">
        <v>42823</v>
      </c>
      <c r="B356" t="s">
        <v>3030</v>
      </c>
    </row>
    <row r="357" spans="1:2" x14ac:dyDescent="0.35">
      <c r="A357">
        <v>42850</v>
      </c>
      <c r="B357" t="s">
        <v>3030</v>
      </c>
    </row>
    <row r="358" spans="1:2" x14ac:dyDescent="0.35">
      <c r="A358">
        <v>42912</v>
      </c>
      <c r="B358" t="s">
        <v>3030</v>
      </c>
    </row>
    <row r="359" spans="1:2" x14ac:dyDescent="0.35">
      <c r="A359">
        <v>42945</v>
      </c>
      <c r="B359" t="s">
        <v>3030</v>
      </c>
    </row>
    <row r="360" spans="1:2" x14ac:dyDescent="0.35">
      <c r="A360">
        <v>43138</v>
      </c>
      <c r="B360" t="s">
        <v>3030</v>
      </c>
    </row>
    <row r="361" spans="1:2" x14ac:dyDescent="0.35">
      <c r="A361">
        <v>43140</v>
      </c>
      <c r="B361" t="s">
        <v>3030</v>
      </c>
    </row>
    <row r="362" spans="1:2" x14ac:dyDescent="0.35">
      <c r="A362">
        <v>43203</v>
      </c>
      <c r="B362" t="s">
        <v>3030</v>
      </c>
    </row>
    <row r="363" spans="1:2" x14ac:dyDescent="0.35">
      <c r="A363">
        <v>43269</v>
      </c>
      <c r="B363" t="s">
        <v>3030</v>
      </c>
    </row>
    <row r="364" spans="1:2" x14ac:dyDescent="0.35">
      <c r="A364">
        <v>43488</v>
      </c>
      <c r="B364" t="s">
        <v>3030</v>
      </c>
    </row>
    <row r="365" spans="1:2" x14ac:dyDescent="0.35">
      <c r="A365">
        <v>43494</v>
      </c>
      <c r="B365" t="s">
        <v>3030</v>
      </c>
    </row>
    <row r="366" spans="1:2" x14ac:dyDescent="0.35">
      <c r="A366">
        <v>43585</v>
      </c>
      <c r="B366" t="s">
        <v>3030</v>
      </c>
    </row>
    <row r="367" spans="1:2" x14ac:dyDescent="0.35">
      <c r="A367">
        <v>43713</v>
      </c>
      <c r="B367" t="s">
        <v>3030</v>
      </c>
    </row>
    <row r="368" spans="1:2" x14ac:dyDescent="0.35">
      <c r="A368">
        <v>44098</v>
      </c>
      <c r="B368" t="s">
        <v>3030</v>
      </c>
    </row>
    <row r="369" spans="1:2" x14ac:dyDescent="0.35">
      <c r="A369">
        <v>44292</v>
      </c>
      <c r="B369" t="s">
        <v>3030</v>
      </c>
    </row>
    <row r="370" spans="1:2" x14ac:dyDescent="0.35">
      <c r="A370">
        <v>44486</v>
      </c>
      <c r="B370" t="s">
        <v>3030</v>
      </c>
    </row>
    <row r="371" spans="1:2" x14ac:dyDescent="0.35">
      <c r="A371">
        <v>44579</v>
      </c>
      <c r="B371" t="s">
        <v>3030</v>
      </c>
    </row>
    <row r="372" spans="1:2" x14ac:dyDescent="0.35">
      <c r="A372">
        <v>44583</v>
      </c>
      <c r="B372" t="s">
        <v>3030</v>
      </c>
    </row>
    <row r="373" spans="1:2" x14ac:dyDescent="0.35">
      <c r="A373">
        <v>44869</v>
      </c>
      <c r="B373" t="s">
        <v>3030</v>
      </c>
    </row>
    <row r="374" spans="1:2" x14ac:dyDescent="0.35">
      <c r="A374">
        <v>44962</v>
      </c>
      <c r="B374" t="s">
        <v>3030</v>
      </c>
    </row>
    <row r="375" spans="1:2" x14ac:dyDescent="0.35">
      <c r="A375">
        <v>45127</v>
      </c>
      <c r="B375" t="s">
        <v>3030</v>
      </c>
    </row>
    <row r="376" spans="1:2" x14ac:dyDescent="0.35">
      <c r="A376">
        <v>45605</v>
      </c>
      <c r="B376" t="s">
        <v>3030</v>
      </c>
    </row>
    <row r="377" spans="1:2" x14ac:dyDescent="0.35">
      <c r="A377">
        <v>45632</v>
      </c>
      <c r="B377" t="s">
        <v>3030</v>
      </c>
    </row>
    <row r="378" spans="1:2" x14ac:dyDescent="0.35">
      <c r="A378">
        <v>45698</v>
      </c>
      <c r="B378" t="s">
        <v>3030</v>
      </c>
    </row>
    <row r="379" spans="1:2" x14ac:dyDescent="0.35">
      <c r="A379">
        <v>45767</v>
      </c>
      <c r="B379" t="s">
        <v>3030</v>
      </c>
    </row>
    <row r="380" spans="1:2" x14ac:dyDescent="0.35">
      <c r="A380">
        <v>45794</v>
      </c>
      <c r="B380" t="s">
        <v>3030</v>
      </c>
    </row>
    <row r="381" spans="1:2" x14ac:dyDescent="0.35">
      <c r="A381">
        <v>45863</v>
      </c>
      <c r="B381" t="s">
        <v>3030</v>
      </c>
    </row>
    <row r="382" spans="1:2" x14ac:dyDescent="0.35">
      <c r="A382">
        <v>46052</v>
      </c>
      <c r="B382" t="s">
        <v>3030</v>
      </c>
    </row>
    <row r="383" spans="1:2" x14ac:dyDescent="0.35">
      <c r="A383">
        <v>46276</v>
      </c>
      <c r="B383" t="s">
        <v>3030</v>
      </c>
    </row>
    <row r="384" spans="1:2" x14ac:dyDescent="0.35">
      <c r="A384">
        <v>46311</v>
      </c>
      <c r="B384" t="s">
        <v>3030</v>
      </c>
    </row>
    <row r="385" spans="1:2" x14ac:dyDescent="0.35">
      <c r="A385">
        <v>46341</v>
      </c>
      <c r="B385" t="s">
        <v>3030</v>
      </c>
    </row>
    <row r="386" spans="1:2" x14ac:dyDescent="0.35">
      <c r="A386">
        <v>46375</v>
      </c>
      <c r="B386" t="s">
        <v>3030</v>
      </c>
    </row>
    <row r="387" spans="1:2" x14ac:dyDescent="0.35">
      <c r="A387">
        <v>46497</v>
      </c>
      <c r="B387" t="s">
        <v>3030</v>
      </c>
    </row>
    <row r="388" spans="1:2" x14ac:dyDescent="0.35">
      <c r="A388">
        <v>46662</v>
      </c>
      <c r="B388" t="s">
        <v>3030</v>
      </c>
    </row>
    <row r="389" spans="1:2" x14ac:dyDescent="0.35">
      <c r="A389">
        <v>46852</v>
      </c>
      <c r="B389" t="s">
        <v>3030</v>
      </c>
    </row>
    <row r="390" spans="1:2" x14ac:dyDescent="0.35">
      <c r="A390">
        <v>47078</v>
      </c>
      <c r="B390" t="s">
        <v>3030</v>
      </c>
    </row>
    <row r="391" spans="1:2" x14ac:dyDescent="0.35">
      <c r="A391">
        <v>47079</v>
      </c>
      <c r="B391" t="s">
        <v>3030</v>
      </c>
    </row>
    <row r="392" spans="1:2" x14ac:dyDescent="0.35">
      <c r="A392">
        <v>47109</v>
      </c>
      <c r="B392" t="s">
        <v>3030</v>
      </c>
    </row>
    <row r="393" spans="1:2" x14ac:dyDescent="0.35">
      <c r="A393">
        <v>47138</v>
      </c>
      <c r="B393" t="s">
        <v>3030</v>
      </c>
    </row>
    <row r="394" spans="1:2" x14ac:dyDescent="0.35">
      <c r="A394">
        <v>47174</v>
      </c>
      <c r="B394" t="s">
        <v>3030</v>
      </c>
    </row>
    <row r="395" spans="1:2" x14ac:dyDescent="0.35">
      <c r="A395">
        <v>47265</v>
      </c>
      <c r="B395" t="s">
        <v>3030</v>
      </c>
    </row>
    <row r="396" spans="1:2" x14ac:dyDescent="0.35">
      <c r="A396">
        <v>47271</v>
      </c>
      <c r="B396" t="s">
        <v>3030</v>
      </c>
    </row>
    <row r="397" spans="1:2" x14ac:dyDescent="0.35">
      <c r="A397">
        <v>47457</v>
      </c>
      <c r="B397" t="s">
        <v>3030</v>
      </c>
    </row>
    <row r="398" spans="1:2" x14ac:dyDescent="0.35">
      <c r="A398">
        <v>47494</v>
      </c>
      <c r="B398" t="s">
        <v>3030</v>
      </c>
    </row>
    <row r="399" spans="1:2" x14ac:dyDescent="0.35">
      <c r="A399">
        <v>47620</v>
      </c>
      <c r="B399" t="s">
        <v>3030</v>
      </c>
    </row>
    <row r="400" spans="1:2" x14ac:dyDescent="0.35">
      <c r="A400">
        <v>47621</v>
      </c>
      <c r="B400" t="s">
        <v>3030</v>
      </c>
    </row>
    <row r="401" spans="1:2" x14ac:dyDescent="0.35">
      <c r="A401">
        <v>47813</v>
      </c>
      <c r="B401" t="s">
        <v>3030</v>
      </c>
    </row>
    <row r="402" spans="1:2" x14ac:dyDescent="0.35">
      <c r="A402">
        <v>47876</v>
      </c>
      <c r="B402" t="s">
        <v>3030</v>
      </c>
    </row>
    <row r="403" spans="1:2" x14ac:dyDescent="0.35">
      <c r="A403">
        <v>47910</v>
      </c>
      <c r="B403" t="s">
        <v>3030</v>
      </c>
    </row>
    <row r="404" spans="1:2" x14ac:dyDescent="0.35">
      <c r="A404">
        <v>48293</v>
      </c>
      <c r="B404" t="s">
        <v>3030</v>
      </c>
    </row>
    <row r="405" spans="1:2" x14ac:dyDescent="0.35">
      <c r="A405">
        <v>48295</v>
      </c>
      <c r="B405" t="s">
        <v>3030</v>
      </c>
    </row>
    <row r="406" spans="1:2" x14ac:dyDescent="0.35">
      <c r="A406">
        <v>48321</v>
      </c>
      <c r="B406" t="s">
        <v>3030</v>
      </c>
    </row>
    <row r="407" spans="1:2" x14ac:dyDescent="0.35">
      <c r="A407">
        <v>48353</v>
      </c>
      <c r="B407" t="s">
        <v>3030</v>
      </c>
    </row>
    <row r="408" spans="1:2" x14ac:dyDescent="0.35">
      <c r="A408">
        <v>48391</v>
      </c>
      <c r="B408" t="s">
        <v>3030</v>
      </c>
    </row>
    <row r="409" spans="1:2" x14ac:dyDescent="0.35">
      <c r="A409">
        <v>48448</v>
      </c>
      <c r="B409" t="s">
        <v>3030</v>
      </c>
    </row>
    <row r="410" spans="1:2" x14ac:dyDescent="0.35">
      <c r="A410">
        <v>48486</v>
      </c>
      <c r="B410" t="s">
        <v>3030</v>
      </c>
    </row>
    <row r="411" spans="1:2" x14ac:dyDescent="0.35">
      <c r="A411">
        <v>48487</v>
      </c>
      <c r="B411" t="s">
        <v>3030</v>
      </c>
    </row>
    <row r="412" spans="1:2" x14ac:dyDescent="0.35">
      <c r="A412">
        <v>48615</v>
      </c>
      <c r="B412" t="s">
        <v>3030</v>
      </c>
    </row>
    <row r="413" spans="1:2" x14ac:dyDescent="0.35">
      <c r="A413">
        <v>48710</v>
      </c>
      <c r="B413" t="s">
        <v>3030</v>
      </c>
    </row>
    <row r="414" spans="1:2" x14ac:dyDescent="0.35">
      <c r="A414">
        <v>48773</v>
      </c>
      <c r="B414" t="s">
        <v>3030</v>
      </c>
    </row>
    <row r="415" spans="1:2" x14ac:dyDescent="0.35">
      <c r="A415">
        <v>48775</v>
      </c>
      <c r="B415" t="s">
        <v>3030</v>
      </c>
    </row>
    <row r="416" spans="1:2" x14ac:dyDescent="0.35">
      <c r="A416">
        <v>48931</v>
      </c>
      <c r="B416" t="s">
        <v>3030</v>
      </c>
    </row>
    <row r="417" spans="1:2" x14ac:dyDescent="0.35">
      <c r="A417">
        <v>49026</v>
      </c>
      <c r="B417" t="s">
        <v>3030</v>
      </c>
    </row>
    <row r="418" spans="1:2" x14ac:dyDescent="0.35">
      <c r="A418">
        <v>49027</v>
      </c>
      <c r="B418" t="s">
        <v>3030</v>
      </c>
    </row>
    <row r="419" spans="1:2" x14ac:dyDescent="0.35">
      <c r="A419">
        <v>49123</v>
      </c>
      <c r="B419" t="s">
        <v>3030</v>
      </c>
    </row>
    <row r="420" spans="1:2" x14ac:dyDescent="0.35">
      <c r="A420">
        <v>49255</v>
      </c>
      <c r="B420" t="s">
        <v>3030</v>
      </c>
    </row>
    <row r="421" spans="1:2" x14ac:dyDescent="0.35">
      <c r="A421">
        <v>49349</v>
      </c>
      <c r="B421" t="s">
        <v>3030</v>
      </c>
    </row>
    <row r="422" spans="1:2" x14ac:dyDescent="0.35">
      <c r="A422">
        <v>49412</v>
      </c>
      <c r="B422" t="s">
        <v>3030</v>
      </c>
    </row>
    <row r="423" spans="1:2" x14ac:dyDescent="0.35">
      <c r="A423">
        <v>49510</v>
      </c>
      <c r="B423" t="s">
        <v>3030</v>
      </c>
    </row>
    <row r="424" spans="1:2" x14ac:dyDescent="0.35">
      <c r="A424">
        <v>49668</v>
      </c>
      <c r="B424" t="s">
        <v>3030</v>
      </c>
    </row>
    <row r="425" spans="1:2" x14ac:dyDescent="0.35">
      <c r="A425">
        <v>49762</v>
      </c>
      <c r="B425" t="s">
        <v>3030</v>
      </c>
    </row>
    <row r="426" spans="1:2" x14ac:dyDescent="0.35">
      <c r="A426">
        <v>49797</v>
      </c>
      <c r="B426" t="s">
        <v>3030</v>
      </c>
    </row>
    <row r="427" spans="1:2" x14ac:dyDescent="0.35">
      <c r="A427">
        <v>49830</v>
      </c>
      <c r="B427" t="s">
        <v>3030</v>
      </c>
    </row>
    <row r="428" spans="1:2" x14ac:dyDescent="0.35">
      <c r="A428">
        <v>49924</v>
      </c>
      <c r="B428" t="s">
        <v>3030</v>
      </c>
    </row>
    <row r="429" spans="1:2" x14ac:dyDescent="0.35">
      <c r="A429">
        <v>49988</v>
      </c>
      <c r="B429" t="s">
        <v>3030</v>
      </c>
    </row>
    <row r="430" spans="1:2" x14ac:dyDescent="0.35">
      <c r="A430">
        <v>50048</v>
      </c>
      <c r="B430" t="s">
        <v>3030</v>
      </c>
    </row>
    <row r="431" spans="1:2" x14ac:dyDescent="0.35">
      <c r="A431">
        <v>50081</v>
      </c>
      <c r="B431" t="s">
        <v>3030</v>
      </c>
    </row>
    <row r="432" spans="1:2" x14ac:dyDescent="0.35">
      <c r="A432">
        <v>50083</v>
      </c>
      <c r="B432" t="s">
        <v>3030</v>
      </c>
    </row>
    <row r="433" spans="1:2" x14ac:dyDescent="0.35">
      <c r="A433">
        <v>50087</v>
      </c>
      <c r="B433" t="s">
        <v>3030</v>
      </c>
    </row>
    <row r="434" spans="1:2" x14ac:dyDescent="0.35">
      <c r="A434">
        <v>50147</v>
      </c>
      <c r="B434" t="s">
        <v>3030</v>
      </c>
    </row>
    <row r="435" spans="1:2" x14ac:dyDescent="0.35">
      <c r="A435">
        <v>50246</v>
      </c>
      <c r="B435" t="s">
        <v>3030</v>
      </c>
    </row>
    <row r="436" spans="1:2" x14ac:dyDescent="0.35">
      <c r="A436">
        <v>50307</v>
      </c>
      <c r="B436" t="s">
        <v>3030</v>
      </c>
    </row>
    <row r="437" spans="1:2" x14ac:dyDescent="0.35">
      <c r="A437">
        <v>50374</v>
      </c>
      <c r="B437" t="s">
        <v>3030</v>
      </c>
    </row>
    <row r="438" spans="1:2" x14ac:dyDescent="0.35">
      <c r="A438">
        <v>50432</v>
      </c>
      <c r="B438" t="s">
        <v>3030</v>
      </c>
    </row>
    <row r="439" spans="1:2" x14ac:dyDescent="0.35">
      <c r="A439">
        <v>50501</v>
      </c>
      <c r="B439" t="s">
        <v>3030</v>
      </c>
    </row>
    <row r="440" spans="1:2" x14ac:dyDescent="0.35">
      <c r="A440">
        <v>50564</v>
      </c>
      <c r="B440" t="s">
        <v>3030</v>
      </c>
    </row>
    <row r="441" spans="1:2" x14ac:dyDescent="0.35">
      <c r="A441">
        <v>50566</v>
      </c>
      <c r="B441" t="s">
        <v>3030</v>
      </c>
    </row>
    <row r="442" spans="1:2" x14ac:dyDescent="0.35">
      <c r="A442">
        <v>50663</v>
      </c>
      <c r="B442" t="s">
        <v>3030</v>
      </c>
    </row>
    <row r="443" spans="1:2" x14ac:dyDescent="0.35">
      <c r="A443">
        <v>50721</v>
      </c>
      <c r="B443" t="s">
        <v>3030</v>
      </c>
    </row>
    <row r="444" spans="1:2" x14ac:dyDescent="0.35">
      <c r="A444">
        <v>50789</v>
      </c>
      <c r="B444" t="s">
        <v>3030</v>
      </c>
    </row>
    <row r="445" spans="1:2" x14ac:dyDescent="0.35">
      <c r="A445">
        <v>50818</v>
      </c>
      <c r="B445" t="s">
        <v>3030</v>
      </c>
    </row>
    <row r="446" spans="1:2" x14ac:dyDescent="0.35">
      <c r="A446">
        <v>50823</v>
      </c>
      <c r="B446" t="s">
        <v>3030</v>
      </c>
    </row>
    <row r="447" spans="1:2" x14ac:dyDescent="0.35">
      <c r="A447">
        <v>50850</v>
      </c>
      <c r="B447" t="s">
        <v>3030</v>
      </c>
    </row>
    <row r="448" spans="1:2" x14ac:dyDescent="0.35">
      <c r="A448">
        <v>50914</v>
      </c>
      <c r="B448" t="s">
        <v>3030</v>
      </c>
    </row>
    <row r="449" spans="1:2" x14ac:dyDescent="0.35">
      <c r="A449">
        <v>51075</v>
      </c>
      <c r="B449" t="s">
        <v>3030</v>
      </c>
    </row>
    <row r="450" spans="1:2" x14ac:dyDescent="0.35">
      <c r="A450">
        <v>51239</v>
      </c>
      <c r="B450" t="s">
        <v>3030</v>
      </c>
    </row>
    <row r="451" spans="1:2" x14ac:dyDescent="0.35">
      <c r="A451">
        <v>51271</v>
      </c>
      <c r="B451" t="s">
        <v>3030</v>
      </c>
    </row>
    <row r="452" spans="1:2" x14ac:dyDescent="0.35">
      <c r="A452">
        <v>51302</v>
      </c>
      <c r="B452" t="s">
        <v>3030</v>
      </c>
    </row>
    <row r="453" spans="1:2" x14ac:dyDescent="0.35">
      <c r="A453">
        <v>51553</v>
      </c>
      <c r="B453" t="s">
        <v>3030</v>
      </c>
    </row>
    <row r="454" spans="1:2" x14ac:dyDescent="0.35">
      <c r="A454">
        <v>51554</v>
      </c>
      <c r="B454" t="s">
        <v>3030</v>
      </c>
    </row>
    <row r="455" spans="1:2" x14ac:dyDescent="0.35">
      <c r="A455">
        <v>51559</v>
      </c>
      <c r="B455" t="s">
        <v>3030</v>
      </c>
    </row>
    <row r="456" spans="1:2" x14ac:dyDescent="0.35">
      <c r="A456">
        <v>51876</v>
      </c>
      <c r="B456" t="s">
        <v>3030</v>
      </c>
    </row>
    <row r="457" spans="1:2" x14ac:dyDescent="0.35">
      <c r="A457">
        <v>51879</v>
      </c>
      <c r="B457" t="s">
        <v>3030</v>
      </c>
    </row>
    <row r="458" spans="1:2" x14ac:dyDescent="0.35">
      <c r="A458">
        <v>51940</v>
      </c>
      <c r="B458" t="s">
        <v>3030</v>
      </c>
    </row>
    <row r="459" spans="1:2" x14ac:dyDescent="0.35">
      <c r="A459">
        <v>52035</v>
      </c>
      <c r="B459" t="s">
        <v>3030</v>
      </c>
    </row>
    <row r="460" spans="1:2" x14ac:dyDescent="0.35">
      <c r="A460">
        <v>52068</v>
      </c>
      <c r="B460" t="s">
        <v>3030</v>
      </c>
    </row>
    <row r="461" spans="1:2" x14ac:dyDescent="0.35">
      <c r="A461">
        <v>52258</v>
      </c>
      <c r="B461" t="s">
        <v>3030</v>
      </c>
    </row>
    <row r="462" spans="1:2" x14ac:dyDescent="0.35">
      <c r="A462">
        <v>52288</v>
      </c>
      <c r="B462" t="s">
        <v>3030</v>
      </c>
    </row>
    <row r="463" spans="1:2" x14ac:dyDescent="0.35">
      <c r="A463">
        <v>52327</v>
      </c>
      <c r="B463" t="s">
        <v>3030</v>
      </c>
    </row>
    <row r="464" spans="1:2" x14ac:dyDescent="0.35">
      <c r="A464">
        <v>52518</v>
      </c>
      <c r="B464" t="s">
        <v>3030</v>
      </c>
    </row>
    <row r="465" spans="1:2" x14ac:dyDescent="0.35">
      <c r="A465">
        <v>52608</v>
      </c>
      <c r="B465" t="s">
        <v>3030</v>
      </c>
    </row>
    <row r="466" spans="1:2" x14ac:dyDescent="0.35">
      <c r="A466">
        <v>52611</v>
      </c>
      <c r="B466" t="s">
        <v>3030</v>
      </c>
    </row>
    <row r="467" spans="1:2" x14ac:dyDescent="0.35">
      <c r="A467">
        <v>52678</v>
      </c>
      <c r="B467" t="s">
        <v>3030</v>
      </c>
    </row>
    <row r="468" spans="1:2" x14ac:dyDescent="0.35">
      <c r="A468">
        <v>52805</v>
      </c>
      <c r="B468" t="s">
        <v>3030</v>
      </c>
    </row>
    <row r="469" spans="1:2" x14ac:dyDescent="0.35">
      <c r="A469">
        <v>53285</v>
      </c>
      <c r="B469" t="s">
        <v>3030</v>
      </c>
    </row>
    <row r="470" spans="1:2" x14ac:dyDescent="0.35">
      <c r="A470">
        <v>53536</v>
      </c>
      <c r="B470" t="s">
        <v>3030</v>
      </c>
    </row>
    <row r="471" spans="1:2" x14ac:dyDescent="0.35">
      <c r="A471">
        <v>53600</v>
      </c>
      <c r="B471" t="s">
        <v>3030</v>
      </c>
    </row>
    <row r="472" spans="1:2" x14ac:dyDescent="0.35">
      <c r="A472">
        <v>53767</v>
      </c>
      <c r="B472" t="s">
        <v>3030</v>
      </c>
    </row>
    <row r="473" spans="1:2" x14ac:dyDescent="0.35">
      <c r="A473">
        <v>54086</v>
      </c>
      <c r="B473" t="s">
        <v>3030</v>
      </c>
    </row>
    <row r="474" spans="1:2" x14ac:dyDescent="0.35">
      <c r="A474">
        <v>54119</v>
      </c>
      <c r="B474" t="s">
        <v>3030</v>
      </c>
    </row>
    <row r="475" spans="1:2" x14ac:dyDescent="0.35">
      <c r="A475">
        <v>54151</v>
      </c>
      <c r="B475" t="s">
        <v>3030</v>
      </c>
    </row>
    <row r="476" spans="1:2" x14ac:dyDescent="0.35">
      <c r="A476">
        <v>54215</v>
      </c>
      <c r="B476" t="s">
        <v>3030</v>
      </c>
    </row>
    <row r="477" spans="1:2" x14ac:dyDescent="0.35">
      <c r="A477">
        <v>54243</v>
      </c>
      <c r="B477" t="s">
        <v>3030</v>
      </c>
    </row>
    <row r="478" spans="1:2" x14ac:dyDescent="0.35">
      <c r="A478">
        <v>54245</v>
      </c>
      <c r="B478" t="s">
        <v>3030</v>
      </c>
    </row>
    <row r="479" spans="1:2" x14ac:dyDescent="0.35">
      <c r="A479">
        <v>54339</v>
      </c>
      <c r="B479" t="s">
        <v>3030</v>
      </c>
    </row>
    <row r="480" spans="1:2" x14ac:dyDescent="0.35">
      <c r="A480">
        <v>54368</v>
      </c>
      <c r="B480" t="s">
        <v>3030</v>
      </c>
    </row>
    <row r="481" spans="1:2" x14ac:dyDescent="0.35">
      <c r="A481">
        <v>54371</v>
      </c>
      <c r="B481" t="s">
        <v>3030</v>
      </c>
    </row>
    <row r="482" spans="1:2" x14ac:dyDescent="0.35">
      <c r="A482">
        <v>54563</v>
      </c>
      <c r="B482" t="s">
        <v>3030</v>
      </c>
    </row>
    <row r="483" spans="1:2" x14ac:dyDescent="0.35">
      <c r="A483">
        <v>54595</v>
      </c>
      <c r="B483" t="s">
        <v>3030</v>
      </c>
    </row>
    <row r="484" spans="1:2" x14ac:dyDescent="0.35">
      <c r="A484">
        <v>54721</v>
      </c>
      <c r="B484" t="s">
        <v>3030</v>
      </c>
    </row>
    <row r="485" spans="1:2" x14ac:dyDescent="0.35">
      <c r="A485">
        <v>54755</v>
      </c>
      <c r="B485" t="s">
        <v>3030</v>
      </c>
    </row>
    <row r="486" spans="1:2" x14ac:dyDescent="0.35">
      <c r="A486">
        <v>54787</v>
      </c>
      <c r="B486" t="s">
        <v>3030</v>
      </c>
    </row>
    <row r="487" spans="1:2" x14ac:dyDescent="0.35">
      <c r="A487">
        <v>54914</v>
      </c>
      <c r="B487" t="s">
        <v>3030</v>
      </c>
    </row>
    <row r="488" spans="1:2" x14ac:dyDescent="0.35">
      <c r="A488">
        <v>55172</v>
      </c>
      <c r="B488" t="s">
        <v>3030</v>
      </c>
    </row>
    <row r="489" spans="1:2" x14ac:dyDescent="0.35">
      <c r="A489">
        <v>55203</v>
      </c>
      <c r="B489" t="s">
        <v>3030</v>
      </c>
    </row>
    <row r="490" spans="1:2" x14ac:dyDescent="0.35">
      <c r="A490">
        <v>55235</v>
      </c>
      <c r="B490" t="s">
        <v>3030</v>
      </c>
    </row>
    <row r="491" spans="1:2" x14ac:dyDescent="0.35">
      <c r="A491">
        <v>55330</v>
      </c>
      <c r="B491" t="s">
        <v>3030</v>
      </c>
    </row>
    <row r="492" spans="1:2" x14ac:dyDescent="0.35">
      <c r="A492">
        <v>55526</v>
      </c>
      <c r="B492" t="s">
        <v>3030</v>
      </c>
    </row>
    <row r="493" spans="1:2" x14ac:dyDescent="0.35">
      <c r="A493">
        <v>55616</v>
      </c>
      <c r="B493" t="s">
        <v>3030</v>
      </c>
    </row>
    <row r="494" spans="1:2" x14ac:dyDescent="0.35">
      <c r="A494">
        <v>55618</v>
      </c>
      <c r="B494" t="s">
        <v>3030</v>
      </c>
    </row>
    <row r="495" spans="1:2" x14ac:dyDescent="0.35">
      <c r="A495">
        <v>55623</v>
      </c>
      <c r="B495" t="s">
        <v>3030</v>
      </c>
    </row>
    <row r="496" spans="1:2" x14ac:dyDescent="0.35">
      <c r="A496">
        <v>55747</v>
      </c>
      <c r="B496" t="s">
        <v>3030</v>
      </c>
    </row>
    <row r="497" spans="1:2" x14ac:dyDescent="0.35">
      <c r="A497">
        <v>55776</v>
      </c>
      <c r="B497" t="s">
        <v>3030</v>
      </c>
    </row>
    <row r="498" spans="1:2" x14ac:dyDescent="0.35">
      <c r="A498">
        <v>55808</v>
      </c>
      <c r="B498" t="s">
        <v>3030</v>
      </c>
    </row>
    <row r="499" spans="1:2" x14ac:dyDescent="0.35">
      <c r="A499">
        <v>55874</v>
      </c>
      <c r="B499" t="s">
        <v>3030</v>
      </c>
    </row>
    <row r="500" spans="1:2" x14ac:dyDescent="0.35">
      <c r="A500">
        <v>55877</v>
      </c>
      <c r="B500" t="s">
        <v>3030</v>
      </c>
    </row>
    <row r="501" spans="1:2" x14ac:dyDescent="0.35">
      <c r="A501">
        <v>55968</v>
      </c>
      <c r="B501" t="s">
        <v>3030</v>
      </c>
    </row>
    <row r="502" spans="1:2" x14ac:dyDescent="0.35">
      <c r="A502">
        <v>56101</v>
      </c>
      <c r="B502" t="s">
        <v>3030</v>
      </c>
    </row>
    <row r="503" spans="1:2" x14ac:dyDescent="0.35">
      <c r="A503">
        <v>56128</v>
      </c>
      <c r="B503" t="s">
        <v>3030</v>
      </c>
    </row>
    <row r="504" spans="1:2" x14ac:dyDescent="0.35">
      <c r="A504">
        <v>56257</v>
      </c>
      <c r="B504" t="s">
        <v>3030</v>
      </c>
    </row>
    <row r="505" spans="1:2" x14ac:dyDescent="0.35">
      <c r="A505">
        <v>56387</v>
      </c>
      <c r="B505" t="s">
        <v>3030</v>
      </c>
    </row>
    <row r="506" spans="1:2" x14ac:dyDescent="0.35">
      <c r="A506">
        <v>56452</v>
      </c>
      <c r="B506" t="s">
        <v>3030</v>
      </c>
    </row>
    <row r="507" spans="1:2" x14ac:dyDescent="0.35">
      <c r="A507">
        <v>56514</v>
      </c>
      <c r="B507" t="s">
        <v>3030</v>
      </c>
    </row>
    <row r="508" spans="1:2" x14ac:dyDescent="0.35">
      <c r="A508">
        <v>56582</v>
      </c>
      <c r="B508" t="s">
        <v>3030</v>
      </c>
    </row>
    <row r="509" spans="1:2" x14ac:dyDescent="0.35">
      <c r="A509">
        <v>56612</v>
      </c>
      <c r="B509" t="s">
        <v>3030</v>
      </c>
    </row>
    <row r="510" spans="1:2" x14ac:dyDescent="0.35">
      <c r="A510">
        <v>56768</v>
      </c>
      <c r="B510" t="s">
        <v>3030</v>
      </c>
    </row>
    <row r="511" spans="1:2" x14ac:dyDescent="0.35">
      <c r="A511">
        <v>56769</v>
      </c>
      <c r="B511" t="s">
        <v>3030</v>
      </c>
    </row>
    <row r="512" spans="1:2" x14ac:dyDescent="0.35">
      <c r="A512">
        <v>56868</v>
      </c>
      <c r="B512" t="s">
        <v>3030</v>
      </c>
    </row>
    <row r="513" spans="1:2" x14ac:dyDescent="0.35">
      <c r="A513">
        <v>56901</v>
      </c>
      <c r="B513" t="s">
        <v>3030</v>
      </c>
    </row>
    <row r="514" spans="1:2" x14ac:dyDescent="0.35">
      <c r="A514">
        <v>56930</v>
      </c>
      <c r="B514" t="s">
        <v>3030</v>
      </c>
    </row>
    <row r="515" spans="1:2" x14ac:dyDescent="0.35">
      <c r="A515">
        <v>56931</v>
      </c>
      <c r="B515" t="s">
        <v>3030</v>
      </c>
    </row>
    <row r="516" spans="1:2" x14ac:dyDescent="0.35">
      <c r="A516">
        <v>57157</v>
      </c>
      <c r="B516" t="s">
        <v>3030</v>
      </c>
    </row>
    <row r="517" spans="1:2" x14ac:dyDescent="0.35">
      <c r="A517">
        <v>57190</v>
      </c>
      <c r="B517" t="s">
        <v>3030</v>
      </c>
    </row>
    <row r="518" spans="1:2" x14ac:dyDescent="0.35">
      <c r="A518">
        <v>57248</v>
      </c>
      <c r="B518" t="s">
        <v>3030</v>
      </c>
    </row>
    <row r="519" spans="1:2" x14ac:dyDescent="0.35">
      <c r="A519">
        <v>57253</v>
      </c>
      <c r="B519" t="s">
        <v>3030</v>
      </c>
    </row>
    <row r="520" spans="1:2" x14ac:dyDescent="0.35">
      <c r="A520">
        <v>57440</v>
      </c>
      <c r="B520" t="s">
        <v>3030</v>
      </c>
    </row>
    <row r="521" spans="1:2" x14ac:dyDescent="0.35">
      <c r="A521">
        <v>57510</v>
      </c>
      <c r="B521" t="s">
        <v>3030</v>
      </c>
    </row>
    <row r="522" spans="1:2" x14ac:dyDescent="0.35">
      <c r="A522">
        <v>57600</v>
      </c>
      <c r="B522" t="s">
        <v>3030</v>
      </c>
    </row>
    <row r="523" spans="1:2" x14ac:dyDescent="0.35">
      <c r="A523">
        <v>57638</v>
      </c>
      <c r="B523" t="s">
        <v>3030</v>
      </c>
    </row>
    <row r="524" spans="1:2" x14ac:dyDescent="0.35">
      <c r="A524">
        <v>57986</v>
      </c>
      <c r="B524" t="s">
        <v>3030</v>
      </c>
    </row>
    <row r="525" spans="1:2" x14ac:dyDescent="0.35">
      <c r="A525">
        <v>58368</v>
      </c>
      <c r="B525" t="s">
        <v>3030</v>
      </c>
    </row>
    <row r="526" spans="1:2" x14ac:dyDescent="0.35">
      <c r="A526">
        <v>58372</v>
      </c>
      <c r="B526" t="s">
        <v>3030</v>
      </c>
    </row>
    <row r="527" spans="1:2" x14ac:dyDescent="0.35">
      <c r="A527">
        <v>58470</v>
      </c>
      <c r="B527" t="s">
        <v>3030</v>
      </c>
    </row>
    <row r="528" spans="1:2" x14ac:dyDescent="0.35">
      <c r="A528">
        <v>58500</v>
      </c>
      <c r="B528" t="s">
        <v>3030</v>
      </c>
    </row>
    <row r="529" spans="1:2" x14ac:dyDescent="0.35">
      <c r="A529">
        <v>58566</v>
      </c>
      <c r="B529" t="s">
        <v>3030</v>
      </c>
    </row>
    <row r="530" spans="1:2" x14ac:dyDescent="0.35">
      <c r="A530">
        <v>58688</v>
      </c>
      <c r="B530" t="s">
        <v>3030</v>
      </c>
    </row>
    <row r="531" spans="1:2" x14ac:dyDescent="0.35">
      <c r="A531">
        <v>58720</v>
      </c>
      <c r="B531" t="s">
        <v>3030</v>
      </c>
    </row>
    <row r="532" spans="1:2" x14ac:dyDescent="0.35">
      <c r="A532">
        <v>58725</v>
      </c>
      <c r="B532" t="s">
        <v>3030</v>
      </c>
    </row>
    <row r="533" spans="1:2" x14ac:dyDescent="0.35">
      <c r="A533">
        <v>58818</v>
      </c>
      <c r="B533" t="s">
        <v>3030</v>
      </c>
    </row>
    <row r="534" spans="1:2" x14ac:dyDescent="0.35">
      <c r="A534">
        <v>58949</v>
      </c>
      <c r="B534" t="s">
        <v>3030</v>
      </c>
    </row>
    <row r="535" spans="1:2" x14ac:dyDescent="0.35">
      <c r="A535">
        <v>59009</v>
      </c>
      <c r="B535" t="s">
        <v>3030</v>
      </c>
    </row>
    <row r="536" spans="1:2" x14ac:dyDescent="0.35">
      <c r="A536">
        <v>59047</v>
      </c>
      <c r="B536" t="s">
        <v>3030</v>
      </c>
    </row>
    <row r="537" spans="1:2" x14ac:dyDescent="0.35">
      <c r="A537">
        <v>59072</v>
      </c>
      <c r="B537" t="s">
        <v>3030</v>
      </c>
    </row>
    <row r="538" spans="1:2" x14ac:dyDescent="0.35">
      <c r="A538">
        <v>59139</v>
      </c>
      <c r="B538" t="s">
        <v>3030</v>
      </c>
    </row>
    <row r="539" spans="1:2" x14ac:dyDescent="0.35">
      <c r="A539">
        <v>59171</v>
      </c>
      <c r="B539" t="s">
        <v>3030</v>
      </c>
    </row>
    <row r="540" spans="1:2" x14ac:dyDescent="0.35">
      <c r="A540">
        <v>59585</v>
      </c>
      <c r="B540" t="s">
        <v>3030</v>
      </c>
    </row>
    <row r="541" spans="1:2" x14ac:dyDescent="0.35">
      <c r="A541">
        <v>59652</v>
      </c>
      <c r="B541" t="s">
        <v>3030</v>
      </c>
    </row>
    <row r="542" spans="1:2" x14ac:dyDescent="0.35">
      <c r="A542">
        <v>59680</v>
      </c>
      <c r="B542" t="s">
        <v>3030</v>
      </c>
    </row>
    <row r="543" spans="1:2" x14ac:dyDescent="0.35">
      <c r="A543">
        <v>59683</v>
      </c>
      <c r="B543" t="s">
        <v>3030</v>
      </c>
    </row>
    <row r="544" spans="1:2" x14ac:dyDescent="0.35">
      <c r="A544">
        <v>59776</v>
      </c>
      <c r="B544" t="s">
        <v>3030</v>
      </c>
    </row>
    <row r="545" spans="1:2" x14ac:dyDescent="0.35">
      <c r="A545">
        <v>59879</v>
      </c>
      <c r="B545" t="s">
        <v>3030</v>
      </c>
    </row>
    <row r="546" spans="1:2" x14ac:dyDescent="0.35">
      <c r="A546">
        <v>59937</v>
      </c>
      <c r="B546" t="s">
        <v>3030</v>
      </c>
    </row>
    <row r="547" spans="1:2" x14ac:dyDescent="0.35">
      <c r="A547">
        <v>123132</v>
      </c>
      <c r="B547" t="s">
        <v>3030</v>
      </c>
    </row>
    <row r="548" spans="1:2" x14ac:dyDescent="0.35">
      <c r="A548">
        <v>123166</v>
      </c>
      <c r="B548" t="s">
        <v>3030</v>
      </c>
    </row>
    <row r="549" spans="1:2" x14ac:dyDescent="0.35">
      <c r="A549">
        <v>123194</v>
      </c>
      <c r="B549" t="s">
        <v>3030</v>
      </c>
    </row>
    <row r="550" spans="1:2" x14ac:dyDescent="0.35">
      <c r="A550">
        <v>123258</v>
      </c>
      <c r="B550" t="s">
        <v>3030</v>
      </c>
    </row>
    <row r="551" spans="1:2" x14ac:dyDescent="0.35">
      <c r="A551">
        <v>123323</v>
      </c>
      <c r="B551" t="s">
        <v>3030</v>
      </c>
    </row>
    <row r="552" spans="1:2" x14ac:dyDescent="0.35">
      <c r="A552">
        <v>123359</v>
      </c>
      <c r="B552" t="s">
        <v>3030</v>
      </c>
    </row>
    <row r="553" spans="1:2" x14ac:dyDescent="0.35">
      <c r="A553">
        <v>123481</v>
      </c>
      <c r="B553" t="s">
        <v>3030</v>
      </c>
    </row>
    <row r="554" spans="1:2" x14ac:dyDescent="0.35">
      <c r="A554">
        <v>123483</v>
      </c>
      <c r="B554" t="s">
        <v>3030</v>
      </c>
    </row>
    <row r="555" spans="1:2" x14ac:dyDescent="0.35">
      <c r="A555">
        <v>123487</v>
      </c>
      <c r="B555" t="s">
        <v>3030</v>
      </c>
    </row>
    <row r="556" spans="1:2" x14ac:dyDescent="0.35">
      <c r="A556">
        <v>123512</v>
      </c>
      <c r="B556" t="s">
        <v>3030</v>
      </c>
    </row>
    <row r="557" spans="1:2" x14ac:dyDescent="0.35">
      <c r="A557">
        <v>123614</v>
      </c>
      <c r="B557" t="s">
        <v>3030</v>
      </c>
    </row>
    <row r="558" spans="1:2" x14ac:dyDescent="0.35">
      <c r="A558">
        <v>123769</v>
      </c>
      <c r="B558" t="s">
        <v>3030</v>
      </c>
    </row>
    <row r="559" spans="1:2" x14ac:dyDescent="0.35">
      <c r="A559">
        <v>123801</v>
      </c>
      <c r="B559" t="s">
        <v>3030</v>
      </c>
    </row>
    <row r="560" spans="1:2" x14ac:dyDescent="0.35">
      <c r="A560">
        <v>123802</v>
      </c>
      <c r="B560" t="s">
        <v>3030</v>
      </c>
    </row>
    <row r="561" spans="1:2" x14ac:dyDescent="0.35">
      <c r="A561">
        <v>123807</v>
      </c>
      <c r="B561" t="s">
        <v>3030</v>
      </c>
    </row>
    <row r="562" spans="1:2" x14ac:dyDescent="0.35">
      <c r="A562">
        <v>123837</v>
      </c>
      <c r="B562" t="s">
        <v>3030</v>
      </c>
    </row>
    <row r="563" spans="1:2" x14ac:dyDescent="0.35">
      <c r="A563">
        <v>123870</v>
      </c>
      <c r="B563" t="s">
        <v>3030</v>
      </c>
    </row>
    <row r="564" spans="1:2" x14ac:dyDescent="0.35">
      <c r="A564">
        <v>123902</v>
      </c>
      <c r="B564" t="s">
        <v>3030</v>
      </c>
    </row>
    <row r="565" spans="1:2" x14ac:dyDescent="0.35">
      <c r="A565">
        <v>123928</v>
      </c>
      <c r="B565" t="s">
        <v>3030</v>
      </c>
    </row>
    <row r="566" spans="1:2" x14ac:dyDescent="0.35">
      <c r="A566">
        <v>123994</v>
      </c>
      <c r="B566" t="s">
        <v>3030</v>
      </c>
    </row>
    <row r="567" spans="1:2" x14ac:dyDescent="0.35">
      <c r="A567">
        <v>124031</v>
      </c>
      <c r="B567" t="s">
        <v>3030</v>
      </c>
    </row>
    <row r="568" spans="1:2" x14ac:dyDescent="0.35">
      <c r="A568">
        <v>124059</v>
      </c>
      <c r="B568" t="s">
        <v>3030</v>
      </c>
    </row>
    <row r="569" spans="1:2" x14ac:dyDescent="0.35">
      <c r="A569">
        <v>124060</v>
      </c>
      <c r="B569" t="s">
        <v>3030</v>
      </c>
    </row>
    <row r="570" spans="1:2" x14ac:dyDescent="0.35">
      <c r="A570">
        <v>124154</v>
      </c>
      <c r="B570" t="s">
        <v>3030</v>
      </c>
    </row>
    <row r="571" spans="1:2" x14ac:dyDescent="0.35">
      <c r="A571">
        <v>124282</v>
      </c>
      <c r="B571" t="s">
        <v>3030</v>
      </c>
    </row>
    <row r="572" spans="1:2" x14ac:dyDescent="0.35">
      <c r="A572">
        <v>124286</v>
      </c>
      <c r="B572" t="s">
        <v>3030</v>
      </c>
    </row>
    <row r="573" spans="1:2" x14ac:dyDescent="0.35">
      <c r="A573">
        <v>124287</v>
      </c>
      <c r="B573" t="s">
        <v>3030</v>
      </c>
    </row>
    <row r="574" spans="1:2" x14ac:dyDescent="0.35">
      <c r="A574">
        <v>124345</v>
      </c>
      <c r="B574" t="s">
        <v>3030</v>
      </c>
    </row>
    <row r="575" spans="1:2" x14ac:dyDescent="0.35">
      <c r="A575">
        <v>124444</v>
      </c>
      <c r="B575" t="s">
        <v>3030</v>
      </c>
    </row>
    <row r="576" spans="1:2" x14ac:dyDescent="0.35">
      <c r="A576">
        <v>124507</v>
      </c>
      <c r="B576" t="s">
        <v>3030</v>
      </c>
    </row>
    <row r="577" spans="1:2" x14ac:dyDescent="0.35">
      <c r="A577">
        <v>124538</v>
      </c>
      <c r="B577" t="s">
        <v>3030</v>
      </c>
    </row>
    <row r="578" spans="1:2" x14ac:dyDescent="0.35">
      <c r="A578">
        <v>124701</v>
      </c>
      <c r="B578" t="s">
        <v>3030</v>
      </c>
    </row>
    <row r="579" spans="1:2" x14ac:dyDescent="0.35">
      <c r="A579">
        <v>124761</v>
      </c>
      <c r="B579" t="s">
        <v>3030</v>
      </c>
    </row>
    <row r="580" spans="1:2" x14ac:dyDescent="0.35">
      <c r="A580">
        <v>124799</v>
      </c>
      <c r="B580" t="s">
        <v>3030</v>
      </c>
    </row>
    <row r="581" spans="1:2" x14ac:dyDescent="0.35">
      <c r="A581">
        <v>124892</v>
      </c>
      <c r="B581" t="s">
        <v>3030</v>
      </c>
    </row>
    <row r="582" spans="1:2" x14ac:dyDescent="0.35">
      <c r="A582">
        <v>124921</v>
      </c>
      <c r="B582" t="s">
        <v>3030</v>
      </c>
    </row>
    <row r="583" spans="1:2" x14ac:dyDescent="0.35">
      <c r="A583">
        <v>124985</v>
      </c>
      <c r="B583" t="s">
        <v>3030</v>
      </c>
    </row>
    <row r="584" spans="1:2" x14ac:dyDescent="0.35">
      <c r="A584">
        <v>124988</v>
      </c>
      <c r="B584" t="s">
        <v>3030</v>
      </c>
    </row>
    <row r="585" spans="1:2" x14ac:dyDescent="0.35">
      <c r="A585">
        <v>124991</v>
      </c>
      <c r="B585" t="s">
        <v>3030</v>
      </c>
    </row>
    <row r="586" spans="1:2" x14ac:dyDescent="0.35">
      <c r="A586">
        <v>125149</v>
      </c>
      <c r="B586" t="s">
        <v>3030</v>
      </c>
    </row>
    <row r="587" spans="1:2" x14ac:dyDescent="0.35">
      <c r="A587">
        <v>125150</v>
      </c>
      <c r="B587" t="s">
        <v>3030</v>
      </c>
    </row>
    <row r="588" spans="1:2" x14ac:dyDescent="0.35">
      <c r="A588">
        <v>125240</v>
      </c>
      <c r="B588" t="s">
        <v>3030</v>
      </c>
    </row>
    <row r="589" spans="1:2" x14ac:dyDescent="0.35">
      <c r="A589">
        <v>125339</v>
      </c>
      <c r="B589" t="s">
        <v>3030</v>
      </c>
    </row>
    <row r="590" spans="1:2" x14ac:dyDescent="0.35">
      <c r="A590">
        <v>125373</v>
      </c>
      <c r="B590" t="s">
        <v>3030</v>
      </c>
    </row>
    <row r="591" spans="1:2" x14ac:dyDescent="0.35">
      <c r="A591">
        <v>125374</v>
      </c>
      <c r="B591" t="s">
        <v>3030</v>
      </c>
    </row>
    <row r="592" spans="1:2" x14ac:dyDescent="0.35">
      <c r="A592">
        <v>125433</v>
      </c>
      <c r="B592" t="s">
        <v>3030</v>
      </c>
    </row>
    <row r="593" spans="1:2" x14ac:dyDescent="0.35">
      <c r="A593">
        <v>125467</v>
      </c>
      <c r="B593" t="s">
        <v>3030</v>
      </c>
    </row>
    <row r="594" spans="1:2" x14ac:dyDescent="0.35">
      <c r="A594">
        <v>125503</v>
      </c>
      <c r="B594" t="s">
        <v>3030</v>
      </c>
    </row>
    <row r="595" spans="1:2" x14ac:dyDescent="0.35">
      <c r="A595">
        <v>125560</v>
      </c>
      <c r="B595" t="s">
        <v>3030</v>
      </c>
    </row>
    <row r="596" spans="1:2" x14ac:dyDescent="0.35">
      <c r="A596">
        <v>125562</v>
      </c>
      <c r="B596" t="s">
        <v>3030</v>
      </c>
    </row>
    <row r="597" spans="1:2" x14ac:dyDescent="0.35">
      <c r="A597">
        <v>125631</v>
      </c>
      <c r="B597" t="s">
        <v>3030</v>
      </c>
    </row>
    <row r="598" spans="1:2" x14ac:dyDescent="0.35">
      <c r="A598">
        <v>125659</v>
      </c>
      <c r="B598" t="s">
        <v>3030</v>
      </c>
    </row>
    <row r="599" spans="1:2" x14ac:dyDescent="0.35">
      <c r="A599">
        <v>125754</v>
      </c>
      <c r="B599" t="s">
        <v>3030</v>
      </c>
    </row>
    <row r="600" spans="1:2" x14ac:dyDescent="0.35">
      <c r="A600">
        <v>125818</v>
      </c>
      <c r="B600" t="s">
        <v>3030</v>
      </c>
    </row>
    <row r="601" spans="1:2" x14ac:dyDescent="0.35">
      <c r="A601">
        <v>125882</v>
      </c>
      <c r="B601" t="s">
        <v>3030</v>
      </c>
    </row>
    <row r="602" spans="1:2" x14ac:dyDescent="0.35">
      <c r="A602">
        <v>125883</v>
      </c>
      <c r="B602" t="s">
        <v>3030</v>
      </c>
    </row>
    <row r="603" spans="1:2" x14ac:dyDescent="0.35">
      <c r="A603">
        <v>125885</v>
      </c>
      <c r="B603" t="s">
        <v>3030</v>
      </c>
    </row>
    <row r="604" spans="1:2" x14ac:dyDescent="0.35">
      <c r="A604">
        <v>125947</v>
      </c>
      <c r="B604" t="s">
        <v>3030</v>
      </c>
    </row>
    <row r="605" spans="1:2" x14ac:dyDescent="0.35">
      <c r="A605">
        <v>125976</v>
      </c>
      <c r="B605" t="s">
        <v>3030</v>
      </c>
    </row>
    <row r="606" spans="1:2" x14ac:dyDescent="0.35">
      <c r="A606">
        <v>126046</v>
      </c>
      <c r="B606" t="s">
        <v>3030</v>
      </c>
    </row>
    <row r="607" spans="1:2" x14ac:dyDescent="0.35">
      <c r="A607">
        <v>126108</v>
      </c>
      <c r="B607" t="s">
        <v>3030</v>
      </c>
    </row>
    <row r="608" spans="1:2" x14ac:dyDescent="0.35">
      <c r="A608">
        <v>126169</v>
      </c>
      <c r="B608" t="s">
        <v>3030</v>
      </c>
    </row>
    <row r="609" spans="1:2" x14ac:dyDescent="0.35">
      <c r="A609">
        <v>126235</v>
      </c>
      <c r="B609" t="s">
        <v>3030</v>
      </c>
    </row>
    <row r="610" spans="1:2" x14ac:dyDescent="0.35">
      <c r="A610">
        <v>126297</v>
      </c>
      <c r="B610" t="s">
        <v>3030</v>
      </c>
    </row>
    <row r="611" spans="1:2" x14ac:dyDescent="0.35">
      <c r="A611">
        <v>126300</v>
      </c>
      <c r="B611" t="s">
        <v>3030</v>
      </c>
    </row>
    <row r="612" spans="1:2" x14ac:dyDescent="0.35">
      <c r="A612">
        <v>126393</v>
      </c>
      <c r="B612" t="s">
        <v>3030</v>
      </c>
    </row>
    <row r="613" spans="1:2" x14ac:dyDescent="0.35">
      <c r="A613">
        <v>126456</v>
      </c>
      <c r="B613" t="s">
        <v>3030</v>
      </c>
    </row>
    <row r="614" spans="1:2" x14ac:dyDescent="0.35">
      <c r="A614">
        <v>126459</v>
      </c>
      <c r="B614" t="s">
        <v>3030</v>
      </c>
    </row>
    <row r="615" spans="1:2" x14ac:dyDescent="0.35">
      <c r="A615">
        <v>126488</v>
      </c>
      <c r="B615" t="s">
        <v>3030</v>
      </c>
    </row>
    <row r="616" spans="1:2" x14ac:dyDescent="0.35">
      <c r="A616">
        <v>126521</v>
      </c>
      <c r="B616" t="s">
        <v>3030</v>
      </c>
    </row>
    <row r="617" spans="1:2" x14ac:dyDescent="0.35">
      <c r="A617">
        <v>126585</v>
      </c>
      <c r="B617" t="s">
        <v>3030</v>
      </c>
    </row>
    <row r="618" spans="1:2" x14ac:dyDescent="0.35">
      <c r="A618">
        <v>126654</v>
      </c>
      <c r="B618" t="s">
        <v>3030</v>
      </c>
    </row>
    <row r="619" spans="1:2" x14ac:dyDescent="0.35">
      <c r="A619">
        <v>126680</v>
      </c>
      <c r="B619" t="s">
        <v>3030</v>
      </c>
    </row>
    <row r="620" spans="1:2" x14ac:dyDescent="0.35">
      <c r="A620">
        <v>126777</v>
      </c>
      <c r="B620" t="s">
        <v>3030</v>
      </c>
    </row>
    <row r="621" spans="1:2" x14ac:dyDescent="0.35">
      <c r="A621">
        <v>126783</v>
      </c>
      <c r="B621" t="s">
        <v>3030</v>
      </c>
    </row>
    <row r="622" spans="1:2" x14ac:dyDescent="0.35">
      <c r="A622">
        <v>126814</v>
      </c>
      <c r="B622" t="s">
        <v>3030</v>
      </c>
    </row>
    <row r="623" spans="1:2" x14ac:dyDescent="0.35">
      <c r="A623">
        <v>126877</v>
      </c>
      <c r="B623" t="s">
        <v>3030</v>
      </c>
    </row>
    <row r="624" spans="1:2" x14ac:dyDescent="0.35">
      <c r="A624">
        <v>126905</v>
      </c>
      <c r="B624" t="s">
        <v>3030</v>
      </c>
    </row>
    <row r="625" spans="1:2" x14ac:dyDescent="0.35">
      <c r="A625">
        <v>126907</v>
      </c>
      <c r="B625" t="s">
        <v>3030</v>
      </c>
    </row>
    <row r="626" spans="1:2" x14ac:dyDescent="0.35">
      <c r="A626">
        <v>126973</v>
      </c>
      <c r="B626" t="s">
        <v>3030</v>
      </c>
    </row>
    <row r="627" spans="1:2" x14ac:dyDescent="0.35">
      <c r="A627">
        <v>127324</v>
      </c>
      <c r="B627" t="s">
        <v>3030</v>
      </c>
    </row>
    <row r="628" spans="1:2" x14ac:dyDescent="0.35">
      <c r="A628">
        <v>127516</v>
      </c>
      <c r="B628" t="s">
        <v>3030</v>
      </c>
    </row>
    <row r="629" spans="1:2" x14ac:dyDescent="0.35">
      <c r="A629">
        <v>127545</v>
      </c>
      <c r="B629" t="s">
        <v>3030</v>
      </c>
    </row>
    <row r="630" spans="1:2" x14ac:dyDescent="0.35">
      <c r="A630">
        <v>127612</v>
      </c>
      <c r="B630" t="s">
        <v>3030</v>
      </c>
    </row>
    <row r="631" spans="1:2" x14ac:dyDescent="0.35">
      <c r="A631">
        <v>127737</v>
      </c>
      <c r="B631" t="s">
        <v>3030</v>
      </c>
    </row>
    <row r="632" spans="1:2" x14ac:dyDescent="0.35">
      <c r="A632">
        <v>127769</v>
      </c>
      <c r="B632" t="s">
        <v>3030</v>
      </c>
    </row>
    <row r="633" spans="1:2" x14ac:dyDescent="0.35">
      <c r="A633">
        <v>127773</v>
      </c>
      <c r="B633" t="s">
        <v>3030</v>
      </c>
    </row>
    <row r="634" spans="1:2" x14ac:dyDescent="0.35">
      <c r="A634">
        <v>127774</v>
      </c>
      <c r="B634" t="s">
        <v>3030</v>
      </c>
    </row>
    <row r="635" spans="1:2" x14ac:dyDescent="0.35">
      <c r="A635">
        <v>127870</v>
      </c>
      <c r="B635" t="s">
        <v>3030</v>
      </c>
    </row>
    <row r="636" spans="1:2" x14ac:dyDescent="0.35">
      <c r="A636">
        <v>128028</v>
      </c>
      <c r="B636" t="s">
        <v>3030</v>
      </c>
    </row>
    <row r="637" spans="1:2" x14ac:dyDescent="0.35">
      <c r="A637">
        <v>128061</v>
      </c>
      <c r="B637" t="s">
        <v>3030</v>
      </c>
    </row>
    <row r="638" spans="1:2" x14ac:dyDescent="0.35">
      <c r="A638">
        <v>128284</v>
      </c>
      <c r="B638" t="s">
        <v>3030</v>
      </c>
    </row>
    <row r="639" spans="1:2" x14ac:dyDescent="0.35">
      <c r="A639">
        <v>128316</v>
      </c>
      <c r="B639" t="s">
        <v>3030</v>
      </c>
    </row>
    <row r="640" spans="1:2" x14ac:dyDescent="0.35">
      <c r="A640">
        <v>128381</v>
      </c>
      <c r="B640" t="s">
        <v>3030</v>
      </c>
    </row>
    <row r="641" spans="1:2" x14ac:dyDescent="0.35">
      <c r="A641">
        <v>128504</v>
      </c>
      <c r="B641" t="s">
        <v>3030</v>
      </c>
    </row>
    <row r="642" spans="1:2" x14ac:dyDescent="0.35">
      <c r="A642">
        <v>128509</v>
      </c>
      <c r="B642" t="s">
        <v>3030</v>
      </c>
    </row>
    <row r="643" spans="1:2" x14ac:dyDescent="0.35">
      <c r="A643">
        <v>128510</v>
      </c>
      <c r="B643" t="s">
        <v>3030</v>
      </c>
    </row>
    <row r="644" spans="1:2" x14ac:dyDescent="0.35">
      <c r="A644">
        <v>128735</v>
      </c>
      <c r="B644" t="s">
        <v>3030</v>
      </c>
    </row>
    <row r="645" spans="1:2" x14ac:dyDescent="0.35">
      <c r="A645">
        <v>128765</v>
      </c>
      <c r="B645" t="s">
        <v>3030</v>
      </c>
    </row>
    <row r="646" spans="1:2" x14ac:dyDescent="0.35">
      <c r="A646">
        <v>128767</v>
      </c>
      <c r="B646" t="s">
        <v>3030</v>
      </c>
    </row>
    <row r="647" spans="1:2" x14ac:dyDescent="0.35">
      <c r="A647">
        <v>128830</v>
      </c>
      <c r="B647" t="s">
        <v>3030</v>
      </c>
    </row>
    <row r="648" spans="1:2" x14ac:dyDescent="0.35">
      <c r="A648">
        <v>128925</v>
      </c>
      <c r="B648" t="s">
        <v>3030</v>
      </c>
    </row>
    <row r="649" spans="1:2" x14ac:dyDescent="0.35">
      <c r="A649">
        <v>128984</v>
      </c>
      <c r="B649" t="s">
        <v>3030</v>
      </c>
    </row>
    <row r="650" spans="1:2" x14ac:dyDescent="0.35">
      <c r="A650">
        <v>129018</v>
      </c>
      <c r="B650" t="s">
        <v>3030</v>
      </c>
    </row>
    <row r="651" spans="1:2" x14ac:dyDescent="0.35">
      <c r="A651">
        <v>129053</v>
      </c>
      <c r="B651" t="s">
        <v>3030</v>
      </c>
    </row>
    <row r="652" spans="1:2" x14ac:dyDescent="0.35">
      <c r="A652">
        <v>129182</v>
      </c>
      <c r="B652" t="s">
        <v>3030</v>
      </c>
    </row>
    <row r="653" spans="1:2" x14ac:dyDescent="0.35">
      <c r="A653">
        <v>129241</v>
      </c>
      <c r="B653" t="s">
        <v>3030</v>
      </c>
    </row>
    <row r="654" spans="1:2" x14ac:dyDescent="0.35">
      <c r="A654">
        <v>129246</v>
      </c>
      <c r="B654" t="s">
        <v>3030</v>
      </c>
    </row>
    <row r="655" spans="1:2" x14ac:dyDescent="0.35">
      <c r="A655">
        <v>129272</v>
      </c>
      <c r="B655" t="s">
        <v>3030</v>
      </c>
    </row>
    <row r="656" spans="1:2" x14ac:dyDescent="0.35">
      <c r="A656">
        <v>129279</v>
      </c>
      <c r="B656" t="s">
        <v>3030</v>
      </c>
    </row>
    <row r="657" spans="1:2" x14ac:dyDescent="0.35">
      <c r="A657">
        <v>129310</v>
      </c>
      <c r="B657" t="s">
        <v>3030</v>
      </c>
    </row>
    <row r="658" spans="1:2" x14ac:dyDescent="0.35">
      <c r="A658">
        <v>129336</v>
      </c>
      <c r="B658" t="s">
        <v>3030</v>
      </c>
    </row>
    <row r="659" spans="1:2" x14ac:dyDescent="0.35">
      <c r="A659">
        <v>129339</v>
      </c>
      <c r="B659" t="s">
        <v>3030</v>
      </c>
    </row>
    <row r="660" spans="1:2" x14ac:dyDescent="0.35">
      <c r="A660">
        <v>129368</v>
      </c>
      <c r="B660" t="s">
        <v>3030</v>
      </c>
    </row>
    <row r="661" spans="1:2" x14ac:dyDescent="0.35">
      <c r="A661">
        <v>129369</v>
      </c>
      <c r="B661" t="s">
        <v>3030</v>
      </c>
    </row>
    <row r="662" spans="1:2" x14ac:dyDescent="0.35">
      <c r="A662">
        <v>129433</v>
      </c>
      <c r="B662" t="s">
        <v>3030</v>
      </c>
    </row>
    <row r="663" spans="1:2" x14ac:dyDescent="0.35">
      <c r="A663">
        <v>129501</v>
      </c>
      <c r="B663" t="s">
        <v>3030</v>
      </c>
    </row>
    <row r="664" spans="1:2" x14ac:dyDescent="0.35">
      <c r="A664">
        <v>129592</v>
      </c>
      <c r="B664" t="s">
        <v>3030</v>
      </c>
    </row>
    <row r="665" spans="1:2" x14ac:dyDescent="0.35">
      <c r="A665">
        <v>129727</v>
      </c>
      <c r="B665" t="s">
        <v>3030</v>
      </c>
    </row>
    <row r="666" spans="1:2" x14ac:dyDescent="0.35">
      <c r="A666">
        <v>129753</v>
      </c>
      <c r="B666" t="s">
        <v>3030</v>
      </c>
    </row>
    <row r="667" spans="1:2" x14ac:dyDescent="0.35">
      <c r="A667">
        <v>129791</v>
      </c>
      <c r="B667" t="s">
        <v>3030</v>
      </c>
    </row>
    <row r="668" spans="1:2" x14ac:dyDescent="0.35">
      <c r="A668">
        <v>129850</v>
      </c>
      <c r="B668" t="s">
        <v>3030</v>
      </c>
    </row>
    <row r="669" spans="1:2" x14ac:dyDescent="0.35">
      <c r="A669">
        <v>129854</v>
      </c>
      <c r="B669" t="s">
        <v>3030</v>
      </c>
    </row>
    <row r="670" spans="1:2" x14ac:dyDescent="0.35">
      <c r="A670">
        <v>129918</v>
      </c>
      <c r="B670" t="s">
        <v>3030</v>
      </c>
    </row>
    <row r="671" spans="1:2" x14ac:dyDescent="0.35">
      <c r="A671">
        <v>129947</v>
      </c>
      <c r="B671" t="s">
        <v>3030</v>
      </c>
    </row>
    <row r="672" spans="1:2" x14ac:dyDescent="0.35">
      <c r="A672">
        <v>129979</v>
      </c>
      <c r="B672" t="s">
        <v>3030</v>
      </c>
    </row>
    <row r="673" spans="1:2" x14ac:dyDescent="0.35">
      <c r="A673">
        <v>130015</v>
      </c>
      <c r="B673" t="s">
        <v>3030</v>
      </c>
    </row>
    <row r="674" spans="1:2" x14ac:dyDescent="0.35">
      <c r="A674">
        <v>130042</v>
      </c>
      <c r="B674" t="s">
        <v>3030</v>
      </c>
    </row>
    <row r="675" spans="1:2" x14ac:dyDescent="0.35">
      <c r="A675">
        <v>130077</v>
      </c>
      <c r="B675" t="s">
        <v>3030</v>
      </c>
    </row>
    <row r="676" spans="1:2" x14ac:dyDescent="0.35">
      <c r="A676">
        <v>130079</v>
      </c>
      <c r="B676" t="s">
        <v>3030</v>
      </c>
    </row>
    <row r="677" spans="1:2" x14ac:dyDescent="0.35">
      <c r="A677">
        <v>130110</v>
      </c>
      <c r="B677" t="s">
        <v>3030</v>
      </c>
    </row>
    <row r="678" spans="1:2" x14ac:dyDescent="0.35">
      <c r="A678">
        <v>130174</v>
      </c>
      <c r="B678" t="s">
        <v>3030</v>
      </c>
    </row>
    <row r="679" spans="1:2" x14ac:dyDescent="0.35">
      <c r="A679">
        <v>130267</v>
      </c>
      <c r="B679" t="s">
        <v>3030</v>
      </c>
    </row>
    <row r="680" spans="1:2" x14ac:dyDescent="0.35">
      <c r="A680">
        <v>130429</v>
      </c>
      <c r="B680" t="s">
        <v>3030</v>
      </c>
    </row>
    <row r="681" spans="1:2" x14ac:dyDescent="0.35">
      <c r="A681">
        <v>130430</v>
      </c>
      <c r="B681" t="s">
        <v>3030</v>
      </c>
    </row>
    <row r="682" spans="1:2" x14ac:dyDescent="0.35">
      <c r="A682">
        <v>130489</v>
      </c>
      <c r="B682" t="s">
        <v>3030</v>
      </c>
    </row>
    <row r="683" spans="1:2" x14ac:dyDescent="0.35">
      <c r="A683">
        <v>130623</v>
      </c>
      <c r="B683" t="s">
        <v>3030</v>
      </c>
    </row>
    <row r="684" spans="1:2" x14ac:dyDescent="0.35">
      <c r="A684">
        <v>130746</v>
      </c>
      <c r="B684" t="s">
        <v>3030</v>
      </c>
    </row>
    <row r="685" spans="1:2" x14ac:dyDescent="0.35">
      <c r="A685">
        <v>130776</v>
      </c>
      <c r="B685" t="s">
        <v>3030</v>
      </c>
    </row>
    <row r="686" spans="1:2" x14ac:dyDescent="0.35">
      <c r="A686">
        <v>130840</v>
      </c>
      <c r="B686" t="s">
        <v>3030</v>
      </c>
    </row>
    <row r="687" spans="1:2" x14ac:dyDescent="0.35">
      <c r="A687">
        <v>130845</v>
      </c>
      <c r="B687" t="s">
        <v>3030</v>
      </c>
    </row>
    <row r="688" spans="1:2" x14ac:dyDescent="0.35">
      <c r="A688">
        <v>130905</v>
      </c>
      <c r="B688" t="s">
        <v>3030</v>
      </c>
    </row>
    <row r="689" spans="1:2" x14ac:dyDescent="0.35">
      <c r="A689">
        <v>130936</v>
      </c>
      <c r="B689" t="s">
        <v>3030</v>
      </c>
    </row>
    <row r="690" spans="1:2" x14ac:dyDescent="0.35">
      <c r="A690">
        <v>131039</v>
      </c>
      <c r="B690" t="s">
        <v>3030</v>
      </c>
    </row>
    <row r="691" spans="1:2" x14ac:dyDescent="0.35">
      <c r="A691">
        <v>131101</v>
      </c>
      <c r="B691" t="s">
        <v>3030</v>
      </c>
    </row>
    <row r="692" spans="1:2" x14ac:dyDescent="0.35">
      <c r="A692">
        <v>131130</v>
      </c>
      <c r="B692" t="s">
        <v>3030</v>
      </c>
    </row>
    <row r="693" spans="1:2" x14ac:dyDescent="0.35">
      <c r="A693">
        <v>131133</v>
      </c>
      <c r="B693" t="s">
        <v>3030</v>
      </c>
    </row>
    <row r="694" spans="1:2" x14ac:dyDescent="0.35">
      <c r="A694">
        <v>131288</v>
      </c>
      <c r="B694" t="s">
        <v>3030</v>
      </c>
    </row>
    <row r="695" spans="1:2" x14ac:dyDescent="0.35">
      <c r="A695">
        <v>131294</v>
      </c>
      <c r="B695" t="s">
        <v>3030</v>
      </c>
    </row>
    <row r="696" spans="1:2" x14ac:dyDescent="0.35">
      <c r="A696">
        <v>131450</v>
      </c>
      <c r="B696" t="s">
        <v>3030</v>
      </c>
    </row>
    <row r="697" spans="1:2" x14ac:dyDescent="0.35">
      <c r="A697">
        <v>131614</v>
      </c>
      <c r="B697" t="s">
        <v>3030</v>
      </c>
    </row>
    <row r="698" spans="1:2" x14ac:dyDescent="0.35">
      <c r="A698">
        <v>131642</v>
      </c>
      <c r="B698" t="s">
        <v>3030</v>
      </c>
    </row>
    <row r="699" spans="1:2" x14ac:dyDescent="0.35">
      <c r="A699">
        <v>131773</v>
      </c>
      <c r="B699" t="s">
        <v>3030</v>
      </c>
    </row>
    <row r="700" spans="1:2" x14ac:dyDescent="0.35">
      <c r="A700">
        <v>131802</v>
      </c>
      <c r="B700" t="s">
        <v>3030</v>
      </c>
    </row>
    <row r="701" spans="1:2" x14ac:dyDescent="0.35">
      <c r="A701">
        <v>131835</v>
      </c>
      <c r="B701" t="s">
        <v>3030</v>
      </c>
    </row>
    <row r="702" spans="1:2" x14ac:dyDescent="0.35">
      <c r="A702">
        <v>131901</v>
      </c>
      <c r="B702" t="s">
        <v>3030</v>
      </c>
    </row>
    <row r="703" spans="1:2" x14ac:dyDescent="0.35">
      <c r="A703">
        <v>131960</v>
      </c>
      <c r="B703" t="s">
        <v>3030</v>
      </c>
    </row>
    <row r="704" spans="1:2" x14ac:dyDescent="0.35">
      <c r="A704">
        <v>131998</v>
      </c>
      <c r="B704" t="s">
        <v>3030</v>
      </c>
    </row>
    <row r="705" spans="1:2" x14ac:dyDescent="0.35">
      <c r="A705">
        <v>132024</v>
      </c>
      <c r="B705" t="s">
        <v>3030</v>
      </c>
    </row>
    <row r="706" spans="1:2" x14ac:dyDescent="0.35">
      <c r="A706">
        <v>132062</v>
      </c>
      <c r="B706" t="s">
        <v>3030</v>
      </c>
    </row>
    <row r="707" spans="1:2" x14ac:dyDescent="0.35">
      <c r="A707">
        <v>132091</v>
      </c>
      <c r="B707" t="s">
        <v>3030</v>
      </c>
    </row>
    <row r="708" spans="1:2" x14ac:dyDescent="0.35">
      <c r="A708">
        <v>132093</v>
      </c>
      <c r="B708" t="s">
        <v>3030</v>
      </c>
    </row>
    <row r="709" spans="1:2" x14ac:dyDescent="0.35">
      <c r="A709">
        <v>132095</v>
      </c>
      <c r="B709" t="s">
        <v>3030</v>
      </c>
    </row>
    <row r="710" spans="1:2" x14ac:dyDescent="0.35">
      <c r="A710">
        <v>132127</v>
      </c>
      <c r="B710" t="s">
        <v>3030</v>
      </c>
    </row>
    <row r="711" spans="1:2" x14ac:dyDescent="0.35">
      <c r="A711">
        <v>132152</v>
      </c>
      <c r="B711" t="s">
        <v>3030</v>
      </c>
    </row>
    <row r="712" spans="1:2" x14ac:dyDescent="0.35">
      <c r="A712">
        <v>132221</v>
      </c>
      <c r="B712" t="s">
        <v>3030</v>
      </c>
    </row>
    <row r="713" spans="1:2" x14ac:dyDescent="0.35">
      <c r="A713">
        <v>132222</v>
      </c>
      <c r="B713" t="s">
        <v>3030</v>
      </c>
    </row>
    <row r="714" spans="1:2" x14ac:dyDescent="0.35">
      <c r="A714">
        <v>132248</v>
      </c>
      <c r="B714" t="s">
        <v>3030</v>
      </c>
    </row>
    <row r="715" spans="1:2" x14ac:dyDescent="0.35">
      <c r="A715">
        <v>132281</v>
      </c>
      <c r="B715" t="s">
        <v>3030</v>
      </c>
    </row>
    <row r="716" spans="1:2" x14ac:dyDescent="0.35">
      <c r="A716">
        <v>132347</v>
      </c>
      <c r="B716" t="s">
        <v>3030</v>
      </c>
    </row>
    <row r="717" spans="1:2" x14ac:dyDescent="0.35">
      <c r="A717">
        <v>132350</v>
      </c>
      <c r="B717" t="s">
        <v>3030</v>
      </c>
    </row>
    <row r="718" spans="1:2" x14ac:dyDescent="0.35">
      <c r="A718">
        <v>132472</v>
      </c>
      <c r="B718" t="s">
        <v>3030</v>
      </c>
    </row>
    <row r="719" spans="1:2" x14ac:dyDescent="0.35">
      <c r="A719">
        <v>132573</v>
      </c>
      <c r="B719" t="s">
        <v>3030</v>
      </c>
    </row>
    <row r="720" spans="1:2" x14ac:dyDescent="0.35">
      <c r="A720">
        <v>132669</v>
      </c>
      <c r="B720" t="s">
        <v>3030</v>
      </c>
    </row>
    <row r="721" spans="1:2" x14ac:dyDescent="0.35">
      <c r="A721">
        <v>132733</v>
      </c>
      <c r="B721" t="s">
        <v>3030</v>
      </c>
    </row>
    <row r="722" spans="1:2" x14ac:dyDescent="0.35">
      <c r="A722">
        <v>132794</v>
      </c>
      <c r="B722" t="s">
        <v>3030</v>
      </c>
    </row>
    <row r="723" spans="1:2" x14ac:dyDescent="0.35">
      <c r="A723">
        <v>132857</v>
      </c>
      <c r="B723" t="s">
        <v>3030</v>
      </c>
    </row>
    <row r="724" spans="1:2" x14ac:dyDescent="0.35">
      <c r="A724">
        <v>132863</v>
      </c>
      <c r="B724" t="s">
        <v>3030</v>
      </c>
    </row>
    <row r="725" spans="1:2" x14ac:dyDescent="0.35">
      <c r="A725">
        <v>132894</v>
      </c>
      <c r="B725" t="s">
        <v>3030</v>
      </c>
    </row>
    <row r="726" spans="1:2" x14ac:dyDescent="0.35">
      <c r="A726">
        <v>133052</v>
      </c>
      <c r="B726" t="s">
        <v>3030</v>
      </c>
    </row>
    <row r="727" spans="1:2" x14ac:dyDescent="0.35">
      <c r="A727">
        <v>133081</v>
      </c>
      <c r="B727" t="s">
        <v>3030</v>
      </c>
    </row>
    <row r="728" spans="1:2" x14ac:dyDescent="0.35">
      <c r="A728">
        <v>133144</v>
      </c>
      <c r="B728" t="s">
        <v>3030</v>
      </c>
    </row>
    <row r="729" spans="1:2" x14ac:dyDescent="0.35">
      <c r="A729">
        <v>133247</v>
      </c>
      <c r="B729" t="s">
        <v>3030</v>
      </c>
    </row>
    <row r="730" spans="1:2" x14ac:dyDescent="0.35">
      <c r="A730">
        <v>133277</v>
      </c>
      <c r="B730" t="s">
        <v>3030</v>
      </c>
    </row>
    <row r="731" spans="1:2" x14ac:dyDescent="0.35">
      <c r="A731">
        <v>133305</v>
      </c>
      <c r="B731" t="s">
        <v>3030</v>
      </c>
    </row>
    <row r="732" spans="1:2" x14ac:dyDescent="0.35">
      <c r="A732">
        <v>133306</v>
      </c>
      <c r="B732" t="s">
        <v>3030</v>
      </c>
    </row>
    <row r="733" spans="1:2" x14ac:dyDescent="0.35">
      <c r="A733">
        <v>133310</v>
      </c>
      <c r="B733" t="s">
        <v>3030</v>
      </c>
    </row>
    <row r="734" spans="1:2" x14ac:dyDescent="0.35">
      <c r="A734">
        <v>133369</v>
      </c>
      <c r="B734" t="s">
        <v>3030</v>
      </c>
    </row>
    <row r="735" spans="1:2" x14ac:dyDescent="0.35">
      <c r="A735">
        <v>133627</v>
      </c>
      <c r="B735" t="s">
        <v>3030</v>
      </c>
    </row>
    <row r="736" spans="1:2" x14ac:dyDescent="0.35">
      <c r="A736">
        <v>133662</v>
      </c>
      <c r="B736" t="s">
        <v>3030</v>
      </c>
    </row>
    <row r="737" spans="1:2" x14ac:dyDescent="0.35">
      <c r="A737">
        <v>133722</v>
      </c>
      <c r="B737" t="s">
        <v>3030</v>
      </c>
    </row>
    <row r="738" spans="1:2" x14ac:dyDescent="0.35">
      <c r="A738">
        <v>133819</v>
      </c>
      <c r="B738" t="s">
        <v>3030</v>
      </c>
    </row>
    <row r="739" spans="1:2" x14ac:dyDescent="0.35">
      <c r="A739">
        <v>133851</v>
      </c>
      <c r="B739" t="s">
        <v>3030</v>
      </c>
    </row>
    <row r="740" spans="1:2" x14ac:dyDescent="0.35">
      <c r="A740">
        <v>133884</v>
      </c>
      <c r="B740" t="s">
        <v>3030</v>
      </c>
    </row>
    <row r="741" spans="1:2" x14ac:dyDescent="0.35">
      <c r="A741">
        <v>133917</v>
      </c>
      <c r="B741" t="s">
        <v>3030</v>
      </c>
    </row>
    <row r="742" spans="1:2" x14ac:dyDescent="0.35">
      <c r="A742">
        <v>133919</v>
      </c>
      <c r="B742" t="s">
        <v>3030</v>
      </c>
    </row>
    <row r="743" spans="1:2" x14ac:dyDescent="0.35">
      <c r="A743">
        <v>133951</v>
      </c>
      <c r="B743" t="s">
        <v>3030</v>
      </c>
    </row>
    <row r="744" spans="1:2" x14ac:dyDescent="0.35">
      <c r="A744">
        <v>133979</v>
      </c>
      <c r="B744" t="s">
        <v>3030</v>
      </c>
    </row>
    <row r="745" spans="1:2" x14ac:dyDescent="0.35">
      <c r="A745">
        <v>134011</v>
      </c>
      <c r="B745" t="s">
        <v>3030</v>
      </c>
    </row>
    <row r="746" spans="1:2" x14ac:dyDescent="0.35">
      <c r="A746">
        <v>134111</v>
      </c>
      <c r="B746" t="s">
        <v>3030</v>
      </c>
    </row>
    <row r="747" spans="1:2" x14ac:dyDescent="0.35">
      <c r="A747">
        <v>134202</v>
      </c>
      <c r="B747" t="s">
        <v>3030</v>
      </c>
    </row>
    <row r="748" spans="1:2" x14ac:dyDescent="0.35">
      <c r="A748">
        <v>134271</v>
      </c>
      <c r="B748" t="s">
        <v>3030</v>
      </c>
    </row>
    <row r="749" spans="1:2" x14ac:dyDescent="0.35">
      <c r="A749">
        <v>134398</v>
      </c>
      <c r="B749" t="s">
        <v>3030</v>
      </c>
    </row>
    <row r="750" spans="1:2" x14ac:dyDescent="0.35">
      <c r="A750">
        <v>134425</v>
      </c>
      <c r="B750" t="s">
        <v>3030</v>
      </c>
    </row>
    <row r="751" spans="1:2" x14ac:dyDescent="0.35">
      <c r="A751">
        <v>134431</v>
      </c>
      <c r="B751" t="s">
        <v>3030</v>
      </c>
    </row>
    <row r="752" spans="1:2" x14ac:dyDescent="0.35">
      <c r="A752">
        <v>134553</v>
      </c>
      <c r="B752" t="s">
        <v>3030</v>
      </c>
    </row>
    <row r="753" spans="1:2" x14ac:dyDescent="0.35">
      <c r="A753">
        <v>134648</v>
      </c>
      <c r="B753" t="s">
        <v>3030</v>
      </c>
    </row>
    <row r="754" spans="1:2" x14ac:dyDescent="0.35">
      <c r="A754">
        <v>134651</v>
      </c>
      <c r="B754" t="s">
        <v>3030</v>
      </c>
    </row>
    <row r="755" spans="1:2" x14ac:dyDescent="0.35">
      <c r="A755">
        <v>134745</v>
      </c>
      <c r="B755" t="s">
        <v>3030</v>
      </c>
    </row>
    <row r="756" spans="1:2" x14ac:dyDescent="0.35">
      <c r="A756">
        <v>134779</v>
      </c>
      <c r="B756" t="s">
        <v>3030</v>
      </c>
    </row>
    <row r="757" spans="1:2" x14ac:dyDescent="0.35">
      <c r="A757">
        <v>134782</v>
      </c>
      <c r="B757" t="s">
        <v>3030</v>
      </c>
    </row>
    <row r="758" spans="1:2" x14ac:dyDescent="0.35">
      <c r="A758">
        <v>134808</v>
      </c>
      <c r="B758" t="s">
        <v>3030</v>
      </c>
    </row>
    <row r="759" spans="1:2" x14ac:dyDescent="0.35">
      <c r="A759">
        <v>134846</v>
      </c>
      <c r="B759" t="s">
        <v>3030</v>
      </c>
    </row>
    <row r="760" spans="1:2" x14ac:dyDescent="0.35">
      <c r="A760">
        <v>134908</v>
      </c>
      <c r="B760" t="s">
        <v>3030</v>
      </c>
    </row>
    <row r="761" spans="1:2" x14ac:dyDescent="0.35">
      <c r="A761">
        <v>134943</v>
      </c>
      <c r="B761" t="s">
        <v>3030</v>
      </c>
    </row>
    <row r="762" spans="1:2" x14ac:dyDescent="0.35">
      <c r="A762">
        <v>135005</v>
      </c>
      <c r="B762" t="s">
        <v>3030</v>
      </c>
    </row>
    <row r="763" spans="1:2" x14ac:dyDescent="0.35">
      <c r="A763">
        <v>135037</v>
      </c>
      <c r="B763" t="s">
        <v>3030</v>
      </c>
    </row>
    <row r="764" spans="1:2" x14ac:dyDescent="0.35">
      <c r="A764">
        <v>135160</v>
      </c>
      <c r="B764" t="s">
        <v>3030</v>
      </c>
    </row>
    <row r="765" spans="1:2" x14ac:dyDescent="0.35">
      <c r="A765">
        <v>135194</v>
      </c>
      <c r="B765" t="s">
        <v>3030</v>
      </c>
    </row>
    <row r="766" spans="1:2" x14ac:dyDescent="0.35">
      <c r="A766">
        <v>135224</v>
      </c>
      <c r="B766" t="s">
        <v>3030</v>
      </c>
    </row>
    <row r="767" spans="1:2" x14ac:dyDescent="0.35">
      <c r="A767">
        <v>135320</v>
      </c>
      <c r="B767" t="s">
        <v>3030</v>
      </c>
    </row>
    <row r="768" spans="1:2" x14ac:dyDescent="0.35">
      <c r="A768">
        <v>135356</v>
      </c>
      <c r="B768" t="s">
        <v>3030</v>
      </c>
    </row>
    <row r="769" spans="1:2" x14ac:dyDescent="0.35">
      <c r="A769">
        <v>135389</v>
      </c>
      <c r="B769" t="s">
        <v>3030</v>
      </c>
    </row>
    <row r="770" spans="1:2" x14ac:dyDescent="0.35">
      <c r="A770">
        <v>135420</v>
      </c>
      <c r="B770" t="s">
        <v>3030</v>
      </c>
    </row>
    <row r="771" spans="1:2" x14ac:dyDescent="0.35">
      <c r="A771">
        <v>135480</v>
      </c>
      <c r="B771" t="s">
        <v>3030</v>
      </c>
    </row>
    <row r="772" spans="1:2" x14ac:dyDescent="0.35">
      <c r="A772">
        <v>135612</v>
      </c>
      <c r="B772" t="s">
        <v>3030</v>
      </c>
    </row>
    <row r="773" spans="1:2" x14ac:dyDescent="0.35">
      <c r="A773">
        <v>135613</v>
      </c>
      <c r="B773" t="s">
        <v>3030</v>
      </c>
    </row>
    <row r="774" spans="1:2" x14ac:dyDescent="0.35">
      <c r="A774">
        <v>135643</v>
      </c>
      <c r="B774" t="s">
        <v>3030</v>
      </c>
    </row>
    <row r="775" spans="1:2" x14ac:dyDescent="0.35">
      <c r="A775">
        <v>135707</v>
      </c>
      <c r="B775" t="s">
        <v>3030</v>
      </c>
    </row>
    <row r="776" spans="1:2" x14ac:dyDescent="0.35">
      <c r="A776">
        <v>135806</v>
      </c>
      <c r="B776" t="s">
        <v>3030</v>
      </c>
    </row>
    <row r="777" spans="1:2" x14ac:dyDescent="0.35">
      <c r="A777">
        <v>135867</v>
      </c>
      <c r="B777" t="s">
        <v>3030</v>
      </c>
    </row>
    <row r="778" spans="1:2" x14ac:dyDescent="0.35">
      <c r="A778">
        <v>135871</v>
      </c>
      <c r="B778" t="s">
        <v>3030</v>
      </c>
    </row>
    <row r="779" spans="1:2" x14ac:dyDescent="0.35">
      <c r="A779">
        <v>135897</v>
      </c>
      <c r="B779" t="s">
        <v>3030</v>
      </c>
    </row>
    <row r="780" spans="1:2" x14ac:dyDescent="0.35">
      <c r="A780">
        <v>136121</v>
      </c>
      <c r="B780" t="s">
        <v>3030</v>
      </c>
    </row>
    <row r="781" spans="1:2" x14ac:dyDescent="0.35">
      <c r="A781">
        <v>136158</v>
      </c>
      <c r="B781" t="s">
        <v>3030</v>
      </c>
    </row>
    <row r="782" spans="1:2" x14ac:dyDescent="0.35">
      <c r="A782">
        <v>136252</v>
      </c>
      <c r="B782" t="s">
        <v>3030</v>
      </c>
    </row>
    <row r="783" spans="1:2" x14ac:dyDescent="0.35">
      <c r="A783">
        <v>136378</v>
      </c>
      <c r="B783" t="s">
        <v>3030</v>
      </c>
    </row>
    <row r="784" spans="1:2" x14ac:dyDescent="0.35">
      <c r="A784">
        <v>136440</v>
      </c>
      <c r="B784" t="s">
        <v>3030</v>
      </c>
    </row>
    <row r="785" spans="1:2" x14ac:dyDescent="0.35">
      <c r="A785">
        <v>136444</v>
      </c>
      <c r="B785" t="s">
        <v>3030</v>
      </c>
    </row>
    <row r="786" spans="1:2" x14ac:dyDescent="0.35">
      <c r="A786">
        <v>136476</v>
      </c>
      <c r="B786" t="s">
        <v>3030</v>
      </c>
    </row>
    <row r="787" spans="1:2" x14ac:dyDescent="0.35">
      <c r="A787">
        <v>136507</v>
      </c>
      <c r="B787" t="s">
        <v>3030</v>
      </c>
    </row>
    <row r="788" spans="1:2" x14ac:dyDescent="0.35">
      <c r="A788">
        <v>136537</v>
      </c>
      <c r="B788" t="s">
        <v>3030</v>
      </c>
    </row>
    <row r="789" spans="1:2" x14ac:dyDescent="0.35">
      <c r="A789">
        <v>136572</v>
      </c>
      <c r="B789" t="s">
        <v>3030</v>
      </c>
    </row>
    <row r="790" spans="1:2" x14ac:dyDescent="0.35">
      <c r="A790">
        <v>136606</v>
      </c>
      <c r="B790" t="s">
        <v>3030</v>
      </c>
    </row>
    <row r="791" spans="1:2" x14ac:dyDescent="0.35">
      <c r="A791">
        <v>136607</v>
      </c>
      <c r="B791" t="s">
        <v>3030</v>
      </c>
    </row>
    <row r="792" spans="1:2" x14ac:dyDescent="0.35">
      <c r="A792">
        <v>136765</v>
      </c>
      <c r="B792" t="s">
        <v>3030</v>
      </c>
    </row>
    <row r="793" spans="1:2" x14ac:dyDescent="0.35">
      <c r="A793">
        <v>136795</v>
      </c>
      <c r="B793" t="s">
        <v>3030</v>
      </c>
    </row>
    <row r="794" spans="1:2" x14ac:dyDescent="0.35">
      <c r="A794">
        <v>136825</v>
      </c>
      <c r="B794" t="s">
        <v>3030</v>
      </c>
    </row>
    <row r="795" spans="1:2" x14ac:dyDescent="0.35">
      <c r="A795">
        <v>136861</v>
      </c>
      <c r="B795" t="s">
        <v>3030</v>
      </c>
    </row>
    <row r="796" spans="1:2" x14ac:dyDescent="0.35">
      <c r="A796">
        <v>136889</v>
      </c>
      <c r="B796" t="s">
        <v>3030</v>
      </c>
    </row>
    <row r="797" spans="1:2" x14ac:dyDescent="0.35">
      <c r="A797">
        <v>136894</v>
      </c>
      <c r="B797" t="s">
        <v>3030</v>
      </c>
    </row>
    <row r="798" spans="1:2" x14ac:dyDescent="0.35">
      <c r="A798">
        <v>136988</v>
      </c>
      <c r="B798" t="s">
        <v>3030</v>
      </c>
    </row>
    <row r="799" spans="1:2" x14ac:dyDescent="0.35">
      <c r="A799">
        <v>137021</v>
      </c>
      <c r="B799" t="s">
        <v>3030</v>
      </c>
    </row>
    <row r="800" spans="1:2" x14ac:dyDescent="0.35">
      <c r="A800">
        <v>137113</v>
      </c>
      <c r="B800" t="s">
        <v>3030</v>
      </c>
    </row>
    <row r="801" spans="1:2" x14ac:dyDescent="0.35">
      <c r="A801">
        <v>137272</v>
      </c>
      <c r="B801" t="s">
        <v>3030</v>
      </c>
    </row>
    <row r="802" spans="1:2" x14ac:dyDescent="0.35">
      <c r="A802">
        <v>137275</v>
      </c>
      <c r="B802" t="s">
        <v>3030</v>
      </c>
    </row>
    <row r="803" spans="1:2" x14ac:dyDescent="0.35">
      <c r="A803">
        <v>137406</v>
      </c>
      <c r="B803" t="s">
        <v>3030</v>
      </c>
    </row>
    <row r="804" spans="1:2" x14ac:dyDescent="0.35">
      <c r="A804">
        <v>137471</v>
      </c>
      <c r="B804" t="s">
        <v>3030</v>
      </c>
    </row>
    <row r="805" spans="1:2" x14ac:dyDescent="0.35">
      <c r="A805">
        <v>137497</v>
      </c>
      <c r="B805" t="s">
        <v>3030</v>
      </c>
    </row>
    <row r="806" spans="1:2" x14ac:dyDescent="0.35">
      <c r="A806">
        <v>137500</v>
      </c>
      <c r="B806" t="s">
        <v>3030</v>
      </c>
    </row>
    <row r="807" spans="1:2" x14ac:dyDescent="0.35">
      <c r="A807">
        <v>137530</v>
      </c>
      <c r="B807" t="s">
        <v>3030</v>
      </c>
    </row>
    <row r="808" spans="1:2" x14ac:dyDescent="0.35">
      <c r="A808">
        <v>137534</v>
      </c>
      <c r="B808" t="s">
        <v>3030</v>
      </c>
    </row>
    <row r="809" spans="1:2" x14ac:dyDescent="0.35">
      <c r="A809">
        <v>137535</v>
      </c>
      <c r="B809" t="s">
        <v>3030</v>
      </c>
    </row>
    <row r="810" spans="1:2" x14ac:dyDescent="0.35">
      <c r="A810">
        <v>137596</v>
      </c>
      <c r="B810" t="s">
        <v>3030</v>
      </c>
    </row>
    <row r="811" spans="1:2" x14ac:dyDescent="0.35">
      <c r="A811">
        <v>137630</v>
      </c>
      <c r="B811" t="s">
        <v>3030</v>
      </c>
    </row>
    <row r="812" spans="1:2" x14ac:dyDescent="0.35">
      <c r="A812">
        <v>137755</v>
      </c>
      <c r="B812" t="s">
        <v>3030</v>
      </c>
    </row>
    <row r="813" spans="1:2" x14ac:dyDescent="0.35">
      <c r="A813">
        <v>137756</v>
      </c>
      <c r="B813" t="s">
        <v>3030</v>
      </c>
    </row>
    <row r="814" spans="1:2" x14ac:dyDescent="0.35">
      <c r="A814">
        <v>137785</v>
      </c>
      <c r="B814" t="s">
        <v>3030</v>
      </c>
    </row>
    <row r="815" spans="1:2" x14ac:dyDescent="0.35">
      <c r="A815">
        <v>137819</v>
      </c>
      <c r="B815" t="s">
        <v>3030</v>
      </c>
    </row>
    <row r="816" spans="1:2" x14ac:dyDescent="0.35">
      <c r="A816">
        <v>137981</v>
      </c>
      <c r="B816" t="s">
        <v>3030</v>
      </c>
    </row>
    <row r="817" spans="1:2" x14ac:dyDescent="0.35">
      <c r="A817">
        <v>138009</v>
      </c>
      <c r="B817" t="s">
        <v>3030</v>
      </c>
    </row>
    <row r="818" spans="1:2" x14ac:dyDescent="0.35">
      <c r="A818">
        <v>138040</v>
      </c>
      <c r="B818" t="s">
        <v>3030</v>
      </c>
    </row>
    <row r="819" spans="1:2" x14ac:dyDescent="0.35">
      <c r="A819">
        <v>138075</v>
      </c>
      <c r="B819" t="s">
        <v>3030</v>
      </c>
    </row>
    <row r="820" spans="1:2" x14ac:dyDescent="0.35">
      <c r="A820">
        <v>138078</v>
      </c>
      <c r="B820" t="s">
        <v>3030</v>
      </c>
    </row>
    <row r="821" spans="1:2" x14ac:dyDescent="0.35">
      <c r="A821">
        <v>138142</v>
      </c>
      <c r="B821" t="s">
        <v>3030</v>
      </c>
    </row>
    <row r="822" spans="1:2" x14ac:dyDescent="0.35">
      <c r="A822">
        <v>138234</v>
      </c>
      <c r="B822" t="s">
        <v>3030</v>
      </c>
    </row>
    <row r="823" spans="1:2" x14ac:dyDescent="0.35">
      <c r="A823">
        <v>138303</v>
      </c>
      <c r="B823" t="s">
        <v>3030</v>
      </c>
    </row>
    <row r="824" spans="1:2" x14ac:dyDescent="0.35">
      <c r="A824">
        <v>138428</v>
      </c>
      <c r="B824" t="s">
        <v>3030</v>
      </c>
    </row>
    <row r="825" spans="1:2" x14ac:dyDescent="0.35">
      <c r="A825">
        <v>138616</v>
      </c>
      <c r="B825" t="s">
        <v>3030</v>
      </c>
    </row>
    <row r="826" spans="1:2" x14ac:dyDescent="0.35">
      <c r="A826">
        <v>138619</v>
      </c>
      <c r="B826" t="s">
        <v>3030</v>
      </c>
    </row>
    <row r="827" spans="1:2" x14ac:dyDescent="0.35">
      <c r="A827">
        <v>138687</v>
      </c>
      <c r="B827" t="s">
        <v>3030</v>
      </c>
    </row>
    <row r="828" spans="1:2" x14ac:dyDescent="0.35">
      <c r="A828">
        <v>138712</v>
      </c>
      <c r="B828" t="s">
        <v>3030</v>
      </c>
    </row>
    <row r="829" spans="1:2" x14ac:dyDescent="0.35">
      <c r="A829">
        <v>138714</v>
      </c>
      <c r="B829" t="s">
        <v>3030</v>
      </c>
    </row>
    <row r="830" spans="1:2" x14ac:dyDescent="0.35">
      <c r="A830">
        <v>138719</v>
      </c>
      <c r="B830" t="s">
        <v>3030</v>
      </c>
    </row>
    <row r="831" spans="1:2" x14ac:dyDescent="0.35">
      <c r="A831">
        <v>138744</v>
      </c>
      <c r="B831" t="s">
        <v>3030</v>
      </c>
    </row>
    <row r="832" spans="1:2" x14ac:dyDescent="0.35">
      <c r="A832">
        <v>138751</v>
      </c>
      <c r="B832" t="s">
        <v>3030</v>
      </c>
    </row>
    <row r="833" spans="1:2" x14ac:dyDescent="0.35">
      <c r="A833">
        <v>138872</v>
      </c>
      <c r="B833" t="s">
        <v>3030</v>
      </c>
    </row>
    <row r="834" spans="1:2" x14ac:dyDescent="0.35">
      <c r="A834">
        <v>139065</v>
      </c>
      <c r="B834" t="s">
        <v>3030</v>
      </c>
    </row>
    <row r="835" spans="1:2" x14ac:dyDescent="0.35">
      <c r="A835">
        <v>139100</v>
      </c>
      <c r="B835" t="s">
        <v>3030</v>
      </c>
    </row>
    <row r="836" spans="1:2" x14ac:dyDescent="0.35">
      <c r="A836">
        <v>139128</v>
      </c>
      <c r="B836" t="s">
        <v>3030</v>
      </c>
    </row>
    <row r="837" spans="1:2" x14ac:dyDescent="0.35">
      <c r="A837">
        <v>139132</v>
      </c>
      <c r="B837" t="s">
        <v>3030</v>
      </c>
    </row>
    <row r="838" spans="1:2" x14ac:dyDescent="0.35">
      <c r="A838">
        <v>139160</v>
      </c>
      <c r="B838" t="s">
        <v>3030</v>
      </c>
    </row>
    <row r="839" spans="1:2" x14ac:dyDescent="0.35">
      <c r="A839">
        <v>139165</v>
      </c>
      <c r="B839" t="s">
        <v>3030</v>
      </c>
    </row>
    <row r="840" spans="1:2" x14ac:dyDescent="0.35">
      <c r="A840">
        <v>139231</v>
      </c>
      <c r="B840" t="s">
        <v>3030</v>
      </c>
    </row>
    <row r="841" spans="1:2" x14ac:dyDescent="0.35">
      <c r="A841">
        <v>139291</v>
      </c>
      <c r="B841" t="s">
        <v>3030</v>
      </c>
    </row>
    <row r="842" spans="1:2" x14ac:dyDescent="0.35">
      <c r="A842">
        <v>139326</v>
      </c>
      <c r="B842" t="s">
        <v>3030</v>
      </c>
    </row>
    <row r="843" spans="1:2" x14ac:dyDescent="0.35">
      <c r="A843">
        <v>139451</v>
      </c>
      <c r="B843" t="s">
        <v>3030</v>
      </c>
    </row>
    <row r="844" spans="1:2" x14ac:dyDescent="0.35">
      <c r="A844">
        <v>139643</v>
      </c>
      <c r="B844" t="s">
        <v>3030</v>
      </c>
    </row>
    <row r="845" spans="1:2" x14ac:dyDescent="0.35">
      <c r="A845">
        <v>139775</v>
      </c>
      <c r="B845" t="s">
        <v>3030</v>
      </c>
    </row>
    <row r="846" spans="1:2" x14ac:dyDescent="0.35">
      <c r="A846">
        <v>139802</v>
      </c>
      <c r="B846" t="s">
        <v>3030</v>
      </c>
    </row>
    <row r="847" spans="1:2" x14ac:dyDescent="0.35">
      <c r="A847">
        <v>139807</v>
      </c>
      <c r="B847" t="s">
        <v>3030</v>
      </c>
    </row>
    <row r="848" spans="1:2" x14ac:dyDescent="0.35">
      <c r="A848">
        <v>139864</v>
      </c>
      <c r="B848" t="s">
        <v>3030</v>
      </c>
    </row>
    <row r="849" spans="1:2" x14ac:dyDescent="0.35">
      <c r="A849">
        <v>140024</v>
      </c>
      <c r="B849" t="s">
        <v>3030</v>
      </c>
    </row>
    <row r="850" spans="1:2" x14ac:dyDescent="0.35">
      <c r="A850">
        <v>140187</v>
      </c>
      <c r="B850" t="s">
        <v>3030</v>
      </c>
    </row>
    <row r="851" spans="1:2" x14ac:dyDescent="0.35">
      <c r="A851">
        <v>140255</v>
      </c>
      <c r="B851" t="s">
        <v>3030</v>
      </c>
    </row>
    <row r="852" spans="1:2" x14ac:dyDescent="0.35">
      <c r="A852">
        <v>140286</v>
      </c>
      <c r="B852" t="s">
        <v>3030</v>
      </c>
    </row>
    <row r="853" spans="1:2" x14ac:dyDescent="0.35">
      <c r="A853">
        <v>140312</v>
      </c>
      <c r="B853" t="s">
        <v>3030</v>
      </c>
    </row>
    <row r="854" spans="1:2" x14ac:dyDescent="0.35">
      <c r="A854">
        <v>140376</v>
      </c>
      <c r="B854" t="s">
        <v>3030</v>
      </c>
    </row>
    <row r="855" spans="1:2" x14ac:dyDescent="0.35">
      <c r="A855">
        <v>140381</v>
      </c>
      <c r="B855" t="s">
        <v>3030</v>
      </c>
    </row>
    <row r="856" spans="1:2" x14ac:dyDescent="0.35">
      <c r="A856">
        <v>140409</v>
      </c>
      <c r="B856" t="s">
        <v>3030</v>
      </c>
    </row>
    <row r="857" spans="1:2" x14ac:dyDescent="0.35">
      <c r="A857">
        <v>140506</v>
      </c>
      <c r="B857" t="s">
        <v>3030</v>
      </c>
    </row>
    <row r="858" spans="1:2" x14ac:dyDescent="0.35">
      <c r="A858">
        <v>140507</v>
      </c>
      <c r="B858" t="s">
        <v>3030</v>
      </c>
    </row>
    <row r="859" spans="1:2" x14ac:dyDescent="0.35">
      <c r="A859">
        <v>140510</v>
      </c>
      <c r="B859" t="s">
        <v>3030</v>
      </c>
    </row>
    <row r="860" spans="1:2" x14ac:dyDescent="0.35">
      <c r="A860">
        <v>140568</v>
      </c>
      <c r="B860" t="s">
        <v>3030</v>
      </c>
    </row>
    <row r="861" spans="1:2" x14ac:dyDescent="0.35">
      <c r="A861">
        <v>140571</v>
      </c>
      <c r="B861" t="s">
        <v>3030</v>
      </c>
    </row>
    <row r="862" spans="1:2" x14ac:dyDescent="0.35">
      <c r="A862">
        <v>140632</v>
      </c>
      <c r="B862" t="s">
        <v>3030</v>
      </c>
    </row>
    <row r="863" spans="1:2" x14ac:dyDescent="0.35">
      <c r="A863">
        <v>140636</v>
      </c>
      <c r="B863" t="s">
        <v>3030</v>
      </c>
    </row>
    <row r="864" spans="1:2" x14ac:dyDescent="0.35">
      <c r="A864">
        <v>140670</v>
      </c>
      <c r="B864" t="s">
        <v>3030</v>
      </c>
    </row>
    <row r="865" spans="1:2" x14ac:dyDescent="0.35">
      <c r="A865">
        <v>140698</v>
      </c>
      <c r="B865" t="s">
        <v>3030</v>
      </c>
    </row>
    <row r="866" spans="1:2" x14ac:dyDescent="0.35">
      <c r="A866">
        <v>140799</v>
      </c>
      <c r="B866" t="s">
        <v>3030</v>
      </c>
    </row>
    <row r="867" spans="1:2" x14ac:dyDescent="0.35">
      <c r="A867">
        <v>140862</v>
      </c>
      <c r="B867" t="s">
        <v>3030</v>
      </c>
    </row>
    <row r="868" spans="1:2" x14ac:dyDescent="0.35">
      <c r="A868">
        <v>140985</v>
      </c>
      <c r="B868" t="s">
        <v>3030</v>
      </c>
    </row>
    <row r="869" spans="1:2" x14ac:dyDescent="0.35">
      <c r="A869">
        <v>141049</v>
      </c>
      <c r="B869" t="s">
        <v>3030</v>
      </c>
    </row>
    <row r="870" spans="1:2" x14ac:dyDescent="0.35">
      <c r="A870">
        <v>141144</v>
      </c>
      <c r="B870" t="s">
        <v>3030</v>
      </c>
    </row>
    <row r="871" spans="1:2" x14ac:dyDescent="0.35">
      <c r="A871">
        <v>141147</v>
      </c>
      <c r="B871" t="s">
        <v>3030</v>
      </c>
    </row>
    <row r="872" spans="1:2" x14ac:dyDescent="0.35">
      <c r="A872">
        <v>141178</v>
      </c>
      <c r="B872" t="s">
        <v>3030</v>
      </c>
    </row>
    <row r="873" spans="1:2" x14ac:dyDescent="0.35">
      <c r="A873">
        <v>141179</v>
      </c>
      <c r="B873" t="s">
        <v>3030</v>
      </c>
    </row>
    <row r="874" spans="1:2" x14ac:dyDescent="0.35">
      <c r="A874">
        <v>141244</v>
      </c>
      <c r="B874" t="s">
        <v>3030</v>
      </c>
    </row>
    <row r="875" spans="1:2" x14ac:dyDescent="0.35">
      <c r="A875">
        <v>141375</v>
      </c>
      <c r="B875" t="s">
        <v>3030</v>
      </c>
    </row>
    <row r="876" spans="1:2" x14ac:dyDescent="0.35">
      <c r="A876">
        <v>141432</v>
      </c>
      <c r="B876" t="s">
        <v>3030</v>
      </c>
    </row>
    <row r="877" spans="1:2" x14ac:dyDescent="0.35">
      <c r="A877">
        <v>141465</v>
      </c>
      <c r="B877" t="s">
        <v>3030</v>
      </c>
    </row>
    <row r="878" spans="1:2" x14ac:dyDescent="0.35">
      <c r="A878">
        <v>141471</v>
      </c>
      <c r="B878" t="s">
        <v>3030</v>
      </c>
    </row>
    <row r="879" spans="1:2" x14ac:dyDescent="0.35">
      <c r="A879">
        <v>141500</v>
      </c>
      <c r="B879" t="s">
        <v>3030</v>
      </c>
    </row>
    <row r="880" spans="1:2" x14ac:dyDescent="0.35">
      <c r="A880">
        <v>141531</v>
      </c>
      <c r="B880" t="s">
        <v>3030</v>
      </c>
    </row>
    <row r="881" spans="1:2" x14ac:dyDescent="0.35">
      <c r="A881">
        <v>141533</v>
      </c>
      <c r="B881" t="s">
        <v>3030</v>
      </c>
    </row>
    <row r="882" spans="1:2" x14ac:dyDescent="0.35">
      <c r="A882">
        <v>141595</v>
      </c>
      <c r="B882" t="s">
        <v>3030</v>
      </c>
    </row>
    <row r="883" spans="1:2" x14ac:dyDescent="0.35">
      <c r="A883">
        <v>141598</v>
      </c>
      <c r="B883" t="s">
        <v>3030</v>
      </c>
    </row>
    <row r="884" spans="1:2" x14ac:dyDescent="0.35">
      <c r="A884">
        <v>141661</v>
      </c>
      <c r="B884" t="s">
        <v>3030</v>
      </c>
    </row>
    <row r="885" spans="1:2" x14ac:dyDescent="0.35">
      <c r="A885">
        <v>141758</v>
      </c>
      <c r="B885" t="s">
        <v>3030</v>
      </c>
    </row>
    <row r="886" spans="1:2" x14ac:dyDescent="0.35">
      <c r="A886">
        <v>141822</v>
      </c>
      <c r="B886" t="s">
        <v>3030</v>
      </c>
    </row>
    <row r="887" spans="1:2" x14ac:dyDescent="0.35">
      <c r="A887">
        <v>141852</v>
      </c>
      <c r="B887" t="s">
        <v>3030</v>
      </c>
    </row>
    <row r="888" spans="1:2" x14ac:dyDescent="0.35">
      <c r="A888">
        <v>141855</v>
      </c>
      <c r="B888" t="s">
        <v>3030</v>
      </c>
    </row>
    <row r="889" spans="1:2" x14ac:dyDescent="0.35">
      <c r="A889">
        <v>141884</v>
      </c>
      <c r="B889" t="s">
        <v>3030</v>
      </c>
    </row>
    <row r="890" spans="1:2" x14ac:dyDescent="0.35">
      <c r="A890">
        <v>141917</v>
      </c>
      <c r="B890" t="s">
        <v>3030</v>
      </c>
    </row>
    <row r="891" spans="1:2" x14ac:dyDescent="0.35">
      <c r="A891">
        <v>141946</v>
      </c>
      <c r="B891" t="s">
        <v>3030</v>
      </c>
    </row>
    <row r="892" spans="1:2" x14ac:dyDescent="0.35">
      <c r="A892">
        <v>142047</v>
      </c>
      <c r="B892" t="s">
        <v>3030</v>
      </c>
    </row>
    <row r="893" spans="1:2" x14ac:dyDescent="0.35">
      <c r="A893">
        <v>142073</v>
      </c>
      <c r="B893" t="s">
        <v>3030</v>
      </c>
    </row>
    <row r="894" spans="1:2" x14ac:dyDescent="0.35">
      <c r="A894">
        <v>142111</v>
      </c>
      <c r="B894" t="s">
        <v>3030</v>
      </c>
    </row>
    <row r="895" spans="1:2" x14ac:dyDescent="0.35">
      <c r="A895">
        <v>142139</v>
      </c>
      <c r="B895" t="s">
        <v>3030</v>
      </c>
    </row>
    <row r="896" spans="1:2" x14ac:dyDescent="0.35">
      <c r="A896">
        <v>142175</v>
      </c>
      <c r="B896" t="s">
        <v>3030</v>
      </c>
    </row>
    <row r="897" spans="1:2" x14ac:dyDescent="0.35">
      <c r="A897">
        <v>142365</v>
      </c>
      <c r="B897" t="s">
        <v>3030</v>
      </c>
    </row>
    <row r="898" spans="1:2" x14ac:dyDescent="0.35">
      <c r="A898">
        <v>142521</v>
      </c>
      <c r="B898" t="s">
        <v>3030</v>
      </c>
    </row>
    <row r="899" spans="1:2" x14ac:dyDescent="0.35">
      <c r="A899">
        <v>142523</v>
      </c>
      <c r="B899" t="s">
        <v>3030</v>
      </c>
    </row>
    <row r="900" spans="1:2" x14ac:dyDescent="0.35">
      <c r="A900">
        <v>142557</v>
      </c>
      <c r="B900" t="s">
        <v>3030</v>
      </c>
    </row>
    <row r="901" spans="1:2" x14ac:dyDescent="0.35">
      <c r="A901">
        <v>142584</v>
      </c>
      <c r="B901" t="s">
        <v>3030</v>
      </c>
    </row>
    <row r="902" spans="1:2" x14ac:dyDescent="0.35">
      <c r="A902">
        <v>142617</v>
      </c>
      <c r="B902" t="s">
        <v>3030</v>
      </c>
    </row>
    <row r="903" spans="1:2" x14ac:dyDescent="0.35">
      <c r="A903">
        <v>142716</v>
      </c>
      <c r="B903" t="s">
        <v>3030</v>
      </c>
    </row>
    <row r="904" spans="1:2" x14ac:dyDescent="0.35">
      <c r="A904">
        <v>142718</v>
      </c>
      <c r="B904" t="s">
        <v>3030</v>
      </c>
    </row>
    <row r="905" spans="1:2" x14ac:dyDescent="0.35">
      <c r="A905">
        <v>142744</v>
      </c>
      <c r="B905" t="s">
        <v>3030</v>
      </c>
    </row>
    <row r="906" spans="1:2" x14ac:dyDescent="0.35">
      <c r="A906">
        <v>142840</v>
      </c>
      <c r="B906" t="s">
        <v>3030</v>
      </c>
    </row>
    <row r="907" spans="1:2" x14ac:dyDescent="0.35">
      <c r="A907">
        <v>142905</v>
      </c>
      <c r="B907" t="s">
        <v>3030</v>
      </c>
    </row>
    <row r="908" spans="1:2" x14ac:dyDescent="0.35">
      <c r="A908">
        <v>143003</v>
      </c>
      <c r="B908" t="s">
        <v>3030</v>
      </c>
    </row>
    <row r="909" spans="1:2" x14ac:dyDescent="0.35">
      <c r="A909">
        <v>143032</v>
      </c>
      <c r="B909" t="s">
        <v>3030</v>
      </c>
    </row>
    <row r="910" spans="1:2" x14ac:dyDescent="0.35">
      <c r="A910">
        <v>143036</v>
      </c>
      <c r="B910" t="s">
        <v>3030</v>
      </c>
    </row>
    <row r="911" spans="1:2" x14ac:dyDescent="0.35">
      <c r="A911">
        <v>143038</v>
      </c>
      <c r="B911" t="s">
        <v>3030</v>
      </c>
    </row>
    <row r="912" spans="1:2" x14ac:dyDescent="0.35">
      <c r="A912">
        <v>143193</v>
      </c>
      <c r="B912" t="s">
        <v>3030</v>
      </c>
    </row>
    <row r="913" spans="1:2" x14ac:dyDescent="0.35">
      <c r="A913">
        <v>143259</v>
      </c>
      <c r="B913" t="s">
        <v>3030</v>
      </c>
    </row>
    <row r="914" spans="1:2" x14ac:dyDescent="0.35">
      <c r="A914">
        <v>143261</v>
      </c>
      <c r="B914" t="s">
        <v>3030</v>
      </c>
    </row>
    <row r="915" spans="1:2" x14ac:dyDescent="0.35">
      <c r="A915">
        <v>143263</v>
      </c>
      <c r="B915" t="s">
        <v>3030</v>
      </c>
    </row>
    <row r="916" spans="1:2" x14ac:dyDescent="0.35">
      <c r="A916">
        <v>143325</v>
      </c>
      <c r="B916" t="s">
        <v>3030</v>
      </c>
    </row>
    <row r="917" spans="1:2" x14ac:dyDescent="0.35">
      <c r="A917">
        <v>143384</v>
      </c>
      <c r="B917" t="s">
        <v>3030</v>
      </c>
    </row>
    <row r="918" spans="1:2" x14ac:dyDescent="0.35">
      <c r="A918">
        <v>143450</v>
      </c>
      <c r="B918" t="s">
        <v>3030</v>
      </c>
    </row>
    <row r="919" spans="1:2" x14ac:dyDescent="0.35">
      <c r="A919">
        <v>143519</v>
      </c>
      <c r="B919" t="s">
        <v>3030</v>
      </c>
    </row>
    <row r="920" spans="1:2" x14ac:dyDescent="0.35">
      <c r="A920">
        <v>143577</v>
      </c>
      <c r="B920" t="s">
        <v>3030</v>
      </c>
    </row>
    <row r="921" spans="1:2" x14ac:dyDescent="0.35">
      <c r="A921">
        <v>143679</v>
      </c>
      <c r="B921" t="s">
        <v>3030</v>
      </c>
    </row>
    <row r="922" spans="1:2" x14ac:dyDescent="0.35">
      <c r="A922">
        <v>143706</v>
      </c>
      <c r="B922" t="s">
        <v>3030</v>
      </c>
    </row>
    <row r="923" spans="1:2" x14ac:dyDescent="0.35">
      <c r="A923">
        <v>143773</v>
      </c>
      <c r="B923" t="s">
        <v>3030</v>
      </c>
    </row>
    <row r="924" spans="1:2" x14ac:dyDescent="0.35">
      <c r="A924">
        <v>143838</v>
      </c>
      <c r="B924" t="s">
        <v>3030</v>
      </c>
    </row>
    <row r="925" spans="1:2" x14ac:dyDescent="0.35">
      <c r="A925">
        <v>143898</v>
      </c>
      <c r="B925" t="s">
        <v>3030</v>
      </c>
    </row>
    <row r="926" spans="1:2" x14ac:dyDescent="0.35">
      <c r="A926">
        <v>143995</v>
      </c>
      <c r="B926" t="s">
        <v>3030</v>
      </c>
    </row>
    <row r="927" spans="1:2" x14ac:dyDescent="0.35">
      <c r="A927">
        <v>144121</v>
      </c>
      <c r="B927" t="s">
        <v>3030</v>
      </c>
    </row>
    <row r="928" spans="1:2" x14ac:dyDescent="0.35">
      <c r="A928">
        <v>144125</v>
      </c>
      <c r="B928" t="s">
        <v>3030</v>
      </c>
    </row>
    <row r="929" spans="1:2" x14ac:dyDescent="0.35">
      <c r="A929">
        <v>144159</v>
      </c>
      <c r="B929" t="s">
        <v>3030</v>
      </c>
    </row>
    <row r="930" spans="1:2" x14ac:dyDescent="0.35">
      <c r="A930">
        <v>144190</v>
      </c>
      <c r="B930" t="s">
        <v>3030</v>
      </c>
    </row>
    <row r="931" spans="1:2" x14ac:dyDescent="0.35">
      <c r="A931">
        <v>144286</v>
      </c>
      <c r="B931" t="s">
        <v>3030</v>
      </c>
    </row>
    <row r="932" spans="1:2" x14ac:dyDescent="0.35">
      <c r="A932">
        <v>144318</v>
      </c>
      <c r="B932" t="s">
        <v>3030</v>
      </c>
    </row>
    <row r="933" spans="1:2" x14ac:dyDescent="0.35">
      <c r="A933">
        <v>144382</v>
      </c>
      <c r="B933" t="s">
        <v>3030</v>
      </c>
    </row>
    <row r="934" spans="1:2" x14ac:dyDescent="0.35">
      <c r="A934">
        <v>144442</v>
      </c>
      <c r="B934" t="s">
        <v>3030</v>
      </c>
    </row>
    <row r="935" spans="1:2" x14ac:dyDescent="0.35">
      <c r="A935">
        <v>144444</v>
      </c>
      <c r="B935" t="s">
        <v>3030</v>
      </c>
    </row>
    <row r="936" spans="1:2" x14ac:dyDescent="0.35">
      <c r="A936">
        <v>144445</v>
      </c>
      <c r="B936" t="s">
        <v>3030</v>
      </c>
    </row>
    <row r="937" spans="1:2" x14ac:dyDescent="0.35">
      <c r="A937">
        <v>144479</v>
      </c>
      <c r="B937" t="s">
        <v>3030</v>
      </c>
    </row>
    <row r="938" spans="1:2" x14ac:dyDescent="0.35">
      <c r="A938">
        <v>144573</v>
      </c>
      <c r="B938" t="s">
        <v>3030</v>
      </c>
    </row>
    <row r="939" spans="1:2" x14ac:dyDescent="0.35">
      <c r="A939">
        <v>144574</v>
      </c>
      <c r="B939" t="s">
        <v>3030</v>
      </c>
    </row>
    <row r="940" spans="1:2" x14ac:dyDescent="0.35">
      <c r="A940">
        <v>144605</v>
      </c>
      <c r="B940" t="s">
        <v>3030</v>
      </c>
    </row>
    <row r="941" spans="1:2" x14ac:dyDescent="0.35">
      <c r="A941">
        <v>144606</v>
      </c>
      <c r="B941" t="s">
        <v>3030</v>
      </c>
    </row>
    <row r="942" spans="1:2" x14ac:dyDescent="0.35">
      <c r="A942">
        <v>144634</v>
      </c>
      <c r="B942" t="s">
        <v>3030</v>
      </c>
    </row>
    <row r="943" spans="1:2" x14ac:dyDescent="0.35">
      <c r="A943">
        <v>144636</v>
      </c>
      <c r="B943" t="s">
        <v>3030</v>
      </c>
    </row>
    <row r="944" spans="1:2" x14ac:dyDescent="0.35">
      <c r="A944">
        <v>144670</v>
      </c>
      <c r="B944" t="s">
        <v>3030</v>
      </c>
    </row>
    <row r="945" spans="1:2" x14ac:dyDescent="0.35">
      <c r="A945">
        <v>144702</v>
      </c>
      <c r="B945" t="s">
        <v>3030</v>
      </c>
    </row>
    <row r="946" spans="1:2" x14ac:dyDescent="0.35">
      <c r="A946">
        <v>144766</v>
      </c>
      <c r="B946" t="s">
        <v>3030</v>
      </c>
    </row>
    <row r="947" spans="1:2" x14ac:dyDescent="0.35">
      <c r="A947">
        <v>144824</v>
      </c>
      <c r="B947" t="s">
        <v>3030</v>
      </c>
    </row>
    <row r="948" spans="1:2" x14ac:dyDescent="0.35">
      <c r="A948">
        <v>144827</v>
      </c>
      <c r="B948" t="s">
        <v>3030</v>
      </c>
    </row>
    <row r="949" spans="1:2" x14ac:dyDescent="0.35">
      <c r="A949">
        <v>144859</v>
      </c>
      <c r="B949" t="s">
        <v>3030</v>
      </c>
    </row>
    <row r="950" spans="1:2" x14ac:dyDescent="0.35">
      <c r="A950">
        <v>144862</v>
      </c>
      <c r="B950" t="s">
        <v>3030</v>
      </c>
    </row>
    <row r="951" spans="1:2" x14ac:dyDescent="0.35">
      <c r="A951">
        <v>144890</v>
      </c>
      <c r="B951" t="s">
        <v>3030</v>
      </c>
    </row>
    <row r="952" spans="1:2" x14ac:dyDescent="0.35">
      <c r="A952">
        <v>144894</v>
      </c>
      <c r="B952" t="s">
        <v>3030</v>
      </c>
    </row>
    <row r="953" spans="1:2" x14ac:dyDescent="0.35">
      <c r="A953">
        <v>145117</v>
      </c>
      <c r="B953" t="s">
        <v>3030</v>
      </c>
    </row>
    <row r="954" spans="1:2" x14ac:dyDescent="0.35">
      <c r="A954">
        <v>145181</v>
      </c>
      <c r="B954" t="s">
        <v>3030</v>
      </c>
    </row>
    <row r="955" spans="1:2" x14ac:dyDescent="0.35">
      <c r="A955">
        <v>145183</v>
      </c>
      <c r="B955" t="s">
        <v>3030</v>
      </c>
    </row>
    <row r="956" spans="1:2" x14ac:dyDescent="0.35">
      <c r="A956">
        <v>145208</v>
      </c>
      <c r="B956" t="s">
        <v>3030</v>
      </c>
    </row>
    <row r="957" spans="1:2" x14ac:dyDescent="0.35">
      <c r="A957">
        <v>145212</v>
      </c>
      <c r="B957" t="s">
        <v>3030</v>
      </c>
    </row>
    <row r="958" spans="1:2" x14ac:dyDescent="0.35">
      <c r="A958">
        <v>145279</v>
      </c>
      <c r="B958" t="s">
        <v>3030</v>
      </c>
    </row>
    <row r="959" spans="1:2" x14ac:dyDescent="0.35">
      <c r="A959">
        <v>145338</v>
      </c>
      <c r="B959" t="s">
        <v>3030</v>
      </c>
    </row>
    <row r="960" spans="1:2" x14ac:dyDescent="0.35">
      <c r="A960">
        <v>145342</v>
      </c>
      <c r="B960" t="s">
        <v>3030</v>
      </c>
    </row>
    <row r="961" spans="1:2" x14ac:dyDescent="0.35">
      <c r="A961">
        <v>145371</v>
      </c>
      <c r="B961" t="s">
        <v>3030</v>
      </c>
    </row>
    <row r="962" spans="1:2" x14ac:dyDescent="0.35">
      <c r="A962">
        <v>145375</v>
      </c>
      <c r="B962" t="s">
        <v>3030</v>
      </c>
    </row>
    <row r="963" spans="1:2" x14ac:dyDescent="0.35">
      <c r="A963">
        <v>145563</v>
      </c>
      <c r="B963" t="s">
        <v>3030</v>
      </c>
    </row>
    <row r="964" spans="1:2" x14ac:dyDescent="0.35">
      <c r="A964">
        <v>145626</v>
      </c>
      <c r="B964" t="s">
        <v>3030</v>
      </c>
    </row>
    <row r="965" spans="1:2" x14ac:dyDescent="0.35">
      <c r="A965">
        <v>145818</v>
      </c>
      <c r="B965" t="s">
        <v>3030</v>
      </c>
    </row>
    <row r="966" spans="1:2" x14ac:dyDescent="0.35">
      <c r="A966">
        <v>145916</v>
      </c>
      <c r="B966" t="s">
        <v>3030</v>
      </c>
    </row>
    <row r="967" spans="1:2" x14ac:dyDescent="0.35">
      <c r="A967">
        <v>145947</v>
      </c>
      <c r="B967" t="s">
        <v>3030</v>
      </c>
    </row>
    <row r="968" spans="1:2" x14ac:dyDescent="0.35">
      <c r="A968">
        <v>145950</v>
      </c>
      <c r="B968" t="s">
        <v>3030</v>
      </c>
    </row>
    <row r="969" spans="1:2" x14ac:dyDescent="0.35">
      <c r="A969">
        <v>146076</v>
      </c>
      <c r="B969" t="s">
        <v>3030</v>
      </c>
    </row>
    <row r="970" spans="1:2" x14ac:dyDescent="0.35">
      <c r="A970">
        <v>146170</v>
      </c>
      <c r="B970" t="s">
        <v>3030</v>
      </c>
    </row>
    <row r="971" spans="1:2" x14ac:dyDescent="0.35">
      <c r="A971">
        <v>146232</v>
      </c>
      <c r="B971" t="s">
        <v>3030</v>
      </c>
    </row>
    <row r="972" spans="1:2" x14ac:dyDescent="0.35">
      <c r="A972">
        <v>146271</v>
      </c>
      <c r="B972" t="s">
        <v>3030</v>
      </c>
    </row>
    <row r="973" spans="1:2" x14ac:dyDescent="0.35">
      <c r="A973">
        <v>146297</v>
      </c>
      <c r="B973" t="s">
        <v>3030</v>
      </c>
    </row>
    <row r="974" spans="1:2" x14ac:dyDescent="0.35">
      <c r="A974">
        <v>146328</v>
      </c>
      <c r="B974" t="s">
        <v>3030</v>
      </c>
    </row>
    <row r="975" spans="1:2" x14ac:dyDescent="0.35">
      <c r="A975">
        <v>146426</v>
      </c>
      <c r="B975" t="s">
        <v>3030</v>
      </c>
    </row>
    <row r="976" spans="1:2" x14ac:dyDescent="0.35">
      <c r="A976">
        <v>146489</v>
      </c>
      <c r="B976" t="s">
        <v>3030</v>
      </c>
    </row>
    <row r="977" spans="1:2" x14ac:dyDescent="0.35">
      <c r="A977">
        <v>146685</v>
      </c>
      <c r="B977" t="s">
        <v>3030</v>
      </c>
    </row>
    <row r="978" spans="1:2" x14ac:dyDescent="0.35">
      <c r="A978">
        <v>146713</v>
      </c>
      <c r="B978" t="s">
        <v>3030</v>
      </c>
    </row>
    <row r="979" spans="1:2" x14ac:dyDescent="0.35">
      <c r="A979">
        <v>146745</v>
      </c>
      <c r="B979" t="s">
        <v>3030</v>
      </c>
    </row>
    <row r="980" spans="1:2" x14ac:dyDescent="0.35">
      <c r="A980">
        <v>146778</v>
      </c>
      <c r="B980" t="s">
        <v>3030</v>
      </c>
    </row>
    <row r="981" spans="1:2" x14ac:dyDescent="0.35">
      <c r="A981">
        <v>146782</v>
      </c>
      <c r="B981" t="s">
        <v>3030</v>
      </c>
    </row>
    <row r="982" spans="1:2" x14ac:dyDescent="0.35">
      <c r="A982">
        <v>146812</v>
      </c>
      <c r="B982" t="s">
        <v>3030</v>
      </c>
    </row>
    <row r="983" spans="1:2" x14ac:dyDescent="0.35">
      <c r="A983">
        <v>146906</v>
      </c>
      <c r="B983" t="s">
        <v>3030</v>
      </c>
    </row>
    <row r="984" spans="1:2" x14ac:dyDescent="0.35">
      <c r="A984">
        <v>146971</v>
      </c>
      <c r="B984" t="s">
        <v>3030</v>
      </c>
    </row>
    <row r="985" spans="1:2" x14ac:dyDescent="0.35">
      <c r="A985">
        <v>147033</v>
      </c>
      <c r="B985" t="s">
        <v>3030</v>
      </c>
    </row>
    <row r="986" spans="1:2" x14ac:dyDescent="0.35">
      <c r="A986">
        <v>147066</v>
      </c>
      <c r="B986" t="s">
        <v>3030</v>
      </c>
    </row>
    <row r="987" spans="1:2" x14ac:dyDescent="0.35">
      <c r="A987">
        <v>147099</v>
      </c>
      <c r="B987" t="s">
        <v>3030</v>
      </c>
    </row>
    <row r="988" spans="1:2" x14ac:dyDescent="0.35">
      <c r="A988">
        <v>147102</v>
      </c>
      <c r="B988" t="s">
        <v>3030</v>
      </c>
    </row>
    <row r="989" spans="1:2" x14ac:dyDescent="0.35">
      <c r="A989">
        <v>147197</v>
      </c>
      <c r="B989" t="s">
        <v>3030</v>
      </c>
    </row>
    <row r="990" spans="1:2" x14ac:dyDescent="0.35">
      <c r="A990">
        <v>147199</v>
      </c>
      <c r="B990" t="s">
        <v>3030</v>
      </c>
    </row>
    <row r="991" spans="1:2" x14ac:dyDescent="0.35">
      <c r="A991">
        <v>147231</v>
      </c>
      <c r="B991" t="s">
        <v>3030</v>
      </c>
    </row>
    <row r="992" spans="1:2" x14ac:dyDescent="0.35">
      <c r="A992">
        <v>147260</v>
      </c>
      <c r="B992" t="s">
        <v>3030</v>
      </c>
    </row>
    <row r="993" spans="1:2" x14ac:dyDescent="0.35">
      <c r="A993">
        <v>147384</v>
      </c>
      <c r="B993" t="s">
        <v>3030</v>
      </c>
    </row>
    <row r="994" spans="1:2" x14ac:dyDescent="0.35">
      <c r="A994">
        <v>147452</v>
      </c>
      <c r="B994" t="s">
        <v>3030</v>
      </c>
    </row>
    <row r="995" spans="1:2" x14ac:dyDescent="0.35">
      <c r="A995">
        <v>147486</v>
      </c>
      <c r="B995" t="s">
        <v>3030</v>
      </c>
    </row>
    <row r="996" spans="1:2" x14ac:dyDescent="0.35">
      <c r="A996">
        <v>147546</v>
      </c>
      <c r="B996" t="s">
        <v>3030</v>
      </c>
    </row>
    <row r="997" spans="1:2" x14ac:dyDescent="0.35">
      <c r="A997">
        <v>147643</v>
      </c>
      <c r="B997" t="s">
        <v>3030</v>
      </c>
    </row>
    <row r="998" spans="1:2" x14ac:dyDescent="0.35">
      <c r="A998">
        <v>147646</v>
      </c>
      <c r="B998" t="s">
        <v>3030</v>
      </c>
    </row>
    <row r="999" spans="1:2" x14ac:dyDescent="0.35">
      <c r="A999">
        <v>147672</v>
      </c>
      <c r="B999" t="s">
        <v>3030</v>
      </c>
    </row>
    <row r="1000" spans="1:2" x14ac:dyDescent="0.35">
      <c r="A1000">
        <v>147743</v>
      </c>
      <c r="B1000" t="s">
        <v>3030</v>
      </c>
    </row>
    <row r="1001" spans="1:2" x14ac:dyDescent="0.35">
      <c r="A1001">
        <v>147775</v>
      </c>
      <c r="B1001" t="s">
        <v>3030</v>
      </c>
    </row>
    <row r="1002" spans="1:2" x14ac:dyDescent="0.35">
      <c r="A1002">
        <v>147804</v>
      </c>
      <c r="B1002" t="s">
        <v>3030</v>
      </c>
    </row>
    <row r="1003" spans="1:2" x14ac:dyDescent="0.35">
      <c r="A1003">
        <v>147869</v>
      </c>
      <c r="B1003" t="s">
        <v>3030</v>
      </c>
    </row>
    <row r="1004" spans="1:2" x14ac:dyDescent="0.35">
      <c r="A1004">
        <v>147871</v>
      </c>
      <c r="B1004" t="s">
        <v>3030</v>
      </c>
    </row>
    <row r="1005" spans="1:2" x14ac:dyDescent="0.35">
      <c r="A1005">
        <v>147993</v>
      </c>
      <c r="B1005" t="s">
        <v>3030</v>
      </c>
    </row>
    <row r="1006" spans="1:2" x14ac:dyDescent="0.35">
      <c r="A1006">
        <v>147996</v>
      </c>
      <c r="B1006" t="s">
        <v>3030</v>
      </c>
    </row>
    <row r="1007" spans="1:2" x14ac:dyDescent="0.35">
      <c r="A1007">
        <v>148031</v>
      </c>
      <c r="B1007" t="s">
        <v>3030</v>
      </c>
    </row>
    <row r="1008" spans="1:2" x14ac:dyDescent="0.35">
      <c r="A1008">
        <v>148056</v>
      </c>
      <c r="B1008" t="s">
        <v>3030</v>
      </c>
    </row>
    <row r="1009" spans="1:2" x14ac:dyDescent="0.35">
      <c r="A1009">
        <v>148092</v>
      </c>
      <c r="B1009" t="s">
        <v>3030</v>
      </c>
    </row>
    <row r="1010" spans="1:2" x14ac:dyDescent="0.35">
      <c r="A1010">
        <v>148095</v>
      </c>
      <c r="B1010" t="s">
        <v>3030</v>
      </c>
    </row>
    <row r="1011" spans="1:2" x14ac:dyDescent="0.35">
      <c r="A1011">
        <v>148254</v>
      </c>
      <c r="B1011" t="s">
        <v>3030</v>
      </c>
    </row>
    <row r="1012" spans="1:2" x14ac:dyDescent="0.35">
      <c r="A1012">
        <v>148280</v>
      </c>
      <c r="B1012" t="s">
        <v>3030</v>
      </c>
    </row>
    <row r="1013" spans="1:2" x14ac:dyDescent="0.35">
      <c r="A1013">
        <v>148347</v>
      </c>
      <c r="B1013" t="s">
        <v>3030</v>
      </c>
    </row>
    <row r="1014" spans="1:2" x14ac:dyDescent="0.35">
      <c r="A1014">
        <v>148536</v>
      </c>
      <c r="B1014" t="s">
        <v>3030</v>
      </c>
    </row>
    <row r="1015" spans="1:2" x14ac:dyDescent="0.35">
      <c r="A1015">
        <v>148634</v>
      </c>
      <c r="B1015" t="s">
        <v>3030</v>
      </c>
    </row>
    <row r="1016" spans="1:2" x14ac:dyDescent="0.35">
      <c r="A1016">
        <v>148669</v>
      </c>
      <c r="B1016" t="s">
        <v>3030</v>
      </c>
    </row>
    <row r="1017" spans="1:2" x14ac:dyDescent="0.35">
      <c r="A1017">
        <v>148697</v>
      </c>
      <c r="B1017" t="s">
        <v>3030</v>
      </c>
    </row>
    <row r="1018" spans="1:2" x14ac:dyDescent="0.35">
      <c r="A1018">
        <v>148767</v>
      </c>
      <c r="B1018" t="s">
        <v>3030</v>
      </c>
    </row>
    <row r="1019" spans="1:2" x14ac:dyDescent="0.35">
      <c r="A1019">
        <v>148952</v>
      </c>
      <c r="B1019" t="s">
        <v>3030</v>
      </c>
    </row>
    <row r="1020" spans="1:2" x14ac:dyDescent="0.35">
      <c r="A1020">
        <v>149050</v>
      </c>
      <c r="B1020" t="s">
        <v>3030</v>
      </c>
    </row>
    <row r="1021" spans="1:2" x14ac:dyDescent="0.35">
      <c r="A1021">
        <v>149053</v>
      </c>
      <c r="B1021" t="s">
        <v>3030</v>
      </c>
    </row>
    <row r="1022" spans="1:2" x14ac:dyDescent="0.35">
      <c r="A1022">
        <v>149054</v>
      </c>
      <c r="B1022" t="s">
        <v>3030</v>
      </c>
    </row>
    <row r="1023" spans="1:2" x14ac:dyDescent="0.35">
      <c r="A1023">
        <v>149084</v>
      </c>
      <c r="B1023" t="s">
        <v>3030</v>
      </c>
    </row>
    <row r="1024" spans="1:2" x14ac:dyDescent="0.35">
      <c r="A1024">
        <v>149144</v>
      </c>
      <c r="B1024" t="s">
        <v>3030</v>
      </c>
    </row>
    <row r="1025" spans="1:2" x14ac:dyDescent="0.35">
      <c r="A1025">
        <v>149176</v>
      </c>
      <c r="B1025" t="s">
        <v>3030</v>
      </c>
    </row>
    <row r="1026" spans="1:2" x14ac:dyDescent="0.35">
      <c r="A1026">
        <v>149272</v>
      </c>
      <c r="B1026" t="s">
        <v>3030</v>
      </c>
    </row>
    <row r="1027" spans="1:2" x14ac:dyDescent="0.35">
      <c r="A1027">
        <v>149368</v>
      </c>
      <c r="B1027" t="s">
        <v>3030</v>
      </c>
    </row>
    <row r="1028" spans="1:2" x14ac:dyDescent="0.35">
      <c r="A1028">
        <v>149407</v>
      </c>
      <c r="B1028" t="s">
        <v>3030</v>
      </c>
    </row>
    <row r="1029" spans="1:2" x14ac:dyDescent="0.35">
      <c r="A1029">
        <v>149469</v>
      </c>
      <c r="B1029" t="s">
        <v>3030</v>
      </c>
    </row>
    <row r="1030" spans="1:2" x14ac:dyDescent="0.35">
      <c r="A1030">
        <v>149627</v>
      </c>
      <c r="B1030" t="s">
        <v>3030</v>
      </c>
    </row>
    <row r="1031" spans="1:2" x14ac:dyDescent="0.35">
      <c r="A1031">
        <v>149657</v>
      </c>
      <c r="B1031" t="s">
        <v>3030</v>
      </c>
    </row>
    <row r="1032" spans="1:2" x14ac:dyDescent="0.35">
      <c r="A1032">
        <v>149658</v>
      </c>
      <c r="B1032" t="s">
        <v>3030</v>
      </c>
    </row>
    <row r="1033" spans="1:2" x14ac:dyDescent="0.35">
      <c r="A1033">
        <v>149660</v>
      </c>
      <c r="B1033" t="s">
        <v>3030</v>
      </c>
    </row>
    <row r="1034" spans="1:2" x14ac:dyDescent="0.35">
      <c r="A1034">
        <v>149661</v>
      </c>
      <c r="B1034" t="s">
        <v>3030</v>
      </c>
    </row>
    <row r="1035" spans="1:2" x14ac:dyDescent="0.35">
      <c r="A1035">
        <v>149691</v>
      </c>
      <c r="B1035" t="s">
        <v>3030</v>
      </c>
    </row>
    <row r="1036" spans="1:2" x14ac:dyDescent="0.35">
      <c r="A1036">
        <v>149852</v>
      </c>
      <c r="B1036" t="s">
        <v>3030</v>
      </c>
    </row>
    <row r="1037" spans="1:2" x14ac:dyDescent="0.35">
      <c r="A1037">
        <v>149947</v>
      </c>
      <c r="B1037" t="s">
        <v>3030</v>
      </c>
    </row>
    <row r="1038" spans="1:2" x14ac:dyDescent="0.35">
      <c r="A1038">
        <v>149976</v>
      </c>
      <c r="B1038" t="s">
        <v>3030</v>
      </c>
    </row>
    <row r="1039" spans="1:2" x14ac:dyDescent="0.35">
      <c r="A1039">
        <v>149981</v>
      </c>
      <c r="B1039" t="s">
        <v>3030</v>
      </c>
    </row>
    <row r="1040" spans="1:2" x14ac:dyDescent="0.35">
      <c r="A1040">
        <v>150105</v>
      </c>
      <c r="B1040" t="s">
        <v>3030</v>
      </c>
    </row>
    <row r="1041" spans="1:2" x14ac:dyDescent="0.35">
      <c r="A1041">
        <v>150109</v>
      </c>
      <c r="B1041" t="s">
        <v>3030</v>
      </c>
    </row>
    <row r="1042" spans="1:2" x14ac:dyDescent="0.35">
      <c r="A1042">
        <v>150138</v>
      </c>
      <c r="B1042" t="s">
        <v>3030</v>
      </c>
    </row>
    <row r="1043" spans="1:2" x14ac:dyDescent="0.35">
      <c r="A1043">
        <v>150141</v>
      </c>
      <c r="B1043" t="s">
        <v>3030</v>
      </c>
    </row>
    <row r="1044" spans="1:2" x14ac:dyDescent="0.35">
      <c r="A1044">
        <v>150169</v>
      </c>
      <c r="B1044" t="s">
        <v>3030</v>
      </c>
    </row>
    <row r="1045" spans="1:2" x14ac:dyDescent="0.35">
      <c r="A1045">
        <v>150205</v>
      </c>
      <c r="B1045" t="s">
        <v>3030</v>
      </c>
    </row>
    <row r="1046" spans="1:2" x14ac:dyDescent="0.35">
      <c r="A1046">
        <v>150232</v>
      </c>
      <c r="B1046" t="s">
        <v>3030</v>
      </c>
    </row>
    <row r="1047" spans="1:2" x14ac:dyDescent="0.35">
      <c r="A1047">
        <v>150264</v>
      </c>
      <c r="B1047" t="s">
        <v>3030</v>
      </c>
    </row>
    <row r="1048" spans="1:2" x14ac:dyDescent="0.35">
      <c r="A1048">
        <v>150265</v>
      </c>
      <c r="B1048" t="s">
        <v>3030</v>
      </c>
    </row>
    <row r="1049" spans="1:2" x14ac:dyDescent="0.35">
      <c r="A1049">
        <v>150299</v>
      </c>
      <c r="B1049" t="s">
        <v>3030</v>
      </c>
    </row>
    <row r="1050" spans="1:2" x14ac:dyDescent="0.35">
      <c r="A1050">
        <v>150364</v>
      </c>
      <c r="B1050" t="s">
        <v>3030</v>
      </c>
    </row>
    <row r="1051" spans="1:2" x14ac:dyDescent="0.35">
      <c r="A1051">
        <v>150527</v>
      </c>
      <c r="B1051" t="s">
        <v>3030</v>
      </c>
    </row>
    <row r="1052" spans="1:2" x14ac:dyDescent="0.35">
      <c r="A1052">
        <v>150557</v>
      </c>
      <c r="B1052" t="s">
        <v>3030</v>
      </c>
    </row>
    <row r="1053" spans="1:2" x14ac:dyDescent="0.35">
      <c r="A1053">
        <v>150622</v>
      </c>
      <c r="B1053" t="s">
        <v>3030</v>
      </c>
    </row>
    <row r="1054" spans="1:2" x14ac:dyDescent="0.35">
      <c r="A1054">
        <v>150680</v>
      </c>
      <c r="B1054" t="s">
        <v>3030</v>
      </c>
    </row>
    <row r="1055" spans="1:2" x14ac:dyDescent="0.35">
      <c r="A1055">
        <v>150780</v>
      </c>
      <c r="B1055" t="s">
        <v>3030</v>
      </c>
    </row>
    <row r="1056" spans="1:2" x14ac:dyDescent="0.35">
      <c r="A1056">
        <v>150843</v>
      </c>
      <c r="B1056" t="s">
        <v>3030</v>
      </c>
    </row>
    <row r="1057" spans="1:2" x14ac:dyDescent="0.35">
      <c r="A1057">
        <v>150844</v>
      </c>
      <c r="B1057" t="s">
        <v>3030</v>
      </c>
    </row>
    <row r="1058" spans="1:2" x14ac:dyDescent="0.35">
      <c r="A1058">
        <v>150904</v>
      </c>
      <c r="B1058" t="s">
        <v>3030</v>
      </c>
    </row>
    <row r="1059" spans="1:2" x14ac:dyDescent="0.35">
      <c r="A1059">
        <v>150909</v>
      </c>
      <c r="B1059" t="s">
        <v>3030</v>
      </c>
    </row>
    <row r="1060" spans="1:2" x14ac:dyDescent="0.35">
      <c r="A1060">
        <v>150936</v>
      </c>
      <c r="B1060" t="s">
        <v>3030</v>
      </c>
    </row>
    <row r="1061" spans="1:2" x14ac:dyDescent="0.35">
      <c r="A1061">
        <v>150938</v>
      </c>
      <c r="B1061" t="s">
        <v>3030</v>
      </c>
    </row>
    <row r="1062" spans="1:2" x14ac:dyDescent="0.35">
      <c r="A1062">
        <v>151135</v>
      </c>
      <c r="B1062" t="s">
        <v>3030</v>
      </c>
    </row>
    <row r="1063" spans="1:2" x14ac:dyDescent="0.35">
      <c r="A1063">
        <v>151228</v>
      </c>
      <c r="B1063" t="s">
        <v>3030</v>
      </c>
    </row>
    <row r="1064" spans="1:2" x14ac:dyDescent="0.35">
      <c r="A1064">
        <v>151290</v>
      </c>
      <c r="B1064" t="s">
        <v>3030</v>
      </c>
    </row>
    <row r="1065" spans="1:2" x14ac:dyDescent="0.35">
      <c r="A1065">
        <v>151354</v>
      </c>
      <c r="B1065" t="s">
        <v>3030</v>
      </c>
    </row>
    <row r="1066" spans="1:2" x14ac:dyDescent="0.35">
      <c r="A1066">
        <v>151387</v>
      </c>
      <c r="B1066" t="s">
        <v>3030</v>
      </c>
    </row>
    <row r="1067" spans="1:2" x14ac:dyDescent="0.35">
      <c r="A1067">
        <v>151420</v>
      </c>
      <c r="B1067" t="s">
        <v>3030</v>
      </c>
    </row>
    <row r="1068" spans="1:2" x14ac:dyDescent="0.35">
      <c r="A1068">
        <v>151455</v>
      </c>
      <c r="B1068" t="s">
        <v>3030</v>
      </c>
    </row>
    <row r="1069" spans="1:2" x14ac:dyDescent="0.35">
      <c r="A1069">
        <v>151519</v>
      </c>
      <c r="B1069" t="s">
        <v>3030</v>
      </c>
    </row>
    <row r="1070" spans="1:2" x14ac:dyDescent="0.35">
      <c r="A1070">
        <v>151611</v>
      </c>
      <c r="B1070" t="s">
        <v>3030</v>
      </c>
    </row>
    <row r="1071" spans="1:2" x14ac:dyDescent="0.35">
      <c r="A1071">
        <v>151641</v>
      </c>
      <c r="B1071" t="s">
        <v>3030</v>
      </c>
    </row>
    <row r="1072" spans="1:2" x14ac:dyDescent="0.35">
      <c r="A1072">
        <v>151738</v>
      </c>
      <c r="B1072" t="s">
        <v>3030</v>
      </c>
    </row>
    <row r="1073" spans="1:2" x14ac:dyDescent="0.35">
      <c r="A1073">
        <v>151802</v>
      </c>
      <c r="B1073" t="s">
        <v>3030</v>
      </c>
    </row>
    <row r="1074" spans="1:2" x14ac:dyDescent="0.35">
      <c r="A1074">
        <v>151901</v>
      </c>
      <c r="B1074" t="s">
        <v>3030</v>
      </c>
    </row>
    <row r="1075" spans="1:2" x14ac:dyDescent="0.35">
      <c r="A1075">
        <v>151933</v>
      </c>
      <c r="B1075" t="s">
        <v>3030</v>
      </c>
    </row>
    <row r="1076" spans="1:2" x14ac:dyDescent="0.35">
      <c r="A1076">
        <v>152028</v>
      </c>
      <c r="B1076" t="s">
        <v>3030</v>
      </c>
    </row>
    <row r="1077" spans="1:2" x14ac:dyDescent="0.35">
      <c r="A1077">
        <v>152121</v>
      </c>
      <c r="B1077" t="s">
        <v>3030</v>
      </c>
    </row>
    <row r="1078" spans="1:2" x14ac:dyDescent="0.35">
      <c r="A1078">
        <v>152219</v>
      </c>
      <c r="B1078" t="s">
        <v>3030</v>
      </c>
    </row>
    <row r="1079" spans="1:2" x14ac:dyDescent="0.35">
      <c r="A1079">
        <v>152221</v>
      </c>
      <c r="B1079" t="s">
        <v>3030</v>
      </c>
    </row>
    <row r="1080" spans="1:2" x14ac:dyDescent="0.35">
      <c r="A1080">
        <v>152249</v>
      </c>
      <c r="B1080" t="s">
        <v>3030</v>
      </c>
    </row>
    <row r="1081" spans="1:2" x14ac:dyDescent="0.35">
      <c r="A1081">
        <v>152282</v>
      </c>
      <c r="B1081" t="s">
        <v>3030</v>
      </c>
    </row>
    <row r="1082" spans="1:2" x14ac:dyDescent="0.35">
      <c r="A1082">
        <v>152286</v>
      </c>
      <c r="B1082" t="s">
        <v>3030</v>
      </c>
    </row>
    <row r="1083" spans="1:2" x14ac:dyDescent="0.35">
      <c r="A1083">
        <v>152287</v>
      </c>
      <c r="B1083" t="s">
        <v>3030</v>
      </c>
    </row>
    <row r="1084" spans="1:2" x14ac:dyDescent="0.35">
      <c r="A1084">
        <v>152317</v>
      </c>
      <c r="B1084" t="s">
        <v>3030</v>
      </c>
    </row>
    <row r="1085" spans="1:2" x14ac:dyDescent="0.35">
      <c r="A1085">
        <v>152346</v>
      </c>
      <c r="B1085" t="s">
        <v>3030</v>
      </c>
    </row>
    <row r="1086" spans="1:2" x14ac:dyDescent="0.35">
      <c r="A1086">
        <v>152382</v>
      </c>
      <c r="B1086" t="s">
        <v>3030</v>
      </c>
    </row>
    <row r="1087" spans="1:2" x14ac:dyDescent="0.35">
      <c r="A1087">
        <v>152504</v>
      </c>
      <c r="B1087" t="s">
        <v>3030</v>
      </c>
    </row>
    <row r="1088" spans="1:2" x14ac:dyDescent="0.35">
      <c r="A1088">
        <v>152510</v>
      </c>
      <c r="B1088" t="s">
        <v>3030</v>
      </c>
    </row>
    <row r="1089" spans="1:2" x14ac:dyDescent="0.35">
      <c r="A1089">
        <v>152667</v>
      </c>
      <c r="B1089" t="s">
        <v>3030</v>
      </c>
    </row>
    <row r="1090" spans="1:2" x14ac:dyDescent="0.35">
      <c r="A1090">
        <v>152761</v>
      </c>
      <c r="B1090" t="s">
        <v>3030</v>
      </c>
    </row>
    <row r="1091" spans="1:2" x14ac:dyDescent="0.35">
      <c r="A1091">
        <v>152826</v>
      </c>
      <c r="B1091" t="s">
        <v>3030</v>
      </c>
    </row>
    <row r="1092" spans="1:2" x14ac:dyDescent="0.35">
      <c r="A1092">
        <v>152895</v>
      </c>
      <c r="B1092" t="s">
        <v>3030</v>
      </c>
    </row>
    <row r="1093" spans="1:2" x14ac:dyDescent="0.35">
      <c r="A1093">
        <v>152957</v>
      </c>
      <c r="B1093" t="s">
        <v>3030</v>
      </c>
    </row>
    <row r="1094" spans="1:2" x14ac:dyDescent="0.35">
      <c r="A1094">
        <v>152958</v>
      </c>
      <c r="B1094" t="s">
        <v>3030</v>
      </c>
    </row>
    <row r="1095" spans="1:2" x14ac:dyDescent="0.35">
      <c r="A1095">
        <v>153016</v>
      </c>
      <c r="B1095" t="s">
        <v>3030</v>
      </c>
    </row>
    <row r="1096" spans="1:2" x14ac:dyDescent="0.35">
      <c r="A1096">
        <v>153081</v>
      </c>
      <c r="B1096" t="s">
        <v>3030</v>
      </c>
    </row>
    <row r="1097" spans="1:2" x14ac:dyDescent="0.35">
      <c r="A1097">
        <v>153144</v>
      </c>
      <c r="B1097" t="s">
        <v>3030</v>
      </c>
    </row>
    <row r="1098" spans="1:2" x14ac:dyDescent="0.35">
      <c r="A1098">
        <v>153149</v>
      </c>
      <c r="B1098" t="s">
        <v>3030</v>
      </c>
    </row>
    <row r="1099" spans="1:2" x14ac:dyDescent="0.35">
      <c r="A1099">
        <v>153151</v>
      </c>
      <c r="B1099" t="s">
        <v>3030</v>
      </c>
    </row>
    <row r="1100" spans="1:2" x14ac:dyDescent="0.35">
      <c r="A1100">
        <v>153310</v>
      </c>
      <c r="B1100" t="s">
        <v>3030</v>
      </c>
    </row>
    <row r="1101" spans="1:2" x14ac:dyDescent="0.35">
      <c r="A1101">
        <v>153403</v>
      </c>
      <c r="B1101" t="s">
        <v>3030</v>
      </c>
    </row>
    <row r="1102" spans="1:2" x14ac:dyDescent="0.35">
      <c r="A1102">
        <v>153433</v>
      </c>
      <c r="B1102" t="s">
        <v>3030</v>
      </c>
    </row>
    <row r="1103" spans="1:2" x14ac:dyDescent="0.35">
      <c r="A1103">
        <v>153564</v>
      </c>
      <c r="B1103" t="s">
        <v>3030</v>
      </c>
    </row>
    <row r="1104" spans="1:2" x14ac:dyDescent="0.35">
      <c r="A1104">
        <v>153567</v>
      </c>
      <c r="B1104" t="s">
        <v>3030</v>
      </c>
    </row>
    <row r="1105" spans="1:2" x14ac:dyDescent="0.35">
      <c r="A1105">
        <v>153726</v>
      </c>
      <c r="B1105" t="s">
        <v>3030</v>
      </c>
    </row>
    <row r="1106" spans="1:2" x14ac:dyDescent="0.35">
      <c r="A1106">
        <v>153757</v>
      </c>
      <c r="B1106" t="s">
        <v>3030</v>
      </c>
    </row>
    <row r="1107" spans="1:2" x14ac:dyDescent="0.35">
      <c r="A1107">
        <v>153759</v>
      </c>
      <c r="B1107" t="s">
        <v>3030</v>
      </c>
    </row>
    <row r="1108" spans="1:2" x14ac:dyDescent="0.35">
      <c r="A1108">
        <v>153784</v>
      </c>
      <c r="B1108" t="s">
        <v>3030</v>
      </c>
    </row>
    <row r="1109" spans="1:2" x14ac:dyDescent="0.35">
      <c r="A1109">
        <v>153786</v>
      </c>
      <c r="B1109" t="s">
        <v>3030</v>
      </c>
    </row>
    <row r="1110" spans="1:2" x14ac:dyDescent="0.35">
      <c r="A1110">
        <v>153851</v>
      </c>
      <c r="B1110" t="s">
        <v>3030</v>
      </c>
    </row>
    <row r="1111" spans="1:2" x14ac:dyDescent="0.35">
      <c r="A1111">
        <v>153915</v>
      </c>
      <c r="B1111" t="s">
        <v>3030</v>
      </c>
    </row>
    <row r="1112" spans="1:2" x14ac:dyDescent="0.35">
      <c r="A1112">
        <v>154040</v>
      </c>
      <c r="B1112" t="s">
        <v>3030</v>
      </c>
    </row>
    <row r="1113" spans="1:2" x14ac:dyDescent="0.35">
      <c r="A1113">
        <v>154072</v>
      </c>
      <c r="B1113" t="s">
        <v>3030</v>
      </c>
    </row>
    <row r="1114" spans="1:2" x14ac:dyDescent="0.35">
      <c r="A1114">
        <v>154171</v>
      </c>
      <c r="B1114" t="s">
        <v>3030</v>
      </c>
    </row>
    <row r="1115" spans="1:2" x14ac:dyDescent="0.35">
      <c r="A1115">
        <v>154233</v>
      </c>
      <c r="B1115" t="s">
        <v>3030</v>
      </c>
    </row>
    <row r="1116" spans="1:2" x14ac:dyDescent="0.35">
      <c r="A1116">
        <v>154237</v>
      </c>
      <c r="B1116" t="s">
        <v>3030</v>
      </c>
    </row>
    <row r="1117" spans="1:2" x14ac:dyDescent="0.35">
      <c r="A1117">
        <v>154552</v>
      </c>
      <c r="B1117" t="s">
        <v>3030</v>
      </c>
    </row>
    <row r="1118" spans="1:2" x14ac:dyDescent="0.35">
      <c r="A1118">
        <v>154619</v>
      </c>
      <c r="B1118" t="s">
        <v>3030</v>
      </c>
    </row>
    <row r="1119" spans="1:2" x14ac:dyDescent="0.35">
      <c r="A1119">
        <v>154620</v>
      </c>
      <c r="B1119" t="s">
        <v>3030</v>
      </c>
    </row>
    <row r="1120" spans="1:2" x14ac:dyDescent="0.35">
      <c r="A1120">
        <v>154650</v>
      </c>
      <c r="B1120" t="s">
        <v>3030</v>
      </c>
    </row>
    <row r="1121" spans="1:2" x14ac:dyDescent="0.35">
      <c r="A1121">
        <v>154684</v>
      </c>
      <c r="B1121" t="s">
        <v>3030</v>
      </c>
    </row>
    <row r="1122" spans="1:2" x14ac:dyDescent="0.35">
      <c r="A1122">
        <v>154687</v>
      </c>
      <c r="B1122" t="s">
        <v>3030</v>
      </c>
    </row>
    <row r="1123" spans="1:2" x14ac:dyDescent="0.35">
      <c r="A1123">
        <v>154751</v>
      </c>
      <c r="B1123" t="s">
        <v>3030</v>
      </c>
    </row>
    <row r="1124" spans="1:2" x14ac:dyDescent="0.35">
      <c r="A1124">
        <v>154845</v>
      </c>
      <c r="B1124" t="s">
        <v>3030</v>
      </c>
    </row>
    <row r="1125" spans="1:2" x14ac:dyDescent="0.35">
      <c r="A1125">
        <v>154876</v>
      </c>
      <c r="B1125" t="s">
        <v>3030</v>
      </c>
    </row>
    <row r="1126" spans="1:2" x14ac:dyDescent="0.35">
      <c r="A1126">
        <v>154878</v>
      </c>
      <c r="B1126" t="s">
        <v>3030</v>
      </c>
    </row>
    <row r="1127" spans="1:2" x14ac:dyDescent="0.35">
      <c r="A1127">
        <v>155069</v>
      </c>
      <c r="B1127" t="s">
        <v>3030</v>
      </c>
    </row>
    <row r="1128" spans="1:2" x14ac:dyDescent="0.35">
      <c r="A1128">
        <v>155131</v>
      </c>
      <c r="B1128" t="s">
        <v>3030</v>
      </c>
    </row>
    <row r="1129" spans="1:2" x14ac:dyDescent="0.35">
      <c r="A1129">
        <v>155295</v>
      </c>
      <c r="B1129" t="s">
        <v>3030</v>
      </c>
    </row>
    <row r="1130" spans="1:2" x14ac:dyDescent="0.35">
      <c r="A1130">
        <v>155323</v>
      </c>
      <c r="B1130" t="s">
        <v>3030</v>
      </c>
    </row>
    <row r="1131" spans="1:2" x14ac:dyDescent="0.35">
      <c r="A1131">
        <v>155418</v>
      </c>
      <c r="B1131" t="s">
        <v>3030</v>
      </c>
    </row>
    <row r="1132" spans="1:2" x14ac:dyDescent="0.35">
      <c r="A1132">
        <v>155420</v>
      </c>
      <c r="B1132" t="s">
        <v>3030</v>
      </c>
    </row>
    <row r="1133" spans="1:2" x14ac:dyDescent="0.35">
      <c r="A1133">
        <v>155451</v>
      </c>
      <c r="B1133" t="s">
        <v>3030</v>
      </c>
    </row>
    <row r="1134" spans="1:2" x14ac:dyDescent="0.35">
      <c r="A1134">
        <v>155455</v>
      </c>
      <c r="B1134" t="s">
        <v>3030</v>
      </c>
    </row>
    <row r="1135" spans="1:2" x14ac:dyDescent="0.35">
      <c r="A1135">
        <v>155519</v>
      </c>
      <c r="B1135" t="s">
        <v>3030</v>
      </c>
    </row>
    <row r="1136" spans="1:2" x14ac:dyDescent="0.35">
      <c r="A1136">
        <v>155641</v>
      </c>
      <c r="B1136" t="s">
        <v>3030</v>
      </c>
    </row>
    <row r="1137" spans="1:2" x14ac:dyDescent="0.35">
      <c r="A1137">
        <v>155647</v>
      </c>
      <c r="B1137" t="s">
        <v>3030</v>
      </c>
    </row>
    <row r="1138" spans="1:2" x14ac:dyDescent="0.35">
      <c r="A1138">
        <v>155675</v>
      </c>
      <c r="B1138" t="s">
        <v>3030</v>
      </c>
    </row>
    <row r="1139" spans="1:2" x14ac:dyDescent="0.35">
      <c r="A1139">
        <v>155741</v>
      </c>
      <c r="B1139" t="s">
        <v>3030</v>
      </c>
    </row>
    <row r="1140" spans="1:2" x14ac:dyDescent="0.35">
      <c r="A1140">
        <v>155800</v>
      </c>
      <c r="B1140" t="s">
        <v>3030</v>
      </c>
    </row>
    <row r="1141" spans="1:2" x14ac:dyDescent="0.35">
      <c r="A1141">
        <v>155804</v>
      </c>
      <c r="B1141" t="s">
        <v>3030</v>
      </c>
    </row>
    <row r="1142" spans="1:2" x14ac:dyDescent="0.35">
      <c r="A1142">
        <v>155834</v>
      </c>
      <c r="B1142" t="s">
        <v>3030</v>
      </c>
    </row>
    <row r="1143" spans="1:2" x14ac:dyDescent="0.35">
      <c r="A1143">
        <v>155868</v>
      </c>
      <c r="B1143" t="s">
        <v>3030</v>
      </c>
    </row>
    <row r="1144" spans="1:2" x14ac:dyDescent="0.35">
      <c r="A1144">
        <v>155929</v>
      </c>
      <c r="B1144" t="s">
        <v>3030</v>
      </c>
    </row>
    <row r="1145" spans="1:2" x14ac:dyDescent="0.35">
      <c r="A1145">
        <v>155999</v>
      </c>
      <c r="B1145" t="s">
        <v>3030</v>
      </c>
    </row>
    <row r="1146" spans="1:2" x14ac:dyDescent="0.35">
      <c r="A1146">
        <v>156031</v>
      </c>
      <c r="B1146" t="s">
        <v>3030</v>
      </c>
    </row>
    <row r="1147" spans="1:2" x14ac:dyDescent="0.35">
      <c r="A1147">
        <v>156090</v>
      </c>
      <c r="B1147" t="s">
        <v>3030</v>
      </c>
    </row>
    <row r="1148" spans="1:2" x14ac:dyDescent="0.35">
      <c r="A1148">
        <v>156126</v>
      </c>
      <c r="B1148" t="s">
        <v>3030</v>
      </c>
    </row>
    <row r="1149" spans="1:2" x14ac:dyDescent="0.35">
      <c r="A1149">
        <v>156159</v>
      </c>
      <c r="B1149" t="s">
        <v>3030</v>
      </c>
    </row>
    <row r="1150" spans="1:2" x14ac:dyDescent="0.35">
      <c r="A1150">
        <v>156184</v>
      </c>
      <c r="B1150" t="s">
        <v>3030</v>
      </c>
    </row>
    <row r="1151" spans="1:2" x14ac:dyDescent="0.35">
      <c r="A1151">
        <v>156186</v>
      </c>
      <c r="B1151" t="s">
        <v>3030</v>
      </c>
    </row>
    <row r="1152" spans="1:2" x14ac:dyDescent="0.35">
      <c r="A1152">
        <v>156189</v>
      </c>
      <c r="B1152" t="s">
        <v>3030</v>
      </c>
    </row>
    <row r="1153" spans="1:2" x14ac:dyDescent="0.35">
      <c r="A1153">
        <v>156219</v>
      </c>
      <c r="B1153" t="s">
        <v>3030</v>
      </c>
    </row>
    <row r="1154" spans="1:2" x14ac:dyDescent="0.35">
      <c r="A1154">
        <v>156220</v>
      </c>
      <c r="B1154" t="s">
        <v>3030</v>
      </c>
    </row>
    <row r="1155" spans="1:2" x14ac:dyDescent="0.35">
      <c r="A1155">
        <v>156287</v>
      </c>
      <c r="B1155" t="s">
        <v>3030</v>
      </c>
    </row>
    <row r="1156" spans="1:2" x14ac:dyDescent="0.35">
      <c r="A1156">
        <v>156477</v>
      </c>
      <c r="B1156" t="s">
        <v>3030</v>
      </c>
    </row>
    <row r="1157" spans="1:2" x14ac:dyDescent="0.35">
      <c r="A1157">
        <v>156478</v>
      </c>
      <c r="B1157" t="s">
        <v>3030</v>
      </c>
    </row>
    <row r="1158" spans="1:2" x14ac:dyDescent="0.35">
      <c r="A1158">
        <v>156541</v>
      </c>
      <c r="B1158" t="s">
        <v>3030</v>
      </c>
    </row>
    <row r="1159" spans="1:2" x14ac:dyDescent="0.35">
      <c r="A1159">
        <v>156568</v>
      </c>
      <c r="B1159" t="s">
        <v>3030</v>
      </c>
    </row>
    <row r="1160" spans="1:2" x14ac:dyDescent="0.35">
      <c r="A1160">
        <v>156604</v>
      </c>
      <c r="B1160" t="s">
        <v>3030</v>
      </c>
    </row>
    <row r="1161" spans="1:2" x14ac:dyDescent="0.35">
      <c r="A1161">
        <v>156605</v>
      </c>
      <c r="B1161" t="s">
        <v>3030</v>
      </c>
    </row>
    <row r="1162" spans="1:2" x14ac:dyDescent="0.35">
      <c r="A1162">
        <v>156606</v>
      </c>
      <c r="B1162" t="s">
        <v>3030</v>
      </c>
    </row>
    <row r="1163" spans="1:2" x14ac:dyDescent="0.35">
      <c r="A1163">
        <v>156729</v>
      </c>
      <c r="B1163" t="s">
        <v>3030</v>
      </c>
    </row>
    <row r="1164" spans="1:2" x14ac:dyDescent="0.35">
      <c r="A1164">
        <v>156862</v>
      </c>
      <c r="B1164" t="s">
        <v>3030</v>
      </c>
    </row>
    <row r="1165" spans="1:2" x14ac:dyDescent="0.35">
      <c r="A1165">
        <v>156987</v>
      </c>
      <c r="B1165" t="s">
        <v>3030</v>
      </c>
    </row>
    <row r="1166" spans="1:2" x14ac:dyDescent="0.35">
      <c r="A1166">
        <v>156988</v>
      </c>
      <c r="B1166" t="s">
        <v>3030</v>
      </c>
    </row>
    <row r="1167" spans="1:2" x14ac:dyDescent="0.35">
      <c r="A1167">
        <v>157087</v>
      </c>
      <c r="B1167" t="s">
        <v>3030</v>
      </c>
    </row>
    <row r="1168" spans="1:2" x14ac:dyDescent="0.35">
      <c r="A1168">
        <v>157180</v>
      </c>
      <c r="B1168" t="s">
        <v>3030</v>
      </c>
    </row>
    <row r="1169" spans="1:2" x14ac:dyDescent="0.35">
      <c r="A1169">
        <v>157215</v>
      </c>
      <c r="B1169" t="s">
        <v>3030</v>
      </c>
    </row>
    <row r="1170" spans="1:2" x14ac:dyDescent="0.35">
      <c r="A1170">
        <v>157337</v>
      </c>
      <c r="B1170" t="s">
        <v>3030</v>
      </c>
    </row>
    <row r="1171" spans="1:2" x14ac:dyDescent="0.35">
      <c r="A1171">
        <v>157338</v>
      </c>
      <c r="B1171" t="s">
        <v>3030</v>
      </c>
    </row>
    <row r="1172" spans="1:2" x14ac:dyDescent="0.35">
      <c r="A1172">
        <v>157400</v>
      </c>
      <c r="B1172" t="s">
        <v>3030</v>
      </c>
    </row>
    <row r="1173" spans="1:2" x14ac:dyDescent="0.35">
      <c r="A1173">
        <v>157402</v>
      </c>
      <c r="B1173" t="s">
        <v>3030</v>
      </c>
    </row>
    <row r="1174" spans="1:2" x14ac:dyDescent="0.35">
      <c r="A1174">
        <v>157406</v>
      </c>
      <c r="B1174" t="s">
        <v>3030</v>
      </c>
    </row>
    <row r="1175" spans="1:2" x14ac:dyDescent="0.35">
      <c r="A1175">
        <v>157435</v>
      </c>
      <c r="B1175" t="s">
        <v>3030</v>
      </c>
    </row>
    <row r="1176" spans="1:2" x14ac:dyDescent="0.35">
      <c r="A1176">
        <v>157438</v>
      </c>
      <c r="B1176" t="s">
        <v>3030</v>
      </c>
    </row>
    <row r="1177" spans="1:2" x14ac:dyDescent="0.35">
      <c r="A1177">
        <v>157497</v>
      </c>
      <c r="B1177" t="s">
        <v>3030</v>
      </c>
    </row>
    <row r="1178" spans="1:2" x14ac:dyDescent="0.35">
      <c r="A1178">
        <v>157499</v>
      </c>
      <c r="B1178" t="s">
        <v>3030</v>
      </c>
    </row>
    <row r="1179" spans="1:2" x14ac:dyDescent="0.35">
      <c r="A1179">
        <v>157562</v>
      </c>
      <c r="B1179" t="s">
        <v>3030</v>
      </c>
    </row>
    <row r="1180" spans="1:2" x14ac:dyDescent="0.35">
      <c r="A1180">
        <v>157565</v>
      </c>
      <c r="B1180" t="s">
        <v>3030</v>
      </c>
    </row>
    <row r="1181" spans="1:2" x14ac:dyDescent="0.35">
      <c r="A1181">
        <v>157597</v>
      </c>
      <c r="B1181" t="s">
        <v>3030</v>
      </c>
    </row>
    <row r="1182" spans="1:2" x14ac:dyDescent="0.35">
      <c r="A1182">
        <v>157659</v>
      </c>
      <c r="B1182" t="s">
        <v>3030</v>
      </c>
    </row>
    <row r="1183" spans="1:2" x14ac:dyDescent="0.35">
      <c r="A1183">
        <v>157689</v>
      </c>
      <c r="B1183" t="s">
        <v>3030</v>
      </c>
    </row>
    <row r="1184" spans="1:2" x14ac:dyDescent="0.35">
      <c r="A1184">
        <v>157753</v>
      </c>
      <c r="B1184" t="s">
        <v>3030</v>
      </c>
    </row>
    <row r="1185" spans="1:2" x14ac:dyDescent="0.35">
      <c r="A1185">
        <v>157791</v>
      </c>
      <c r="B1185" t="s">
        <v>3030</v>
      </c>
    </row>
    <row r="1186" spans="1:2" x14ac:dyDescent="0.35">
      <c r="A1186">
        <v>157822</v>
      </c>
      <c r="B1186" t="s">
        <v>3030</v>
      </c>
    </row>
    <row r="1187" spans="1:2" x14ac:dyDescent="0.35">
      <c r="A1187">
        <v>157853</v>
      </c>
      <c r="B1187" t="s">
        <v>3030</v>
      </c>
    </row>
    <row r="1188" spans="1:2" x14ac:dyDescent="0.35">
      <c r="A1188">
        <v>157882</v>
      </c>
      <c r="B1188" t="s">
        <v>3030</v>
      </c>
    </row>
    <row r="1189" spans="1:2" x14ac:dyDescent="0.35">
      <c r="A1189">
        <v>157979</v>
      </c>
      <c r="B1189" t="s">
        <v>3030</v>
      </c>
    </row>
    <row r="1190" spans="1:2" x14ac:dyDescent="0.35">
      <c r="A1190">
        <v>158047</v>
      </c>
      <c r="B1190" t="s">
        <v>3030</v>
      </c>
    </row>
    <row r="1191" spans="1:2" x14ac:dyDescent="0.35">
      <c r="A1191">
        <v>158110</v>
      </c>
      <c r="B1191" t="s">
        <v>3030</v>
      </c>
    </row>
    <row r="1192" spans="1:2" x14ac:dyDescent="0.35">
      <c r="A1192">
        <v>158136</v>
      </c>
      <c r="B1192" t="s">
        <v>3030</v>
      </c>
    </row>
    <row r="1193" spans="1:2" x14ac:dyDescent="0.35">
      <c r="A1193">
        <v>158139</v>
      </c>
      <c r="B1193" t="s">
        <v>3030</v>
      </c>
    </row>
    <row r="1194" spans="1:2" x14ac:dyDescent="0.35">
      <c r="A1194">
        <v>158173</v>
      </c>
      <c r="B1194" t="s">
        <v>3030</v>
      </c>
    </row>
    <row r="1195" spans="1:2" x14ac:dyDescent="0.35">
      <c r="A1195">
        <v>158200</v>
      </c>
      <c r="B1195" t="s">
        <v>3030</v>
      </c>
    </row>
    <row r="1196" spans="1:2" x14ac:dyDescent="0.35">
      <c r="A1196">
        <v>158300</v>
      </c>
      <c r="B1196" t="s">
        <v>3030</v>
      </c>
    </row>
    <row r="1197" spans="1:2" x14ac:dyDescent="0.35">
      <c r="A1197">
        <v>158302</v>
      </c>
      <c r="B1197" t="s">
        <v>3030</v>
      </c>
    </row>
    <row r="1198" spans="1:2" x14ac:dyDescent="0.35">
      <c r="A1198">
        <v>158430</v>
      </c>
      <c r="B1198" t="s">
        <v>3030</v>
      </c>
    </row>
    <row r="1199" spans="1:2" x14ac:dyDescent="0.35">
      <c r="A1199">
        <v>158492</v>
      </c>
      <c r="B1199" t="s">
        <v>3030</v>
      </c>
    </row>
    <row r="1200" spans="1:2" x14ac:dyDescent="0.35">
      <c r="A1200">
        <v>158494</v>
      </c>
      <c r="B1200" t="s">
        <v>3030</v>
      </c>
    </row>
    <row r="1201" spans="1:2" x14ac:dyDescent="0.35">
      <c r="A1201">
        <v>158584</v>
      </c>
      <c r="B1201" t="s">
        <v>3030</v>
      </c>
    </row>
    <row r="1202" spans="1:2" x14ac:dyDescent="0.35">
      <c r="A1202">
        <v>158590</v>
      </c>
      <c r="B1202" t="s">
        <v>3030</v>
      </c>
    </row>
    <row r="1203" spans="1:2" x14ac:dyDescent="0.35">
      <c r="A1203">
        <v>158652</v>
      </c>
      <c r="B1203" t="s">
        <v>3030</v>
      </c>
    </row>
    <row r="1204" spans="1:2" x14ac:dyDescent="0.35">
      <c r="A1204">
        <v>158684</v>
      </c>
      <c r="B1204" t="s">
        <v>3030</v>
      </c>
    </row>
    <row r="1205" spans="1:2" x14ac:dyDescent="0.35">
      <c r="A1205">
        <v>158713</v>
      </c>
      <c r="B1205" t="s">
        <v>3030</v>
      </c>
    </row>
    <row r="1206" spans="1:2" x14ac:dyDescent="0.35">
      <c r="A1206">
        <v>158875</v>
      </c>
      <c r="B1206" t="s">
        <v>3030</v>
      </c>
    </row>
    <row r="1207" spans="1:2" x14ac:dyDescent="0.35">
      <c r="A1207">
        <v>158878</v>
      </c>
      <c r="B1207" t="s">
        <v>3030</v>
      </c>
    </row>
    <row r="1208" spans="1:2" x14ac:dyDescent="0.35">
      <c r="A1208">
        <v>158908</v>
      </c>
      <c r="B1208" t="s">
        <v>3030</v>
      </c>
    </row>
    <row r="1209" spans="1:2" x14ac:dyDescent="0.35">
      <c r="A1209">
        <v>158968</v>
      </c>
      <c r="B1209" t="s">
        <v>3030</v>
      </c>
    </row>
    <row r="1210" spans="1:2" x14ac:dyDescent="0.35">
      <c r="A1210">
        <v>159034</v>
      </c>
      <c r="B1210" t="s">
        <v>3030</v>
      </c>
    </row>
    <row r="1211" spans="1:2" x14ac:dyDescent="0.35">
      <c r="A1211">
        <v>159068</v>
      </c>
      <c r="B1211" t="s">
        <v>3030</v>
      </c>
    </row>
    <row r="1212" spans="1:2" x14ac:dyDescent="0.35">
      <c r="A1212">
        <v>159099</v>
      </c>
      <c r="B1212" t="s">
        <v>3030</v>
      </c>
    </row>
    <row r="1213" spans="1:2" x14ac:dyDescent="0.35">
      <c r="A1213">
        <v>159103</v>
      </c>
      <c r="B1213" t="s">
        <v>3030</v>
      </c>
    </row>
    <row r="1214" spans="1:2" x14ac:dyDescent="0.35">
      <c r="A1214">
        <v>159196</v>
      </c>
      <c r="B1214" t="s">
        <v>3030</v>
      </c>
    </row>
    <row r="1215" spans="1:2" x14ac:dyDescent="0.35">
      <c r="A1215">
        <v>159292</v>
      </c>
      <c r="B1215" t="s">
        <v>3030</v>
      </c>
    </row>
    <row r="1216" spans="1:2" x14ac:dyDescent="0.35">
      <c r="A1216">
        <v>159387</v>
      </c>
      <c r="B1216" t="s">
        <v>3030</v>
      </c>
    </row>
    <row r="1217" spans="1:2" x14ac:dyDescent="0.35">
      <c r="A1217">
        <v>159484</v>
      </c>
      <c r="B1217" t="s">
        <v>3030</v>
      </c>
    </row>
    <row r="1218" spans="1:2" x14ac:dyDescent="0.35">
      <c r="A1218">
        <v>159640</v>
      </c>
      <c r="B1218" t="s">
        <v>3030</v>
      </c>
    </row>
    <row r="1219" spans="1:2" x14ac:dyDescent="0.35">
      <c r="A1219">
        <v>159646</v>
      </c>
      <c r="B1219" t="s">
        <v>3030</v>
      </c>
    </row>
    <row r="1220" spans="1:2" x14ac:dyDescent="0.35">
      <c r="A1220">
        <v>159838</v>
      </c>
      <c r="B1220" t="s">
        <v>3030</v>
      </c>
    </row>
    <row r="1221" spans="1:2" x14ac:dyDescent="0.35">
      <c r="A1221">
        <v>159866</v>
      </c>
      <c r="B1221" t="s">
        <v>3030</v>
      </c>
    </row>
    <row r="1222" spans="1:2" x14ac:dyDescent="0.35">
      <c r="A1222">
        <v>159992</v>
      </c>
      <c r="B1222" t="s">
        <v>3030</v>
      </c>
    </row>
    <row r="1223" spans="1:2" x14ac:dyDescent="0.35">
      <c r="A1223">
        <v>159997</v>
      </c>
      <c r="B1223" t="s">
        <v>3030</v>
      </c>
    </row>
    <row r="1224" spans="1:2" x14ac:dyDescent="0.35">
      <c r="A1224">
        <v>160025</v>
      </c>
      <c r="B1224" t="s">
        <v>3030</v>
      </c>
    </row>
    <row r="1225" spans="1:2" x14ac:dyDescent="0.35">
      <c r="A1225">
        <v>160095</v>
      </c>
      <c r="B1225" t="s">
        <v>3030</v>
      </c>
    </row>
    <row r="1226" spans="1:2" x14ac:dyDescent="0.35">
      <c r="A1226">
        <v>160127</v>
      </c>
      <c r="B1226" t="s">
        <v>3030</v>
      </c>
    </row>
    <row r="1227" spans="1:2" x14ac:dyDescent="0.35">
      <c r="A1227">
        <v>160188</v>
      </c>
      <c r="B1227" t="s">
        <v>3030</v>
      </c>
    </row>
    <row r="1228" spans="1:2" x14ac:dyDescent="0.35">
      <c r="A1228">
        <v>160218</v>
      </c>
      <c r="B1228" t="s">
        <v>3030</v>
      </c>
    </row>
    <row r="1229" spans="1:2" x14ac:dyDescent="0.35">
      <c r="A1229">
        <v>160315</v>
      </c>
      <c r="B1229" t="s">
        <v>3030</v>
      </c>
    </row>
    <row r="1230" spans="1:2" x14ac:dyDescent="0.35">
      <c r="A1230">
        <v>160348</v>
      </c>
      <c r="B1230" t="s">
        <v>3030</v>
      </c>
    </row>
    <row r="1231" spans="1:2" x14ac:dyDescent="0.35">
      <c r="A1231">
        <v>160380</v>
      </c>
      <c r="B1231" t="s">
        <v>3030</v>
      </c>
    </row>
    <row r="1232" spans="1:2" x14ac:dyDescent="0.35">
      <c r="A1232">
        <v>160414</v>
      </c>
      <c r="B1232" t="s">
        <v>3030</v>
      </c>
    </row>
    <row r="1233" spans="1:2" x14ac:dyDescent="0.35">
      <c r="A1233">
        <v>160441</v>
      </c>
      <c r="B1233" t="s">
        <v>3030</v>
      </c>
    </row>
    <row r="1234" spans="1:2" x14ac:dyDescent="0.35">
      <c r="A1234">
        <v>160447</v>
      </c>
      <c r="B1234" t="s">
        <v>3030</v>
      </c>
    </row>
    <row r="1235" spans="1:2" x14ac:dyDescent="0.35">
      <c r="A1235">
        <v>160543</v>
      </c>
      <c r="B1235" t="s">
        <v>3030</v>
      </c>
    </row>
    <row r="1236" spans="1:2" x14ac:dyDescent="0.35">
      <c r="A1236">
        <v>160667</v>
      </c>
      <c r="B1236" t="s">
        <v>3030</v>
      </c>
    </row>
    <row r="1237" spans="1:2" x14ac:dyDescent="0.35">
      <c r="A1237">
        <v>160668</v>
      </c>
      <c r="B1237" t="s">
        <v>3030</v>
      </c>
    </row>
    <row r="1238" spans="1:2" x14ac:dyDescent="0.35">
      <c r="A1238">
        <v>160734</v>
      </c>
      <c r="B1238" t="s">
        <v>3030</v>
      </c>
    </row>
    <row r="1239" spans="1:2" x14ac:dyDescent="0.35">
      <c r="A1239">
        <v>160762</v>
      </c>
      <c r="B1239" t="s">
        <v>3030</v>
      </c>
    </row>
    <row r="1240" spans="1:2" x14ac:dyDescent="0.35">
      <c r="A1240">
        <v>160825</v>
      </c>
      <c r="B1240" t="s">
        <v>3030</v>
      </c>
    </row>
    <row r="1241" spans="1:2" x14ac:dyDescent="0.35">
      <c r="A1241">
        <v>160860</v>
      </c>
      <c r="B1241" t="s">
        <v>3030</v>
      </c>
    </row>
    <row r="1242" spans="1:2" x14ac:dyDescent="0.35">
      <c r="A1242">
        <v>160861</v>
      </c>
      <c r="B1242" t="s">
        <v>3030</v>
      </c>
    </row>
    <row r="1243" spans="1:2" x14ac:dyDescent="0.35">
      <c r="A1243">
        <v>160891</v>
      </c>
      <c r="B1243" t="s">
        <v>3030</v>
      </c>
    </row>
    <row r="1244" spans="1:2" x14ac:dyDescent="0.35">
      <c r="A1244">
        <v>160924</v>
      </c>
      <c r="B1244" t="s">
        <v>3030</v>
      </c>
    </row>
    <row r="1245" spans="1:2" x14ac:dyDescent="0.35">
      <c r="A1245">
        <v>161080</v>
      </c>
      <c r="B1245" t="s">
        <v>3030</v>
      </c>
    </row>
    <row r="1246" spans="1:2" x14ac:dyDescent="0.35">
      <c r="A1246">
        <v>161087</v>
      </c>
      <c r="B1246" t="s">
        <v>3030</v>
      </c>
    </row>
    <row r="1247" spans="1:2" x14ac:dyDescent="0.35">
      <c r="A1247">
        <v>161210</v>
      </c>
      <c r="B1247" t="s">
        <v>3030</v>
      </c>
    </row>
    <row r="1248" spans="1:2" x14ac:dyDescent="0.35">
      <c r="A1248">
        <v>161212</v>
      </c>
      <c r="B1248" t="s">
        <v>3030</v>
      </c>
    </row>
    <row r="1249" spans="1:2" x14ac:dyDescent="0.35">
      <c r="A1249">
        <v>161304</v>
      </c>
      <c r="B1249" t="s">
        <v>3030</v>
      </c>
    </row>
    <row r="1250" spans="1:2" x14ac:dyDescent="0.35">
      <c r="A1250">
        <v>161310</v>
      </c>
      <c r="B1250" t="s">
        <v>3030</v>
      </c>
    </row>
    <row r="1251" spans="1:2" x14ac:dyDescent="0.35">
      <c r="A1251">
        <v>161340</v>
      </c>
      <c r="B1251" t="s">
        <v>3030</v>
      </c>
    </row>
    <row r="1252" spans="1:2" x14ac:dyDescent="0.35">
      <c r="A1252">
        <v>161369</v>
      </c>
      <c r="B1252" t="s">
        <v>3030</v>
      </c>
    </row>
    <row r="1253" spans="1:2" x14ac:dyDescent="0.35">
      <c r="A1253">
        <v>161437</v>
      </c>
      <c r="B1253" t="s">
        <v>3030</v>
      </c>
    </row>
    <row r="1254" spans="1:2" x14ac:dyDescent="0.35">
      <c r="A1254">
        <v>161466</v>
      </c>
      <c r="B1254" t="s">
        <v>3030</v>
      </c>
    </row>
    <row r="1255" spans="1:2" x14ac:dyDescent="0.35">
      <c r="A1255">
        <v>161531</v>
      </c>
      <c r="B1255" t="s">
        <v>3030</v>
      </c>
    </row>
    <row r="1256" spans="1:2" x14ac:dyDescent="0.35">
      <c r="A1256">
        <v>161599</v>
      </c>
      <c r="B1256" t="s">
        <v>3030</v>
      </c>
    </row>
    <row r="1257" spans="1:2" x14ac:dyDescent="0.35">
      <c r="A1257">
        <v>161657</v>
      </c>
      <c r="B1257" t="s">
        <v>3030</v>
      </c>
    </row>
    <row r="1258" spans="1:2" x14ac:dyDescent="0.35">
      <c r="A1258">
        <v>161661</v>
      </c>
      <c r="B1258" t="s">
        <v>3030</v>
      </c>
    </row>
    <row r="1259" spans="1:2" x14ac:dyDescent="0.35">
      <c r="A1259">
        <v>161693</v>
      </c>
      <c r="B1259" t="s">
        <v>3030</v>
      </c>
    </row>
    <row r="1260" spans="1:2" x14ac:dyDescent="0.35">
      <c r="A1260">
        <v>161786</v>
      </c>
      <c r="B1260" t="s">
        <v>3030</v>
      </c>
    </row>
    <row r="1261" spans="1:2" x14ac:dyDescent="0.35">
      <c r="A1261">
        <v>161791</v>
      </c>
      <c r="B1261" t="s">
        <v>3030</v>
      </c>
    </row>
    <row r="1262" spans="1:2" x14ac:dyDescent="0.35">
      <c r="A1262">
        <v>161848</v>
      </c>
      <c r="B1262" t="s">
        <v>3030</v>
      </c>
    </row>
    <row r="1263" spans="1:2" x14ac:dyDescent="0.35">
      <c r="A1263">
        <v>161917</v>
      </c>
      <c r="B1263" t="s">
        <v>3030</v>
      </c>
    </row>
    <row r="1264" spans="1:2" x14ac:dyDescent="0.35">
      <c r="A1264">
        <v>161944</v>
      </c>
      <c r="B1264" t="s">
        <v>3030</v>
      </c>
    </row>
    <row r="1265" spans="1:2" x14ac:dyDescent="0.35">
      <c r="A1265">
        <v>161948</v>
      </c>
      <c r="B1265" t="s">
        <v>3030</v>
      </c>
    </row>
    <row r="1266" spans="1:2" x14ac:dyDescent="0.35">
      <c r="A1266">
        <v>161950</v>
      </c>
      <c r="B1266" t="s">
        <v>3030</v>
      </c>
    </row>
    <row r="1267" spans="1:2" x14ac:dyDescent="0.35">
      <c r="A1267">
        <v>162043</v>
      </c>
      <c r="B1267" t="s">
        <v>3030</v>
      </c>
    </row>
    <row r="1268" spans="1:2" x14ac:dyDescent="0.35">
      <c r="A1268">
        <v>162078</v>
      </c>
      <c r="B1268" t="s">
        <v>3030</v>
      </c>
    </row>
    <row r="1269" spans="1:2" x14ac:dyDescent="0.35">
      <c r="A1269">
        <v>162235</v>
      </c>
      <c r="B1269" t="s">
        <v>3030</v>
      </c>
    </row>
    <row r="1270" spans="1:2" x14ac:dyDescent="0.35">
      <c r="A1270">
        <v>162238</v>
      </c>
      <c r="B1270" t="s">
        <v>3030</v>
      </c>
    </row>
    <row r="1271" spans="1:2" x14ac:dyDescent="0.35">
      <c r="A1271">
        <v>162265</v>
      </c>
      <c r="B1271" t="s">
        <v>3030</v>
      </c>
    </row>
    <row r="1272" spans="1:2" x14ac:dyDescent="0.35">
      <c r="A1272">
        <v>162266</v>
      </c>
      <c r="B1272" t="s">
        <v>3030</v>
      </c>
    </row>
    <row r="1273" spans="1:2" x14ac:dyDescent="0.35">
      <c r="A1273">
        <v>162330</v>
      </c>
      <c r="B1273" t="s">
        <v>3030</v>
      </c>
    </row>
    <row r="1274" spans="1:2" x14ac:dyDescent="0.35">
      <c r="A1274">
        <v>162331</v>
      </c>
      <c r="B1274" t="s">
        <v>3030</v>
      </c>
    </row>
    <row r="1275" spans="1:2" x14ac:dyDescent="0.35">
      <c r="A1275">
        <v>162335</v>
      </c>
      <c r="B1275" t="s">
        <v>3030</v>
      </c>
    </row>
    <row r="1276" spans="1:2" x14ac:dyDescent="0.35">
      <c r="A1276">
        <v>162586</v>
      </c>
      <c r="B1276" t="s">
        <v>3030</v>
      </c>
    </row>
    <row r="1277" spans="1:2" x14ac:dyDescent="0.35">
      <c r="A1277">
        <v>162590</v>
      </c>
      <c r="B1277" t="s">
        <v>3030</v>
      </c>
    </row>
    <row r="1278" spans="1:2" x14ac:dyDescent="0.35">
      <c r="A1278">
        <v>162650</v>
      </c>
      <c r="B1278" t="s">
        <v>3030</v>
      </c>
    </row>
    <row r="1279" spans="1:2" x14ac:dyDescent="0.35">
      <c r="A1279">
        <v>162654</v>
      </c>
      <c r="B1279" t="s">
        <v>3030</v>
      </c>
    </row>
    <row r="1280" spans="1:2" x14ac:dyDescent="0.35">
      <c r="A1280">
        <v>162655</v>
      </c>
      <c r="B1280" t="s">
        <v>3030</v>
      </c>
    </row>
    <row r="1281" spans="1:2" x14ac:dyDescent="0.35">
      <c r="A1281">
        <v>162683</v>
      </c>
      <c r="B1281" t="s">
        <v>3030</v>
      </c>
    </row>
    <row r="1282" spans="1:2" x14ac:dyDescent="0.35">
      <c r="A1282">
        <v>162744</v>
      </c>
      <c r="B1282" t="s">
        <v>3030</v>
      </c>
    </row>
    <row r="1283" spans="1:2" x14ac:dyDescent="0.35">
      <c r="A1283">
        <v>162745</v>
      </c>
      <c r="B1283" t="s">
        <v>3030</v>
      </c>
    </row>
    <row r="1284" spans="1:2" x14ac:dyDescent="0.35">
      <c r="A1284">
        <v>162812</v>
      </c>
      <c r="B1284" t="s">
        <v>3030</v>
      </c>
    </row>
    <row r="1285" spans="1:2" x14ac:dyDescent="0.35">
      <c r="A1285">
        <v>162937</v>
      </c>
      <c r="B1285" t="s">
        <v>3030</v>
      </c>
    </row>
    <row r="1286" spans="1:2" x14ac:dyDescent="0.35">
      <c r="A1286">
        <v>162943</v>
      </c>
      <c r="B1286" t="s">
        <v>3030</v>
      </c>
    </row>
    <row r="1287" spans="1:2" x14ac:dyDescent="0.35">
      <c r="A1287">
        <v>163005</v>
      </c>
      <c r="B1287" t="s">
        <v>3030</v>
      </c>
    </row>
    <row r="1288" spans="1:2" x14ac:dyDescent="0.35">
      <c r="A1288">
        <v>163006</v>
      </c>
      <c r="B1288" t="s">
        <v>3030</v>
      </c>
    </row>
    <row r="1289" spans="1:2" x14ac:dyDescent="0.35">
      <c r="A1289">
        <v>163101</v>
      </c>
      <c r="B1289" t="s">
        <v>3030</v>
      </c>
    </row>
    <row r="1290" spans="1:2" x14ac:dyDescent="0.35">
      <c r="A1290">
        <v>163102</v>
      </c>
      <c r="B1290" t="s">
        <v>3030</v>
      </c>
    </row>
    <row r="1291" spans="1:2" x14ac:dyDescent="0.35">
      <c r="A1291">
        <v>163131</v>
      </c>
      <c r="B1291" t="s">
        <v>3030</v>
      </c>
    </row>
    <row r="1292" spans="1:2" x14ac:dyDescent="0.35">
      <c r="A1292">
        <v>163193</v>
      </c>
      <c r="B1292" t="s">
        <v>3030</v>
      </c>
    </row>
    <row r="1293" spans="1:2" x14ac:dyDescent="0.35">
      <c r="A1293">
        <v>163259</v>
      </c>
      <c r="B1293" t="s">
        <v>3030</v>
      </c>
    </row>
    <row r="1294" spans="1:2" x14ac:dyDescent="0.35">
      <c r="A1294">
        <v>163261</v>
      </c>
      <c r="B1294" t="s">
        <v>3030</v>
      </c>
    </row>
    <row r="1295" spans="1:2" x14ac:dyDescent="0.35">
      <c r="A1295">
        <v>163357</v>
      </c>
      <c r="B1295" t="s">
        <v>3030</v>
      </c>
    </row>
    <row r="1296" spans="1:2" x14ac:dyDescent="0.35">
      <c r="A1296">
        <v>163518</v>
      </c>
      <c r="B1296" t="s">
        <v>3030</v>
      </c>
    </row>
    <row r="1297" spans="1:2" x14ac:dyDescent="0.35">
      <c r="A1297">
        <v>163519</v>
      </c>
      <c r="B1297" t="s">
        <v>3030</v>
      </c>
    </row>
    <row r="1298" spans="1:2" x14ac:dyDescent="0.35">
      <c r="A1298">
        <v>163544</v>
      </c>
      <c r="B1298" t="s">
        <v>3030</v>
      </c>
    </row>
    <row r="1299" spans="1:2" x14ac:dyDescent="0.35">
      <c r="A1299">
        <v>163608</v>
      </c>
      <c r="B1299" t="s">
        <v>3030</v>
      </c>
    </row>
    <row r="1300" spans="1:2" x14ac:dyDescent="0.35">
      <c r="A1300">
        <v>163647</v>
      </c>
      <c r="B1300" t="s">
        <v>3030</v>
      </c>
    </row>
    <row r="1301" spans="1:2" x14ac:dyDescent="0.35">
      <c r="A1301">
        <v>163673</v>
      </c>
      <c r="B1301" t="s">
        <v>3030</v>
      </c>
    </row>
    <row r="1302" spans="1:2" x14ac:dyDescent="0.35">
      <c r="A1302">
        <v>163833</v>
      </c>
      <c r="B1302" t="s">
        <v>3030</v>
      </c>
    </row>
    <row r="1303" spans="1:2" x14ac:dyDescent="0.35">
      <c r="A1303">
        <v>163839</v>
      </c>
      <c r="B1303" t="s">
        <v>3030</v>
      </c>
    </row>
    <row r="1304" spans="1:2" x14ac:dyDescent="0.35">
      <c r="A1304">
        <v>163902</v>
      </c>
      <c r="B1304" t="s">
        <v>3030</v>
      </c>
    </row>
    <row r="1305" spans="1:2" x14ac:dyDescent="0.35">
      <c r="A1305">
        <v>163933</v>
      </c>
      <c r="B1305" t="s">
        <v>3030</v>
      </c>
    </row>
    <row r="1306" spans="1:2" x14ac:dyDescent="0.35">
      <c r="A1306">
        <v>164152</v>
      </c>
      <c r="B1306" t="s">
        <v>3030</v>
      </c>
    </row>
    <row r="1307" spans="1:2" x14ac:dyDescent="0.35">
      <c r="A1307">
        <v>164184</v>
      </c>
      <c r="B1307" t="s">
        <v>3030</v>
      </c>
    </row>
    <row r="1308" spans="1:2" x14ac:dyDescent="0.35">
      <c r="A1308">
        <v>164187</v>
      </c>
      <c r="B1308" t="s">
        <v>3030</v>
      </c>
    </row>
    <row r="1309" spans="1:2" x14ac:dyDescent="0.35">
      <c r="A1309">
        <v>164216</v>
      </c>
      <c r="B1309" t="s">
        <v>3030</v>
      </c>
    </row>
    <row r="1310" spans="1:2" x14ac:dyDescent="0.35">
      <c r="A1310">
        <v>164254</v>
      </c>
      <c r="B1310" t="s">
        <v>3030</v>
      </c>
    </row>
    <row r="1311" spans="1:2" x14ac:dyDescent="0.35">
      <c r="A1311">
        <v>164282</v>
      </c>
      <c r="B1311" t="s">
        <v>3030</v>
      </c>
    </row>
    <row r="1312" spans="1:2" x14ac:dyDescent="0.35">
      <c r="A1312">
        <v>164345</v>
      </c>
      <c r="B1312" t="s">
        <v>3030</v>
      </c>
    </row>
    <row r="1313" spans="1:2" x14ac:dyDescent="0.35">
      <c r="A1313">
        <v>164412</v>
      </c>
      <c r="B1313" t="s">
        <v>3030</v>
      </c>
    </row>
    <row r="1314" spans="1:2" x14ac:dyDescent="0.35">
      <c r="A1314">
        <v>164504</v>
      </c>
      <c r="B1314" t="s">
        <v>3030</v>
      </c>
    </row>
    <row r="1315" spans="1:2" x14ac:dyDescent="0.35">
      <c r="A1315">
        <v>164606</v>
      </c>
      <c r="B1315" t="s">
        <v>3030</v>
      </c>
    </row>
    <row r="1316" spans="1:2" x14ac:dyDescent="0.35">
      <c r="A1316">
        <v>164728</v>
      </c>
      <c r="B1316" t="s">
        <v>3030</v>
      </c>
    </row>
    <row r="1317" spans="1:2" x14ac:dyDescent="0.35">
      <c r="A1317">
        <v>164888</v>
      </c>
      <c r="B1317" t="s">
        <v>3030</v>
      </c>
    </row>
    <row r="1318" spans="1:2" x14ac:dyDescent="0.35">
      <c r="A1318">
        <v>164895</v>
      </c>
      <c r="B1318" t="s">
        <v>3030</v>
      </c>
    </row>
    <row r="1319" spans="1:2" x14ac:dyDescent="0.35">
      <c r="A1319">
        <v>164926</v>
      </c>
      <c r="B1319" t="s">
        <v>3030</v>
      </c>
    </row>
    <row r="1320" spans="1:2" x14ac:dyDescent="0.35">
      <c r="A1320">
        <v>165151</v>
      </c>
      <c r="B1320" t="s">
        <v>3030</v>
      </c>
    </row>
    <row r="1321" spans="1:2" x14ac:dyDescent="0.35">
      <c r="A1321">
        <v>165209</v>
      </c>
      <c r="B1321" t="s">
        <v>3030</v>
      </c>
    </row>
    <row r="1322" spans="1:2" x14ac:dyDescent="0.35">
      <c r="A1322">
        <v>165243</v>
      </c>
      <c r="B1322" t="s">
        <v>3030</v>
      </c>
    </row>
    <row r="1323" spans="1:2" x14ac:dyDescent="0.35">
      <c r="A1323">
        <v>165403</v>
      </c>
      <c r="B1323" t="s">
        <v>3030</v>
      </c>
    </row>
    <row r="1324" spans="1:2" x14ac:dyDescent="0.35">
      <c r="A1324">
        <v>165436</v>
      </c>
      <c r="B1324" t="s">
        <v>3030</v>
      </c>
    </row>
    <row r="1325" spans="1:2" x14ac:dyDescent="0.35">
      <c r="A1325">
        <v>165437</v>
      </c>
      <c r="B1325" t="s">
        <v>3030</v>
      </c>
    </row>
    <row r="1326" spans="1:2" x14ac:dyDescent="0.35">
      <c r="A1326">
        <v>165465</v>
      </c>
      <c r="B1326" t="s">
        <v>3030</v>
      </c>
    </row>
    <row r="1327" spans="1:2" x14ac:dyDescent="0.35">
      <c r="A1327">
        <v>165691</v>
      </c>
      <c r="B1327" t="s">
        <v>3030</v>
      </c>
    </row>
    <row r="1328" spans="1:2" x14ac:dyDescent="0.35">
      <c r="A1328">
        <v>165693</v>
      </c>
      <c r="B1328" t="s">
        <v>3030</v>
      </c>
    </row>
    <row r="1329" spans="1:2" x14ac:dyDescent="0.35">
      <c r="A1329">
        <v>165820</v>
      </c>
      <c r="B1329" t="s">
        <v>3030</v>
      </c>
    </row>
    <row r="1330" spans="1:2" x14ac:dyDescent="0.35">
      <c r="A1330">
        <v>165823</v>
      </c>
      <c r="B1330" t="s">
        <v>3030</v>
      </c>
    </row>
    <row r="1331" spans="1:2" x14ac:dyDescent="0.35">
      <c r="A1331">
        <v>165848</v>
      </c>
      <c r="B1331" t="s">
        <v>3030</v>
      </c>
    </row>
    <row r="1332" spans="1:2" x14ac:dyDescent="0.35">
      <c r="A1332">
        <v>165852</v>
      </c>
      <c r="B1332" t="s">
        <v>3030</v>
      </c>
    </row>
    <row r="1333" spans="1:2" x14ac:dyDescent="0.35">
      <c r="A1333">
        <v>165944</v>
      </c>
      <c r="B1333" t="s">
        <v>3030</v>
      </c>
    </row>
    <row r="1334" spans="1:2" x14ac:dyDescent="0.35">
      <c r="A1334">
        <v>165951</v>
      </c>
      <c r="B1334" t="s">
        <v>3030</v>
      </c>
    </row>
    <row r="1335" spans="1:2" x14ac:dyDescent="0.35">
      <c r="A1335">
        <v>166137</v>
      </c>
      <c r="B1335" t="s">
        <v>3030</v>
      </c>
    </row>
    <row r="1336" spans="1:2" x14ac:dyDescent="0.35">
      <c r="A1336">
        <v>166138</v>
      </c>
      <c r="B1336" t="s">
        <v>3030</v>
      </c>
    </row>
    <row r="1337" spans="1:2" x14ac:dyDescent="0.35">
      <c r="A1337">
        <v>166170</v>
      </c>
      <c r="B1337" t="s">
        <v>3030</v>
      </c>
    </row>
    <row r="1338" spans="1:2" x14ac:dyDescent="0.35">
      <c r="A1338">
        <v>166200</v>
      </c>
      <c r="B1338" t="s">
        <v>3030</v>
      </c>
    </row>
    <row r="1339" spans="1:2" x14ac:dyDescent="0.35">
      <c r="A1339">
        <v>166203</v>
      </c>
      <c r="B1339" t="s">
        <v>3030</v>
      </c>
    </row>
    <row r="1340" spans="1:2" x14ac:dyDescent="0.35">
      <c r="A1340">
        <v>166296</v>
      </c>
      <c r="B1340" t="s">
        <v>3030</v>
      </c>
    </row>
    <row r="1341" spans="1:2" x14ac:dyDescent="0.35">
      <c r="A1341">
        <v>166302</v>
      </c>
      <c r="B1341" t="s">
        <v>3030</v>
      </c>
    </row>
    <row r="1342" spans="1:2" x14ac:dyDescent="0.35">
      <c r="A1342">
        <v>166329</v>
      </c>
      <c r="B1342" t="s">
        <v>3030</v>
      </c>
    </row>
    <row r="1343" spans="1:2" x14ac:dyDescent="0.35">
      <c r="A1343">
        <v>166330</v>
      </c>
      <c r="B1343" t="s">
        <v>3030</v>
      </c>
    </row>
    <row r="1344" spans="1:2" x14ac:dyDescent="0.35">
      <c r="A1344">
        <v>166332</v>
      </c>
      <c r="B1344" t="s">
        <v>3030</v>
      </c>
    </row>
    <row r="1345" spans="1:2" x14ac:dyDescent="0.35">
      <c r="A1345">
        <v>166360</v>
      </c>
      <c r="B1345" t="s">
        <v>3030</v>
      </c>
    </row>
    <row r="1346" spans="1:2" x14ac:dyDescent="0.35">
      <c r="A1346">
        <v>166363</v>
      </c>
      <c r="B1346" t="s">
        <v>3030</v>
      </c>
    </row>
    <row r="1347" spans="1:2" x14ac:dyDescent="0.35">
      <c r="A1347">
        <v>166392</v>
      </c>
      <c r="B1347" t="s">
        <v>3030</v>
      </c>
    </row>
    <row r="1348" spans="1:2" x14ac:dyDescent="0.35">
      <c r="A1348">
        <v>166398</v>
      </c>
      <c r="B1348" t="s">
        <v>3030</v>
      </c>
    </row>
    <row r="1349" spans="1:2" x14ac:dyDescent="0.35">
      <c r="A1349">
        <v>166493</v>
      </c>
      <c r="B1349" t="s">
        <v>3030</v>
      </c>
    </row>
    <row r="1350" spans="1:2" x14ac:dyDescent="0.35">
      <c r="A1350">
        <v>166686</v>
      </c>
      <c r="B1350" t="s">
        <v>3030</v>
      </c>
    </row>
    <row r="1351" spans="1:2" x14ac:dyDescent="0.35">
      <c r="A1351">
        <v>166779</v>
      </c>
      <c r="B1351" t="s">
        <v>3030</v>
      </c>
    </row>
    <row r="1352" spans="1:2" x14ac:dyDescent="0.35">
      <c r="A1352">
        <v>166906</v>
      </c>
      <c r="B1352" t="s">
        <v>3030</v>
      </c>
    </row>
    <row r="1353" spans="1:2" x14ac:dyDescent="0.35">
      <c r="A1353">
        <v>166940</v>
      </c>
      <c r="B1353" t="s">
        <v>3030</v>
      </c>
    </row>
    <row r="1354" spans="1:2" x14ac:dyDescent="0.35">
      <c r="A1354">
        <v>166972</v>
      </c>
      <c r="B1354" t="s">
        <v>3030</v>
      </c>
    </row>
    <row r="1355" spans="1:2" x14ac:dyDescent="0.35">
      <c r="A1355">
        <v>167000</v>
      </c>
      <c r="B1355" t="s">
        <v>3030</v>
      </c>
    </row>
    <row r="1356" spans="1:2" x14ac:dyDescent="0.35">
      <c r="A1356">
        <v>167036</v>
      </c>
      <c r="B1356" t="s">
        <v>3030</v>
      </c>
    </row>
    <row r="1357" spans="1:2" x14ac:dyDescent="0.35">
      <c r="A1357">
        <v>167197</v>
      </c>
      <c r="B1357" t="s">
        <v>3030</v>
      </c>
    </row>
    <row r="1358" spans="1:2" x14ac:dyDescent="0.35">
      <c r="A1358">
        <v>167256</v>
      </c>
      <c r="B1358" t="s">
        <v>3030</v>
      </c>
    </row>
    <row r="1359" spans="1:2" x14ac:dyDescent="0.35">
      <c r="A1359">
        <v>167322</v>
      </c>
      <c r="B1359" t="s">
        <v>3030</v>
      </c>
    </row>
    <row r="1360" spans="1:2" x14ac:dyDescent="0.35">
      <c r="A1360">
        <v>167325</v>
      </c>
      <c r="B1360" t="s">
        <v>3030</v>
      </c>
    </row>
    <row r="1361" spans="1:2" x14ac:dyDescent="0.35">
      <c r="A1361">
        <v>167352</v>
      </c>
      <c r="B1361" t="s">
        <v>3030</v>
      </c>
    </row>
    <row r="1362" spans="1:2" x14ac:dyDescent="0.35">
      <c r="A1362">
        <v>167391</v>
      </c>
      <c r="B1362" t="s">
        <v>3030</v>
      </c>
    </row>
    <row r="1363" spans="1:2" x14ac:dyDescent="0.35">
      <c r="A1363">
        <v>167452</v>
      </c>
      <c r="B1363" t="s">
        <v>3030</v>
      </c>
    </row>
    <row r="1364" spans="1:2" x14ac:dyDescent="0.35">
      <c r="A1364">
        <v>167486</v>
      </c>
      <c r="B1364" t="s">
        <v>3030</v>
      </c>
    </row>
    <row r="1365" spans="1:2" x14ac:dyDescent="0.35">
      <c r="A1365">
        <v>167516</v>
      </c>
      <c r="B1365" t="s">
        <v>3030</v>
      </c>
    </row>
    <row r="1366" spans="1:2" x14ac:dyDescent="0.35">
      <c r="A1366">
        <v>167646</v>
      </c>
      <c r="B1366" t="s">
        <v>3030</v>
      </c>
    </row>
    <row r="1367" spans="1:2" x14ac:dyDescent="0.35">
      <c r="A1367">
        <v>167935</v>
      </c>
      <c r="B1367" t="s">
        <v>3030</v>
      </c>
    </row>
    <row r="1368" spans="1:2" x14ac:dyDescent="0.35">
      <c r="A1368">
        <v>167965</v>
      </c>
      <c r="B1368" t="s">
        <v>3030</v>
      </c>
    </row>
    <row r="1369" spans="1:2" x14ac:dyDescent="0.35">
      <c r="A1369">
        <v>168413</v>
      </c>
      <c r="B1369" t="s">
        <v>3030</v>
      </c>
    </row>
    <row r="1370" spans="1:2" x14ac:dyDescent="0.35">
      <c r="A1370">
        <v>168539</v>
      </c>
      <c r="B1370" t="s">
        <v>3030</v>
      </c>
    </row>
    <row r="1371" spans="1:2" x14ac:dyDescent="0.35">
      <c r="A1371">
        <v>168571</v>
      </c>
      <c r="B1371" t="s">
        <v>3030</v>
      </c>
    </row>
    <row r="1372" spans="1:2" x14ac:dyDescent="0.35">
      <c r="A1372">
        <v>168635</v>
      </c>
      <c r="B1372" t="s">
        <v>3030</v>
      </c>
    </row>
    <row r="1373" spans="1:2" x14ac:dyDescent="0.35">
      <c r="A1373">
        <v>168668</v>
      </c>
      <c r="B1373" t="s">
        <v>3030</v>
      </c>
    </row>
    <row r="1374" spans="1:2" x14ac:dyDescent="0.35">
      <c r="A1374">
        <v>168733</v>
      </c>
      <c r="B1374" t="s">
        <v>3030</v>
      </c>
    </row>
    <row r="1375" spans="1:2" x14ac:dyDescent="0.35">
      <c r="A1375">
        <v>168734</v>
      </c>
      <c r="B1375" t="s">
        <v>3030</v>
      </c>
    </row>
    <row r="1376" spans="1:2" x14ac:dyDescent="0.35">
      <c r="A1376">
        <v>168766</v>
      </c>
      <c r="B1376" t="s">
        <v>3030</v>
      </c>
    </row>
    <row r="1377" spans="1:2" x14ac:dyDescent="0.35">
      <c r="A1377">
        <v>168958</v>
      </c>
      <c r="B1377" t="s">
        <v>3030</v>
      </c>
    </row>
    <row r="1378" spans="1:2" x14ac:dyDescent="0.35">
      <c r="A1378">
        <v>168984</v>
      </c>
      <c r="B1378" t="s">
        <v>3030</v>
      </c>
    </row>
    <row r="1379" spans="1:2" x14ac:dyDescent="0.35">
      <c r="A1379">
        <v>168988</v>
      </c>
      <c r="B1379" t="s">
        <v>3030</v>
      </c>
    </row>
    <row r="1380" spans="1:2" x14ac:dyDescent="0.35">
      <c r="A1380">
        <v>169023</v>
      </c>
      <c r="B1380" t="s">
        <v>3030</v>
      </c>
    </row>
    <row r="1381" spans="1:2" x14ac:dyDescent="0.35">
      <c r="A1381">
        <v>169052</v>
      </c>
      <c r="B1381" t="s">
        <v>3030</v>
      </c>
    </row>
    <row r="1382" spans="1:2" x14ac:dyDescent="0.35">
      <c r="A1382">
        <v>169053</v>
      </c>
      <c r="B1382" t="s">
        <v>3030</v>
      </c>
    </row>
    <row r="1383" spans="1:2" x14ac:dyDescent="0.35">
      <c r="A1383">
        <v>169177</v>
      </c>
      <c r="B1383" t="s">
        <v>3030</v>
      </c>
    </row>
    <row r="1384" spans="1:2" x14ac:dyDescent="0.35">
      <c r="A1384">
        <v>169244</v>
      </c>
      <c r="B1384" t="s">
        <v>3030</v>
      </c>
    </row>
    <row r="1385" spans="1:2" x14ac:dyDescent="0.35">
      <c r="A1385">
        <v>169374</v>
      </c>
      <c r="B1385" t="s">
        <v>3030</v>
      </c>
    </row>
    <row r="1386" spans="1:2" x14ac:dyDescent="0.35">
      <c r="A1386">
        <v>169434</v>
      </c>
      <c r="B1386" t="s">
        <v>3030</v>
      </c>
    </row>
    <row r="1387" spans="1:2" x14ac:dyDescent="0.35">
      <c r="A1387">
        <v>169469</v>
      </c>
      <c r="B1387" t="s">
        <v>3030</v>
      </c>
    </row>
    <row r="1388" spans="1:2" x14ac:dyDescent="0.35">
      <c r="A1388">
        <v>169503</v>
      </c>
      <c r="B1388" t="s">
        <v>3030</v>
      </c>
    </row>
    <row r="1389" spans="1:2" x14ac:dyDescent="0.35">
      <c r="A1389">
        <v>169531</v>
      </c>
      <c r="B1389" t="s">
        <v>3030</v>
      </c>
    </row>
    <row r="1390" spans="1:2" x14ac:dyDescent="0.35">
      <c r="A1390">
        <v>169533</v>
      </c>
      <c r="B1390" t="s">
        <v>3030</v>
      </c>
    </row>
    <row r="1391" spans="1:2" x14ac:dyDescent="0.35">
      <c r="A1391">
        <v>169534</v>
      </c>
      <c r="B1391" t="s">
        <v>3030</v>
      </c>
    </row>
    <row r="1392" spans="1:2" x14ac:dyDescent="0.35">
      <c r="A1392">
        <v>169565</v>
      </c>
      <c r="B1392" t="s">
        <v>3030</v>
      </c>
    </row>
    <row r="1393" spans="1:2" x14ac:dyDescent="0.35">
      <c r="A1393">
        <v>169631</v>
      </c>
      <c r="B1393" t="s">
        <v>3030</v>
      </c>
    </row>
    <row r="1394" spans="1:2" x14ac:dyDescent="0.35">
      <c r="A1394">
        <v>169662</v>
      </c>
      <c r="B1394" t="s">
        <v>3030</v>
      </c>
    </row>
    <row r="1395" spans="1:2" x14ac:dyDescent="0.35">
      <c r="A1395">
        <v>169726</v>
      </c>
      <c r="B1395" t="s">
        <v>3030</v>
      </c>
    </row>
    <row r="1396" spans="1:2" x14ac:dyDescent="0.35">
      <c r="A1396">
        <v>169756</v>
      </c>
      <c r="B1396" t="s">
        <v>3030</v>
      </c>
    </row>
    <row r="1397" spans="1:2" x14ac:dyDescent="0.35">
      <c r="A1397">
        <v>169855</v>
      </c>
      <c r="B1397" t="s">
        <v>3030</v>
      </c>
    </row>
    <row r="1398" spans="1:2" x14ac:dyDescent="0.35">
      <c r="A1398">
        <v>169881</v>
      </c>
      <c r="B1398" t="s">
        <v>3030</v>
      </c>
    </row>
    <row r="1399" spans="1:2" x14ac:dyDescent="0.35">
      <c r="A1399">
        <v>169884</v>
      </c>
      <c r="B1399" t="s">
        <v>3030</v>
      </c>
    </row>
    <row r="1400" spans="1:2" x14ac:dyDescent="0.35">
      <c r="A1400">
        <v>169977</v>
      </c>
      <c r="B1400" t="s">
        <v>3030</v>
      </c>
    </row>
    <row r="1401" spans="1:2" x14ac:dyDescent="0.35">
      <c r="A1401">
        <v>169981</v>
      </c>
      <c r="B1401" t="s">
        <v>3030</v>
      </c>
    </row>
    <row r="1402" spans="1:2" x14ac:dyDescent="0.35">
      <c r="A1402">
        <v>170011</v>
      </c>
      <c r="B1402" t="s">
        <v>3030</v>
      </c>
    </row>
    <row r="1403" spans="1:2" x14ac:dyDescent="0.35">
      <c r="A1403">
        <v>170012</v>
      </c>
      <c r="B1403" t="s">
        <v>3030</v>
      </c>
    </row>
    <row r="1404" spans="1:2" x14ac:dyDescent="0.35">
      <c r="A1404">
        <v>170015</v>
      </c>
      <c r="B1404" t="s">
        <v>3030</v>
      </c>
    </row>
    <row r="1405" spans="1:2" x14ac:dyDescent="0.35">
      <c r="A1405">
        <v>170079</v>
      </c>
      <c r="B1405" t="s">
        <v>3030</v>
      </c>
    </row>
    <row r="1406" spans="1:2" x14ac:dyDescent="0.35">
      <c r="A1406">
        <v>170106</v>
      </c>
      <c r="B1406" t="s">
        <v>3030</v>
      </c>
    </row>
    <row r="1407" spans="1:2" x14ac:dyDescent="0.35">
      <c r="A1407">
        <v>170169</v>
      </c>
      <c r="B1407" t="s">
        <v>3030</v>
      </c>
    </row>
    <row r="1408" spans="1:2" x14ac:dyDescent="0.35">
      <c r="A1408">
        <v>170174</v>
      </c>
      <c r="B1408" t="s">
        <v>3030</v>
      </c>
    </row>
    <row r="1409" spans="1:2" x14ac:dyDescent="0.35">
      <c r="A1409">
        <v>170201</v>
      </c>
      <c r="B1409" t="s">
        <v>3030</v>
      </c>
    </row>
    <row r="1410" spans="1:2" x14ac:dyDescent="0.35">
      <c r="A1410">
        <v>170236</v>
      </c>
      <c r="B1410" t="s">
        <v>3030</v>
      </c>
    </row>
    <row r="1411" spans="1:2" x14ac:dyDescent="0.35">
      <c r="A1411">
        <v>170265</v>
      </c>
      <c r="B1411" t="s">
        <v>3030</v>
      </c>
    </row>
    <row r="1412" spans="1:2" x14ac:dyDescent="0.35">
      <c r="A1412">
        <v>170301</v>
      </c>
      <c r="B1412" t="s">
        <v>3030</v>
      </c>
    </row>
    <row r="1413" spans="1:2" x14ac:dyDescent="0.35">
      <c r="A1413">
        <v>170360</v>
      </c>
      <c r="B1413" t="s">
        <v>3030</v>
      </c>
    </row>
    <row r="1414" spans="1:2" x14ac:dyDescent="0.35">
      <c r="A1414">
        <v>170398</v>
      </c>
      <c r="B1414" t="s">
        <v>3030</v>
      </c>
    </row>
    <row r="1415" spans="1:2" x14ac:dyDescent="0.35">
      <c r="A1415">
        <v>170494</v>
      </c>
      <c r="B1415" t="s">
        <v>3030</v>
      </c>
    </row>
    <row r="1416" spans="1:2" x14ac:dyDescent="0.35">
      <c r="A1416">
        <v>170621</v>
      </c>
      <c r="B1416" t="s">
        <v>3030</v>
      </c>
    </row>
    <row r="1417" spans="1:2" x14ac:dyDescent="0.35">
      <c r="A1417">
        <v>170747</v>
      </c>
      <c r="B1417" t="s">
        <v>3030</v>
      </c>
    </row>
    <row r="1418" spans="1:2" x14ac:dyDescent="0.35">
      <c r="A1418">
        <v>170815</v>
      </c>
      <c r="B1418" t="s">
        <v>3030</v>
      </c>
    </row>
    <row r="1419" spans="1:2" x14ac:dyDescent="0.35">
      <c r="A1419">
        <v>171161</v>
      </c>
      <c r="B1419" t="s">
        <v>3030</v>
      </c>
    </row>
    <row r="1420" spans="1:2" x14ac:dyDescent="0.35">
      <c r="A1420">
        <v>171288</v>
      </c>
      <c r="B1420" t="s">
        <v>3030</v>
      </c>
    </row>
    <row r="1421" spans="1:2" x14ac:dyDescent="0.35">
      <c r="A1421">
        <v>171322</v>
      </c>
      <c r="B1421" t="s">
        <v>3030</v>
      </c>
    </row>
    <row r="1422" spans="1:2" x14ac:dyDescent="0.35">
      <c r="A1422">
        <v>171353</v>
      </c>
      <c r="B1422" t="s">
        <v>3030</v>
      </c>
    </row>
    <row r="1423" spans="1:2" x14ac:dyDescent="0.35">
      <c r="A1423">
        <v>171357</v>
      </c>
      <c r="B1423" t="s">
        <v>3030</v>
      </c>
    </row>
    <row r="1424" spans="1:2" x14ac:dyDescent="0.35">
      <c r="A1424">
        <v>171420</v>
      </c>
      <c r="B1424" t="s">
        <v>3030</v>
      </c>
    </row>
    <row r="1425" spans="1:2" x14ac:dyDescent="0.35">
      <c r="A1425">
        <v>171483</v>
      </c>
      <c r="B1425" t="s">
        <v>3030</v>
      </c>
    </row>
    <row r="1426" spans="1:2" x14ac:dyDescent="0.35">
      <c r="A1426">
        <v>171512</v>
      </c>
      <c r="B1426" t="s">
        <v>3030</v>
      </c>
    </row>
    <row r="1427" spans="1:2" x14ac:dyDescent="0.35">
      <c r="A1427">
        <v>171515</v>
      </c>
      <c r="B1427" t="s">
        <v>3030</v>
      </c>
    </row>
    <row r="1428" spans="1:2" x14ac:dyDescent="0.35">
      <c r="A1428">
        <v>171576</v>
      </c>
      <c r="B1428" t="s">
        <v>3030</v>
      </c>
    </row>
    <row r="1429" spans="1:2" x14ac:dyDescent="0.35">
      <c r="A1429">
        <v>171710</v>
      </c>
      <c r="B1429" t="s">
        <v>3030</v>
      </c>
    </row>
    <row r="1430" spans="1:2" x14ac:dyDescent="0.35">
      <c r="A1430">
        <v>171772</v>
      </c>
      <c r="B1430" t="s">
        <v>3030</v>
      </c>
    </row>
    <row r="1431" spans="1:2" x14ac:dyDescent="0.35">
      <c r="A1431">
        <v>171839</v>
      </c>
      <c r="B1431" t="s">
        <v>3030</v>
      </c>
    </row>
    <row r="1432" spans="1:2" x14ac:dyDescent="0.35">
      <c r="A1432">
        <v>171935</v>
      </c>
      <c r="B1432" t="s">
        <v>3030</v>
      </c>
    </row>
    <row r="1433" spans="1:2" x14ac:dyDescent="0.35">
      <c r="A1433">
        <v>171994</v>
      </c>
      <c r="B1433" t="s">
        <v>3030</v>
      </c>
    </row>
    <row r="1434" spans="1:2" x14ac:dyDescent="0.35">
      <c r="A1434">
        <v>171998</v>
      </c>
      <c r="B1434" t="s">
        <v>3030</v>
      </c>
    </row>
    <row r="1435" spans="1:2" x14ac:dyDescent="0.35">
      <c r="A1435">
        <v>172026</v>
      </c>
      <c r="B1435" t="s">
        <v>3030</v>
      </c>
    </row>
    <row r="1436" spans="1:2" x14ac:dyDescent="0.35">
      <c r="A1436">
        <v>172029</v>
      </c>
      <c r="B1436" t="s">
        <v>3030</v>
      </c>
    </row>
    <row r="1437" spans="1:2" x14ac:dyDescent="0.35">
      <c r="A1437">
        <v>172283</v>
      </c>
      <c r="B1437" t="s">
        <v>3030</v>
      </c>
    </row>
    <row r="1438" spans="1:2" x14ac:dyDescent="0.35">
      <c r="A1438">
        <v>172344</v>
      </c>
      <c r="B1438" t="s">
        <v>3030</v>
      </c>
    </row>
    <row r="1439" spans="1:2" x14ac:dyDescent="0.35">
      <c r="A1439">
        <v>172349</v>
      </c>
      <c r="B1439" t="s">
        <v>3030</v>
      </c>
    </row>
    <row r="1440" spans="1:2" x14ac:dyDescent="0.35">
      <c r="A1440">
        <v>172442</v>
      </c>
      <c r="B1440" t="s">
        <v>3030</v>
      </c>
    </row>
    <row r="1441" spans="1:2" x14ac:dyDescent="0.35">
      <c r="A1441">
        <v>172504</v>
      </c>
      <c r="B1441" t="s">
        <v>3030</v>
      </c>
    </row>
    <row r="1442" spans="1:2" x14ac:dyDescent="0.35">
      <c r="A1442">
        <v>172505</v>
      </c>
      <c r="B1442" t="s">
        <v>3030</v>
      </c>
    </row>
    <row r="1443" spans="1:2" x14ac:dyDescent="0.35">
      <c r="A1443">
        <v>172602</v>
      </c>
      <c r="B1443" t="s">
        <v>3030</v>
      </c>
    </row>
    <row r="1444" spans="1:2" x14ac:dyDescent="0.35">
      <c r="A1444">
        <v>172634</v>
      </c>
      <c r="B1444" t="s">
        <v>3030</v>
      </c>
    </row>
    <row r="1445" spans="1:2" x14ac:dyDescent="0.35">
      <c r="A1445">
        <v>172761</v>
      </c>
      <c r="B1445" t="s">
        <v>3030</v>
      </c>
    </row>
    <row r="1446" spans="1:2" x14ac:dyDescent="0.35">
      <c r="A1446">
        <v>172762</v>
      </c>
      <c r="B1446" t="s">
        <v>3030</v>
      </c>
    </row>
    <row r="1447" spans="1:2" x14ac:dyDescent="0.35">
      <c r="A1447">
        <v>172764</v>
      </c>
      <c r="B1447" t="s">
        <v>3030</v>
      </c>
    </row>
    <row r="1448" spans="1:2" x14ac:dyDescent="0.35">
      <c r="A1448">
        <v>172797</v>
      </c>
      <c r="B1448" t="s">
        <v>3030</v>
      </c>
    </row>
    <row r="1449" spans="1:2" x14ac:dyDescent="0.35">
      <c r="A1449">
        <v>172799</v>
      </c>
      <c r="B1449" t="s">
        <v>3030</v>
      </c>
    </row>
    <row r="1450" spans="1:2" x14ac:dyDescent="0.35">
      <c r="A1450">
        <v>172921</v>
      </c>
      <c r="B1450" t="s">
        <v>3030</v>
      </c>
    </row>
    <row r="1451" spans="1:2" x14ac:dyDescent="0.35">
      <c r="A1451">
        <v>172952</v>
      </c>
      <c r="B1451" t="s">
        <v>3030</v>
      </c>
    </row>
    <row r="1452" spans="1:2" x14ac:dyDescent="0.35">
      <c r="A1452">
        <v>173016</v>
      </c>
      <c r="B1452" t="s">
        <v>3030</v>
      </c>
    </row>
    <row r="1453" spans="1:2" x14ac:dyDescent="0.35">
      <c r="A1453">
        <v>173048</v>
      </c>
      <c r="B1453" t="s">
        <v>3030</v>
      </c>
    </row>
    <row r="1454" spans="1:2" x14ac:dyDescent="0.35">
      <c r="A1454">
        <v>173118</v>
      </c>
      <c r="B1454" t="s">
        <v>3030</v>
      </c>
    </row>
    <row r="1455" spans="1:2" x14ac:dyDescent="0.35">
      <c r="A1455">
        <v>173147</v>
      </c>
      <c r="B1455" t="s">
        <v>3030</v>
      </c>
    </row>
    <row r="1456" spans="1:2" x14ac:dyDescent="0.35">
      <c r="A1456">
        <v>173208</v>
      </c>
      <c r="B1456" t="s">
        <v>3030</v>
      </c>
    </row>
    <row r="1457" spans="1:2" x14ac:dyDescent="0.35">
      <c r="A1457">
        <v>173310</v>
      </c>
      <c r="B1457" t="s">
        <v>3030</v>
      </c>
    </row>
    <row r="1458" spans="1:2" x14ac:dyDescent="0.35">
      <c r="A1458">
        <v>173338</v>
      </c>
      <c r="B1458" t="s">
        <v>3030</v>
      </c>
    </row>
    <row r="1459" spans="1:2" x14ac:dyDescent="0.35">
      <c r="A1459">
        <v>173373</v>
      </c>
      <c r="B1459" t="s">
        <v>3030</v>
      </c>
    </row>
    <row r="1460" spans="1:2" x14ac:dyDescent="0.35">
      <c r="A1460">
        <v>173466</v>
      </c>
      <c r="B1460" t="s">
        <v>3030</v>
      </c>
    </row>
    <row r="1461" spans="1:2" x14ac:dyDescent="0.35">
      <c r="A1461">
        <v>173563</v>
      </c>
      <c r="B1461" t="s">
        <v>3030</v>
      </c>
    </row>
    <row r="1462" spans="1:2" x14ac:dyDescent="0.35">
      <c r="A1462">
        <v>173565</v>
      </c>
      <c r="B1462" t="s">
        <v>3030</v>
      </c>
    </row>
    <row r="1463" spans="1:2" x14ac:dyDescent="0.35">
      <c r="A1463">
        <v>173567</v>
      </c>
      <c r="B1463" t="s">
        <v>3030</v>
      </c>
    </row>
    <row r="1464" spans="1:2" x14ac:dyDescent="0.35">
      <c r="A1464">
        <v>173594</v>
      </c>
      <c r="B1464" t="s">
        <v>3030</v>
      </c>
    </row>
    <row r="1465" spans="1:2" x14ac:dyDescent="0.35">
      <c r="A1465">
        <v>173721</v>
      </c>
      <c r="B1465" t="s">
        <v>3030</v>
      </c>
    </row>
    <row r="1466" spans="1:2" x14ac:dyDescent="0.35">
      <c r="A1466">
        <v>173726</v>
      </c>
      <c r="B1466" t="s">
        <v>3030</v>
      </c>
    </row>
    <row r="1467" spans="1:2" x14ac:dyDescent="0.35">
      <c r="A1467">
        <v>173786</v>
      </c>
      <c r="B1467" t="s">
        <v>3030</v>
      </c>
    </row>
    <row r="1468" spans="1:2" x14ac:dyDescent="0.35">
      <c r="A1468">
        <v>173822</v>
      </c>
      <c r="B1468" t="s">
        <v>3030</v>
      </c>
    </row>
    <row r="1469" spans="1:2" x14ac:dyDescent="0.35">
      <c r="A1469">
        <v>173823</v>
      </c>
      <c r="B1469" t="s">
        <v>3030</v>
      </c>
    </row>
    <row r="1470" spans="1:2" x14ac:dyDescent="0.35">
      <c r="A1470">
        <v>173849</v>
      </c>
      <c r="B1470" t="s">
        <v>3030</v>
      </c>
    </row>
    <row r="1471" spans="1:2" x14ac:dyDescent="0.35">
      <c r="A1471">
        <v>173917</v>
      </c>
      <c r="B1471" t="s">
        <v>3030</v>
      </c>
    </row>
    <row r="1472" spans="1:2" x14ac:dyDescent="0.35">
      <c r="A1472">
        <v>173977</v>
      </c>
      <c r="B1472" t="s">
        <v>3030</v>
      </c>
    </row>
    <row r="1473" spans="1:2" x14ac:dyDescent="0.35">
      <c r="A1473">
        <v>173983</v>
      </c>
      <c r="B1473" t="s">
        <v>3030</v>
      </c>
    </row>
    <row r="1474" spans="1:2" x14ac:dyDescent="0.35">
      <c r="A1474">
        <v>174047</v>
      </c>
      <c r="B1474" t="s">
        <v>3030</v>
      </c>
    </row>
    <row r="1475" spans="1:2" x14ac:dyDescent="0.35">
      <c r="A1475">
        <v>174169</v>
      </c>
      <c r="B1475" t="s">
        <v>3030</v>
      </c>
    </row>
    <row r="1476" spans="1:2" x14ac:dyDescent="0.35">
      <c r="A1476">
        <v>174171</v>
      </c>
      <c r="B1476" t="s">
        <v>3030</v>
      </c>
    </row>
    <row r="1477" spans="1:2" x14ac:dyDescent="0.35">
      <c r="A1477">
        <v>174201</v>
      </c>
      <c r="B1477" t="s">
        <v>3030</v>
      </c>
    </row>
    <row r="1478" spans="1:2" x14ac:dyDescent="0.35">
      <c r="A1478">
        <v>174239</v>
      </c>
      <c r="B1478" t="s">
        <v>3030</v>
      </c>
    </row>
    <row r="1479" spans="1:2" x14ac:dyDescent="0.35">
      <c r="A1479">
        <v>174269</v>
      </c>
      <c r="B1479" t="s">
        <v>3030</v>
      </c>
    </row>
    <row r="1480" spans="1:2" x14ac:dyDescent="0.35">
      <c r="A1480">
        <v>174297</v>
      </c>
      <c r="B1480" t="s">
        <v>3030</v>
      </c>
    </row>
    <row r="1481" spans="1:2" x14ac:dyDescent="0.35">
      <c r="A1481">
        <v>174300</v>
      </c>
      <c r="B1481" t="s">
        <v>3030</v>
      </c>
    </row>
    <row r="1482" spans="1:2" x14ac:dyDescent="0.35">
      <c r="A1482">
        <v>174395</v>
      </c>
      <c r="B1482" t="s">
        <v>3030</v>
      </c>
    </row>
    <row r="1483" spans="1:2" x14ac:dyDescent="0.35">
      <c r="A1483">
        <v>174553</v>
      </c>
      <c r="B1483" t="s">
        <v>3030</v>
      </c>
    </row>
    <row r="1484" spans="1:2" x14ac:dyDescent="0.35">
      <c r="A1484">
        <v>174559</v>
      </c>
      <c r="B1484" t="s">
        <v>3030</v>
      </c>
    </row>
    <row r="1485" spans="1:2" x14ac:dyDescent="0.35">
      <c r="A1485">
        <v>174584</v>
      </c>
      <c r="B1485" t="s">
        <v>3030</v>
      </c>
    </row>
    <row r="1486" spans="1:2" x14ac:dyDescent="0.35">
      <c r="A1486">
        <v>174648</v>
      </c>
      <c r="B1486" t="s">
        <v>3030</v>
      </c>
    </row>
    <row r="1487" spans="1:2" x14ac:dyDescent="0.35">
      <c r="A1487">
        <v>174713</v>
      </c>
      <c r="B1487" t="s">
        <v>3030</v>
      </c>
    </row>
    <row r="1488" spans="1:2" x14ac:dyDescent="0.35">
      <c r="A1488">
        <v>174813</v>
      </c>
      <c r="B1488" t="s">
        <v>3030</v>
      </c>
    </row>
    <row r="1489" spans="1:2" x14ac:dyDescent="0.35">
      <c r="A1489">
        <v>174872</v>
      </c>
      <c r="B1489" t="s">
        <v>3030</v>
      </c>
    </row>
    <row r="1490" spans="1:2" x14ac:dyDescent="0.35">
      <c r="A1490">
        <v>174876</v>
      </c>
      <c r="B1490" t="s">
        <v>3030</v>
      </c>
    </row>
    <row r="1491" spans="1:2" x14ac:dyDescent="0.35">
      <c r="A1491">
        <v>174879</v>
      </c>
      <c r="B1491" t="s">
        <v>3030</v>
      </c>
    </row>
    <row r="1492" spans="1:2" x14ac:dyDescent="0.35">
      <c r="A1492">
        <v>174937</v>
      </c>
      <c r="B1492" t="s">
        <v>3030</v>
      </c>
    </row>
    <row r="1493" spans="1:2" x14ac:dyDescent="0.35">
      <c r="A1493">
        <v>174938</v>
      </c>
      <c r="B1493" t="s">
        <v>3030</v>
      </c>
    </row>
    <row r="1494" spans="1:2" x14ac:dyDescent="0.35">
      <c r="A1494">
        <v>174940</v>
      </c>
      <c r="B1494" t="s">
        <v>3030</v>
      </c>
    </row>
    <row r="1495" spans="1:2" x14ac:dyDescent="0.35">
      <c r="A1495">
        <v>174971</v>
      </c>
      <c r="B1495" t="s">
        <v>3030</v>
      </c>
    </row>
    <row r="1496" spans="1:2" x14ac:dyDescent="0.35">
      <c r="A1496">
        <v>174975</v>
      </c>
      <c r="B1496" t="s">
        <v>3030</v>
      </c>
    </row>
    <row r="1497" spans="1:2" x14ac:dyDescent="0.35">
      <c r="A1497">
        <v>175035</v>
      </c>
      <c r="B1497" t="s">
        <v>3030</v>
      </c>
    </row>
    <row r="1498" spans="1:2" x14ac:dyDescent="0.35">
      <c r="A1498">
        <v>175128</v>
      </c>
      <c r="B1498" t="s">
        <v>3030</v>
      </c>
    </row>
    <row r="1499" spans="1:2" x14ac:dyDescent="0.35">
      <c r="A1499">
        <v>175130</v>
      </c>
      <c r="B1499" t="s">
        <v>3030</v>
      </c>
    </row>
    <row r="1500" spans="1:2" x14ac:dyDescent="0.35">
      <c r="A1500">
        <v>175195</v>
      </c>
      <c r="B1500" t="s">
        <v>3030</v>
      </c>
    </row>
    <row r="1501" spans="1:2" x14ac:dyDescent="0.35">
      <c r="A1501">
        <v>175292</v>
      </c>
      <c r="B1501" t="s">
        <v>3030</v>
      </c>
    </row>
    <row r="1502" spans="1:2" x14ac:dyDescent="0.35">
      <c r="A1502">
        <v>175321</v>
      </c>
      <c r="B1502" t="s">
        <v>3030</v>
      </c>
    </row>
    <row r="1503" spans="1:2" x14ac:dyDescent="0.35">
      <c r="A1503">
        <v>175324</v>
      </c>
      <c r="B1503" t="s">
        <v>3030</v>
      </c>
    </row>
    <row r="1504" spans="1:2" x14ac:dyDescent="0.35">
      <c r="A1504">
        <v>175326</v>
      </c>
      <c r="B1504" t="s">
        <v>3030</v>
      </c>
    </row>
    <row r="1505" spans="1:2" x14ac:dyDescent="0.35">
      <c r="A1505">
        <v>175416</v>
      </c>
      <c r="B1505" t="s">
        <v>3030</v>
      </c>
    </row>
    <row r="1506" spans="1:2" x14ac:dyDescent="0.35">
      <c r="A1506">
        <v>175448</v>
      </c>
      <c r="B1506" t="s">
        <v>3030</v>
      </c>
    </row>
    <row r="1507" spans="1:2" x14ac:dyDescent="0.35">
      <c r="A1507">
        <v>175512</v>
      </c>
      <c r="B1507" t="s">
        <v>3030</v>
      </c>
    </row>
    <row r="1508" spans="1:2" x14ac:dyDescent="0.35">
      <c r="A1508">
        <v>175576</v>
      </c>
      <c r="B1508" t="s">
        <v>3030</v>
      </c>
    </row>
    <row r="1509" spans="1:2" x14ac:dyDescent="0.35">
      <c r="A1509">
        <v>175578</v>
      </c>
      <c r="B1509" t="s">
        <v>3030</v>
      </c>
    </row>
    <row r="1510" spans="1:2" x14ac:dyDescent="0.35">
      <c r="A1510">
        <v>175580</v>
      </c>
      <c r="B1510" t="s">
        <v>3030</v>
      </c>
    </row>
    <row r="1511" spans="1:2" x14ac:dyDescent="0.35">
      <c r="A1511">
        <v>175672</v>
      </c>
      <c r="B1511" t="s">
        <v>3030</v>
      </c>
    </row>
    <row r="1512" spans="1:2" x14ac:dyDescent="0.35">
      <c r="A1512">
        <v>175673</v>
      </c>
      <c r="B1512" t="s">
        <v>3030</v>
      </c>
    </row>
    <row r="1513" spans="1:2" x14ac:dyDescent="0.35">
      <c r="A1513">
        <v>175676</v>
      </c>
      <c r="B1513" t="s">
        <v>3030</v>
      </c>
    </row>
    <row r="1514" spans="1:2" x14ac:dyDescent="0.35">
      <c r="A1514">
        <v>175999</v>
      </c>
      <c r="B1514" t="s">
        <v>3030</v>
      </c>
    </row>
    <row r="1515" spans="1:2" x14ac:dyDescent="0.35">
      <c r="A1515">
        <v>176024</v>
      </c>
      <c r="B1515" t="s">
        <v>3030</v>
      </c>
    </row>
    <row r="1516" spans="1:2" x14ac:dyDescent="0.35">
      <c r="A1516">
        <v>176026</v>
      </c>
      <c r="B1516" t="s">
        <v>3030</v>
      </c>
    </row>
    <row r="1517" spans="1:2" x14ac:dyDescent="0.35">
      <c r="A1517">
        <v>176029</v>
      </c>
      <c r="B1517" t="s">
        <v>3030</v>
      </c>
    </row>
    <row r="1518" spans="1:2" x14ac:dyDescent="0.35">
      <c r="A1518">
        <v>176120</v>
      </c>
      <c r="B1518" t="s">
        <v>3030</v>
      </c>
    </row>
    <row r="1519" spans="1:2" x14ac:dyDescent="0.35">
      <c r="A1519">
        <v>176190</v>
      </c>
      <c r="B1519" t="s">
        <v>3030</v>
      </c>
    </row>
    <row r="1520" spans="1:2" x14ac:dyDescent="0.35">
      <c r="A1520">
        <v>176248</v>
      </c>
      <c r="B1520" t="s">
        <v>3030</v>
      </c>
    </row>
    <row r="1521" spans="1:2" x14ac:dyDescent="0.35">
      <c r="A1521">
        <v>176378</v>
      </c>
      <c r="B1521" t="s">
        <v>3030</v>
      </c>
    </row>
    <row r="1522" spans="1:2" x14ac:dyDescent="0.35">
      <c r="A1522">
        <v>176382</v>
      </c>
      <c r="B1522" t="s">
        <v>3030</v>
      </c>
    </row>
    <row r="1523" spans="1:2" x14ac:dyDescent="0.35">
      <c r="A1523">
        <v>176410</v>
      </c>
      <c r="B1523" t="s">
        <v>3030</v>
      </c>
    </row>
    <row r="1524" spans="1:2" x14ac:dyDescent="0.35">
      <c r="A1524">
        <v>176443</v>
      </c>
      <c r="B1524" t="s">
        <v>3030</v>
      </c>
    </row>
    <row r="1525" spans="1:2" x14ac:dyDescent="0.35">
      <c r="A1525">
        <v>176511</v>
      </c>
      <c r="B1525" t="s">
        <v>3030</v>
      </c>
    </row>
    <row r="1526" spans="1:2" x14ac:dyDescent="0.35">
      <c r="A1526">
        <v>176536</v>
      </c>
      <c r="B1526" t="s">
        <v>3030</v>
      </c>
    </row>
    <row r="1527" spans="1:2" x14ac:dyDescent="0.35">
      <c r="A1527">
        <v>176572</v>
      </c>
      <c r="B1527" t="s">
        <v>3030</v>
      </c>
    </row>
    <row r="1528" spans="1:2" x14ac:dyDescent="0.35">
      <c r="A1528">
        <v>176698</v>
      </c>
      <c r="B1528" t="s">
        <v>3030</v>
      </c>
    </row>
    <row r="1529" spans="1:2" x14ac:dyDescent="0.35">
      <c r="A1529">
        <v>176825</v>
      </c>
      <c r="B1529" t="s">
        <v>3030</v>
      </c>
    </row>
    <row r="1530" spans="1:2" x14ac:dyDescent="0.35">
      <c r="A1530">
        <v>176955</v>
      </c>
      <c r="B1530" t="s">
        <v>3030</v>
      </c>
    </row>
    <row r="1531" spans="1:2" x14ac:dyDescent="0.35">
      <c r="A1531">
        <v>177051</v>
      </c>
      <c r="B1531" t="s">
        <v>3030</v>
      </c>
    </row>
    <row r="1532" spans="1:2" x14ac:dyDescent="0.35">
      <c r="A1532">
        <v>177053</v>
      </c>
      <c r="B1532" t="s">
        <v>3030</v>
      </c>
    </row>
    <row r="1533" spans="1:2" x14ac:dyDescent="0.35">
      <c r="A1533">
        <v>177081</v>
      </c>
      <c r="B1533" t="s">
        <v>3030</v>
      </c>
    </row>
    <row r="1534" spans="1:2" x14ac:dyDescent="0.35">
      <c r="A1534">
        <v>177151</v>
      </c>
      <c r="B1534" t="s">
        <v>3030</v>
      </c>
    </row>
    <row r="1535" spans="1:2" x14ac:dyDescent="0.35">
      <c r="A1535">
        <v>177180</v>
      </c>
      <c r="B1535" t="s">
        <v>3030</v>
      </c>
    </row>
    <row r="1536" spans="1:2" x14ac:dyDescent="0.35">
      <c r="A1536">
        <v>177214</v>
      </c>
      <c r="B1536" t="s">
        <v>3030</v>
      </c>
    </row>
    <row r="1537" spans="1:2" x14ac:dyDescent="0.35">
      <c r="A1537">
        <v>177243</v>
      </c>
      <c r="B1537" t="s">
        <v>3030</v>
      </c>
    </row>
    <row r="1538" spans="1:2" x14ac:dyDescent="0.35">
      <c r="A1538">
        <v>177274</v>
      </c>
      <c r="B1538" t="s">
        <v>3030</v>
      </c>
    </row>
    <row r="1539" spans="1:2" x14ac:dyDescent="0.35">
      <c r="A1539">
        <v>177279</v>
      </c>
      <c r="B1539" t="s">
        <v>3030</v>
      </c>
    </row>
    <row r="1540" spans="1:2" x14ac:dyDescent="0.35">
      <c r="A1540">
        <v>177336</v>
      </c>
      <c r="B1540" t="s">
        <v>3030</v>
      </c>
    </row>
    <row r="1541" spans="1:2" x14ac:dyDescent="0.35">
      <c r="A1541">
        <v>177371</v>
      </c>
      <c r="B1541" t="s">
        <v>3030</v>
      </c>
    </row>
    <row r="1542" spans="1:2" x14ac:dyDescent="0.35">
      <c r="A1542">
        <v>177401</v>
      </c>
      <c r="B1542" t="s">
        <v>3030</v>
      </c>
    </row>
    <row r="1543" spans="1:2" x14ac:dyDescent="0.35">
      <c r="A1543">
        <v>177407</v>
      </c>
      <c r="B1543" t="s">
        <v>3030</v>
      </c>
    </row>
    <row r="1544" spans="1:2" x14ac:dyDescent="0.35">
      <c r="A1544">
        <v>177464</v>
      </c>
      <c r="B1544" t="s">
        <v>3030</v>
      </c>
    </row>
    <row r="1545" spans="1:2" x14ac:dyDescent="0.35">
      <c r="A1545">
        <v>177501</v>
      </c>
      <c r="B1545" t="s">
        <v>3030</v>
      </c>
    </row>
    <row r="1546" spans="1:2" x14ac:dyDescent="0.35">
      <c r="A1546">
        <v>177534</v>
      </c>
      <c r="B1546" t="s">
        <v>3030</v>
      </c>
    </row>
    <row r="1547" spans="1:2" x14ac:dyDescent="0.35">
      <c r="A1547">
        <v>177656</v>
      </c>
      <c r="B1547" t="s">
        <v>3030</v>
      </c>
    </row>
    <row r="1548" spans="1:2" x14ac:dyDescent="0.35">
      <c r="A1548">
        <v>177786</v>
      </c>
      <c r="B1548" t="s">
        <v>3030</v>
      </c>
    </row>
    <row r="1549" spans="1:2" x14ac:dyDescent="0.35">
      <c r="A1549">
        <v>177850</v>
      </c>
      <c r="B1549" t="s">
        <v>3030</v>
      </c>
    </row>
    <row r="1550" spans="1:2" x14ac:dyDescent="0.35">
      <c r="A1550">
        <v>177886</v>
      </c>
      <c r="B1550" t="s">
        <v>3030</v>
      </c>
    </row>
    <row r="1551" spans="1:2" x14ac:dyDescent="0.35">
      <c r="A1551">
        <v>178011</v>
      </c>
      <c r="B1551" t="s">
        <v>3030</v>
      </c>
    </row>
    <row r="1552" spans="1:2" x14ac:dyDescent="0.35">
      <c r="A1552">
        <v>178040</v>
      </c>
      <c r="B1552" t="s">
        <v>3030</v>
      </c>
    </row>
    <row r="1553" spans="1:2" x14ac:dyDescent="0.35">
      <c r="A1553">
        <v>178170</v>
      </c>
      <c r="B1553" t="s">
        <v>3030</v>
      </c>
    </row>
    <row r="1554" spans="1:2" x14ac:dyDescent="0.35">
      <c r="A1554">
        <v>178234</v>
      </c>
      <c r="B1554" t="s">
        <v>3030</v>
      </c>
    </row>
    <row r="1555" spans="1:2" x14ac:dyDescent="0.35">
      <c r="A1555">
        <v>178235</v>
      </c>
      <c r="B1555" t="s">
        <v>3030</v>
      </c>
    </row>
    <row r="1556" spans="1:2" x14ac:dyDescent="0.35">
      <c r="A1556">
        <v>178362</v>
      </c>
      <c r="B1556" t="s">
        <v>3030</v>
      </c>
    </row>
    <row r="1557" spans="1:2" x14ac:dyDescent="0.35">
      <c r="A1557">
        <v>178392</v>
      </c>
      <c r="B1557" t="s">
        <v>3030</v>
      </c>
    </row>
    <row r="1558" spans="1:2" x14ac:dyDescent="0.35">
      <c r="A1558">
        <v>178425</v>
      </c>
      <c r="B1558" t="s">
        <v>3030</v>
      </c>
    </row>
    <row r="1559" spans="1:2" x14ac:dyDescent="0.35">
      <c r="A1559">
        <v>178431</v>
      </c>
      <c r="B1559" t="s">
        <v>3030</v>
      </c>
    </row>
    <row r="1560" spans="1:2" x14ac:dyDescent="0.35">
      <c r="A1560">
        <v>178520</v>
      </c>
      <c r="B1560" t="s">
        <v>3030</v>
      </c>
    </row>
    <row r="1561" spans="1:2" x14ac:dyDescent="0.35">
      <c r="A1561">
        <v>178621</v>
      </c>
      <c r="B1561" t="s">
        <v>3030</v>
      </c>
    </row>
    <row r="1562" spans="1:2" x14ac:dyDescent="0.35">
      <c r="A1562">
        <v>178648</v>
      </c>
      <c r="B1562" t="s">
        <v>3030</v>
      </c>
    </row>
    <row r="1563" spans="1:2" x14ac:dyDescent="0.35">
      <c r="A1563">
        <v>178650</v>
      </c>
      <c r="B1563" t="s">
        <v>3030</v>
      </c>
    </row>
    <row r="1564" spans="1:2" x14ac:dyDescent="0.35">
      <c r="A1564">
        <v>178651</v>
      </c>
      <c r="B1564" t="s">
        <v>3030</v>
      </c>
    </row>
    <row r="1565" spans="1:2" x14ac:dyDescent="0.35">
      <c r="A1565">
        <v>178749</v>
      </c>
      <c r="B1565" t="s">
        <v>3030</v>
      </c>
    </row>
    <row r="1566" spans="1:2" x14ac:dyDescent="0.35">
      <c r="A1566">
        <v>178776</v>
      </c>
      <c r="B1566" t="s">
        <v>3030</v>
      </c>
    </row>
    <row r="1567" spans="1:2" x14ac:dyDescent="0.35">
      <c r="A1567">
        <v>178777</v>
      </c>
      <c r="B1567" t="s">
        <v>3030</v>
      </c>
    </row>
    <row r="1568" spans="1:2" x14ac:dyDescent="0.35">
      <c r="A1568">
        <v>178840</v>
      </c>
      <c r="B1568" t="s">
        <v>3030</v>
      </c>
    </row>
    <row r="1569" spans="1:2" x14ac:dyDescent="0.35">
      <c r="A1569">
        <v>178846</v>
      </c>
      <c r="B1569" t="s">
        <v>3030</v>
      </c>
    </row>
    <row r="1570" spans="1:2" x14ac:dyDescent="0.35">
      <c r="A1570">
        <v>178874</v>
      </c>
      <c r="B1570" t="s">
        <v>3030</v>
      </c>
    </row>
    <row r="1571" spans="1:2" x14ac:dyDescent="0.35">
      <c r="A1571">
        <v>178875</v>
      </c>
      <c r="B1571" t="s">
        <v>3030</v>
      </c>
    </row>
    <row r="1572" spans="1:2" x14ac:dyDescent="0.35">
      <c r="A1572">
        <v>179006</v>
      </c>
      <c r="B1572" t="s">
        <v>3030</v>
      </c>
    </row>
    <row r="1573" spans="1:2" x14ac:dyDescent="0.35">
      <c r="A1573">
        <v>179101</v>
      </c>
      <c r="B1573" t="s">
        <v>3030</v>
      </c>
    </row>
    <row r="1574" spans="1:2" x14ac:dyDescent="0.35">
      <c r="A1574">
        <v>179291</v>
      </c>
      <c r="B1574" t="s">
        <v>3030</v>
      </c>
    </row>
    <row r="1575" spans="1:2" x14ac:dyDescent="0.35">
      <c r="A1575">
        <v>179418</v>
      </c>
      <c r="B1575" t="s">
        <v>3030</v>
      </c>
    </row>
    <row r="1576" spans="1:2" x14ac:dyDescent="0.35">
      <c r="A1576">
        <v>179420</v>
      </c>
      <c r="B1576" t="s">
        <v>3030</v>
      </c>
    </row>
    <row r="1577" spans="1:2" x14ac:dyDescent="0.35">
      <c r="A1577">
        <v>179452</v>
      </c>
      <c r="B1577" t="s">
        <v>3030</v>
      </c>
    </row>
    <row r="1578" spans="1:2" x14ac:dyDescent="0.35">
      <c r="A1578">
        <v>179514</v>
      </c>
      <c r="B1578" t="s">
        <v>3030</v>
      </c>
    </row>
    <row r="1579" spans="1:2" x14ac:dyDescent="0.35">
      <c r="A1579">
        <v>179768</v>
      </c>
      <c r="B1579" t="s">
        <v>3030</v>
      </c>
    </row>
    <row r="1580" spans="1:2" x14ac:dyDescent="0.35">
      <c r="A1580">
        <v>179837</v>
      </c>
      <c r="B1580" t="s">
        <v>3030</v>
      </c>
    </row>
    <row r="1581" spans="1:2" x14ac:dyDescent="0.35">
      <c r="A1581">
        <v>179900</v>
      </c>
      <c r="B1581" t="s">
        <v>3030</v>
      </c>
    </row>
    <row r="1582" spans="1:2" x14ac:dyDescent="0.35">
      <c r="A1582">
        <v>179931</v>
      </c>
      <c r="B1582" t="s">
        <v>3030</v>
      </c>
    </row>
    <row r="1583" spans="1:2" x14ac:dyDescent="0.35">
      <c r="A1583">
        <v>180025</v>
      </c>
      <c r="B1583" t="s">
        <v>3030</v>
      </c>
    </row>
    <row r="1584" spans="1:2" x14ac:dyDescent="0.35">
      <c r="A1584">
        <v>180058</v>
      </c>
      <c r="B1584" t="s">
        <v>3030</v>
      </c>
    </row>
    <row r="1585" spans="1:2" x14ac:dyDescent="0.35">
      <c r="A1585">
        <v>180059</v>
      </c>
      <c r="B1585" t="s">
        <v>3030</v>
      </c>
    </row>
    <row r="1586" spans="1:2" x14ac:dyDescent="0.35">
      <c r="A1586">
        <v>180061</v>
      </c>
      <c r="B1586" t="s">
        <v>3030</v>
      </c>
    </row>
    <row r="1587" spans="1:2" x14ac:dyDescent="0.35">
      <c r="A1587">
        <v>180216</v>
      </c>
      <c r="B1587" t="s">
        <v>3030</v>
      </c>
    </row>
    <row r="1588" spans="1:2" x14ac:dyDescent="0.35">
      <c r="A1588">
        <v>180287</v>
      </c>
      <c r="B1588" t="s">
        <v>3030</v>
      </c>
    </row>
    <row r="1589" spans="1:2" x14ac:dyDescent="0.35">
      <c r="A1589">
        <v>180381</v>
      </c>
      <c r="B1589" t="s">
        <v>3030</v>
      </c>
    </row>
    <row r="1590" spans="1:2" x14ac:dyDescent="0.35">
      <c r="A1590">
        <v>180412</v>
      </c>
      <c r="B1590" t="s">
        <v>3030</v>
      </c>
    </row>
    <row r="1591" spans="1:2" x14ac:dyDescent="0.35">
      <c r="A1591">
        <v>180507</v>
      </c>
      <c r="B1591" t="s">
        <v>3030</v>
      </c>
    </row>
    <row r="1592" spans="1:2" x14ac:dyDescent="0.35">
      <c r="A1592">
        <v>180633</v>
      </c>
      <c r="B1592" t="s">
        <v>3030</v>
      </c>
    </row>
    <row r="1593" spans="1:2" x14ac:dyDescent="0.35">
      <c r="A1593">
        <v>180638</v>
      </c>
      <c r="B1593" t="s">
        <v>3030</v>
      </c>
    </row>
    <row r="1594" spans="1:2" x14ac:dyDescent="0.35">
      <c r="A1594">
        <v>180639</v>
      </c>
      <c r="B1594" t="s">
        <v>3030</v>
      </c>
    </row>
    <row r="1595" spans="1:2" x14ac:dyDescent="0.35">
      <c r="A1595">
        <v>180698</v>
      </c>
      <c r="B1595" t="s">
        <v>3030</v>
      </c>
    </row>
    <row r="1596" spans="1:2" x14ac:dyDescent="0.35">
      <c r="A1596">
        <v>180700</v>
      </c>
      <c r="B1596" t="s">
        <v>3030</v>
      </c>
    </row>
    <row r="1597" spans="1:2" x14ac:dyDescent="0.35">
      <c r="A1597">
        <v>180760</v>
      </c>
      <c r="B1597" t="s">
        <v>3030</v>
      </c>
    </row>
    <row r="1598" spans="1:2" x14ac:dyDescent="0.35">
      <c r="A1598">
        <v>180767</v>
      </c>
      <c r="B1598" t="s">
        <v>3030</v>
      </c>
    </row>
    <row r="1599" spans="1:2" x14ac:dyDescent="0.35">
      <c r="A1599">
        <v>180798</v>
      </c>
      <c r="B1599" t="s">
        <v>3030</v>
      </c>
    </row>
    <row r="1600" spans="1:2" x14ac:dyDescent="0.35">
      <c r="A1600">
        <v>180861</v>
      </c>
      <c r="B1600" t="s">
        <v>3030</v>
      </c>
    </row>
    <row r="1601" spans="1:2" x14ac:dyDescent="0.35">
      <c r="A1601">
        <v>180894</v>
      </c>
      <c r="B1601" t="s">
        <v>3030</v>
      </c>
    </row>
    <row r="1602" spans="1:2" x14ac:dyDescent="0.35">
      <c r="A1602">
        <v>180922</v>
      </c>
      <c r="B1602" t="s">
        <v>3030</v>
      </c>
    </row>
    <row r="1603" spans="1:2" x14ac:dyDescent="0.35">
      <c r="A1603">
        <v>181054</v>
      </c>
      <c r="B1603" t="s">
        <v>3030</v>
      </c>
    </row>
    <row r="1604" spans="1:2" x14ac:dyDescent="0.35">
      <c r="A1604">
        <v>181084</v>
      </c>
      <c r="B1604" t="s">
        <v>3030</v>
      </c>
    </row>
    <row r="1605" spans="1:2" x14ac:dyDescent="0.35">
      <c r="A1605">
        <v>181147</v>
      </c>
      <c r="B1605" t="s">
        <v>3030</v>
      </c>
    </row>
    <row r="1606" spans="1:2" x14ac:dyDescent="0.35">
      <c r="A1606">
        <v>181181</v>
      </c>
      <c r="B1606" t="s">
        <v>3030</v>
      </c>
    </row>
    <row r="1607" spans="1:2" x14ac:dyDescent="0.35">
      <c r="A1607">
        <v>181278</v>
      </c>
      <c r="B1607" t="s">
        <v>3030</v>
      </c>
    </row>
    <row r="1608" spans="1:2" x14ac:dyDescent="0.35">
      <c r="A1608">
        <v>181342</v>
      </c>
      <c r="B1608" t="s">
        <v>3030</v>
      </c>
    </row>
    <row r="1609" spans="1:2" x14ac:dyDescent="0.35">
      <c r="A1609">
        <v>181372</v>
      </c>
      <c r="B1609" t="s">
        <v>3030</v>
      </c>
    </row>
    <row r="1610" spans="1:2" x14ac:dyDescent="0.35">
      <c r="A1610">
        <v>181434</v>
      </c>
      <c r="B1610" t="s">
        <v>3030</v>
      </c>
    </row>
    <row r="1611" spans="1:2" x14ac:dyDescent="0.35">
      <c r="A1611">
        <v>181500</v>
      </c>
      <c r="B1611" t="s">
        <v>3030</v>
      </c>
    </row>
    <row r="1612" spans="1:2" x14ac:dyDescent="0.35">
      <c r="A1612">
        <v>181528</v>
      </c>
      <c r="B1612" t="s">
        <v>3030</v>
      </c>
    </row>
    <row r="1613" spans="1:2" x14ac:dyDescent="0.35">
      <c r="A1613">
        <v>181566</v>
      </c>
      <c r="B1613" t="s">
        <v>3030</v>
      </c>
    </row>
    <row r="1614" spans="1:2" x14ac:dyDescent="0.35">
      <c r="A1614">
        <v>181688</v>
      </c>
      <c r="B1614" t="s">
        <v>3030</v>
      </c>
    </row>
    <row r="1615" spans="1:2" x14ac:dyDescent="0.35">
      <c r="A1615">
        <v>181755</v>
      </c>
      <c r="B1615" t="s">
        <v>3030</v>
      </c>
    </row>
    <row r="1616" spans="1:2" x14ac:dyDescent="0.35">
      <c r="A1616">
        <v>181759</v>
      </c>
      <c r="B1616" t="s">
        <v>3030</v>
      </c>
    </row>
    <row r="1617" spans="1:2" x14ac:dyDescent="0.35">
      <c r="A1617">
        <v>181784</v>
      </c>
      <c r="B1617" t="s">
        <v>3030</v>
      </c>
    </row>
    <row r="1618" spans="1:2" x14ac:dyDescent="0.35">
      <c r="A1618">
        <v>181851</v>
      </c>
      <c r="B1618" t="s">
        <v>3030</v>
      </c>
    </row>
    <row r="1619" spans="1:2" x14ac:dyDescent="0.35">
      <c r="A1619">
        <v>181914</v>
      </c>
      <c r="B1619" t="s">
        <v>3030</v>
      </c>
    </row>
    <row r="1620" spans="1:2" x14ac:dyDescent="0.35">
      <c r="A1620">
        <v>182015</v>
      </c>
      <c r="B1620" t="s">
        <v>3030</v>
      </c>
    </row>
    <row r="1621" spans="1:2" x14ac:dyDescent="0.35">
      <c r="A1621">
        <v>182072</v>
      </c>
      <c r="B1621" t="s">
        <v>3030</v>
      </c>
    </row>
    <row r="1622" spans="1:2" x14ac:dyDescent="0.35">
      <c r="A1622">
        <v>182075</v>
      </c>
      <c r="B1622" t="s">
        <v>3030</v>
      </c>
    </row>
    <row r="1623" spans="1:2" x14ac:dyDescent="0.35">
      <c r="A1623">
        <v>182170</v>
      </c>
      <c r="B1623" t="s">
        <v>3030</v>
      </c>
    </row>
    <row r="1624" spans="1:2" x14ac:dyDescent="0.35">
      <c r="A1624">
        <v>182233</v>
      </c>
      <c r="B1624" t="s">
        <v>3030</v>
      </c>
    </row>
    <row r="1625" spans="1:2" x14ac:dyDescent="0.35">
      <c r="A1625">
        <v>182365</v>
      </c>
      <c r="B1625" t="s">
        <v>3030</v>
      </c>
    </row>
    <row r="1626" spans="1:2" x14ac:dyDescent="0.35">
      <c r="A1626">
        <v>182392</v>
      </c>
      <c r="B1626" t="s">
        <v>3030</v>
      </c>
    </row>
    <row r="1627" spans="1:2" x14ac:dyDescent="0.35">
      <c r="A1627">
        <v>182492</v>
      </c>
      <c r="B1627" t="s">
        <v>3030</v>
      </c>
    </row>
    <row r="1628" spans="1:2" x14ac:dyDescent="0.35">
      <c r="A1628">
        <v>182559</v>
      </c>
      <c r="B1628" t="s">
        <v>3030</v>
      </c>
    </row>
    <row r="1629" spans="1:2" x14ac:dyDescent="0.35">
      <c r="A1629">
        <v>182586</v>
      </c>
      <c r="B1629" t="s">
        <v>3030</v>
      </c>
    </row>
    <row r="1630" spans="1:2" x14ac:dyDescent="0.35">
      <c r="A1630">
        <v>182680</v>
      </c>
      <c r="B1630" t="s">
        <v>3030</v>
      </c>
    </row>
    <row r="1631" spans="1:2" x14ac:dyDescent="0.35">
      <c r="A1631">
        <v>182681</v>
      </c>
      <c r="B1631" t="s">
        <v>3030</v>
      </c>
    </row>
    <row r="1632" spans="1:2" x14ac:dyDescent="0.35">
      <c r="A1632">
        <v>182683</v>
      </c>
      <c r="B1632" t="s">
        <v>3030</v>
      </c>
    </row>
    <row r="1633" spans="1:2" x14ac:dyDescent="0.35">
      <c r="A1633">
        <v>182750</v>
      </c>
      <c r="B1633" t="s">
        <v>3030</v>
      </c>
    </row>
    <row r="1634" spans="1:2" x14ac:dyDescent="0.35">
      <c r="A1634">
        <v>182781</v>
      </c>
      <c r="B1634" t="s">
        <v>3030</v>
      </c>
    </row>
    <row r="1635" spans="1:2" x14ac:dyDescent="0.35">
      <c r="A1635">
        <v>182906</v>
      </c>
      <c r="B1635" t="s">
        <v>3030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44CE-E583-4714-9164-C0D4D45E8FB6}">
  <dimension ref="A1:B5"/>
  <sheetViews>
    <sheetView tabSelected="1" workbookViewId="0">
      <selection activeCell="B13" sqref="B13"/>
    </sheetView>
  </sheetViews>
  <sheetFormatPr defaultRowHeight="14.5" x14ac:dyDescent="0.35"/>
  <cols>
    <col min="2" max="2" width="10.54296875" bestFit="1" customWidth="1"/>
  </cols>
  <sheetData>
    <row r="1" spans="1:2" x14ac:dyDescent="0.35">
      <c r="A1" t="s">
        <v>15</v>
      </c>
      <c r="B1" t="s">
        <v>3031</v>
      </c>
    </row>
    <row r="2" spans="1:2" x14ac:dyDescent="0.35">
      <c r="A2" t="s">
        <v>61</v>
      </c>
      <c r="B2" t="s">
        <v>3032</v>
      </c>
    </row>
    <row r="3" spans="1:2" x14ac:dyDescent="0.35">
      <c r="A3" t="s">
        <v>53</v>
      </c>
      <c r="B3" t="s">
        <v>3033</v>
      </c>
    </row>
    <row r="4" spans="1:2" x14ac:dyDescent="0.35">
      <c r="A4" t="s">
        <v>136</v>
      </c>
      <c r="B4" t="s">
        <v>3034</v>
      </c>
    </row>
    <row r="5" spans="1:2" x14ac:dyDescent="0.35">
      <c r="A5" t="s">
        <v>34</v>
      </c>
      <c r="B5" t="s">
        <v>3035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8549D-DF3C-4A49-8CED-1AC601F8FEED}">
  <dimension ref="A2:AB54"/>
  <sheetViews>
    <sheetView showGridLines="0" topLeftCell="A4" workbookViewId="0">
      <selection activeCell="AC17" sqref="AC17"/>
    </sheetView>
  </sheetViews>
  <sheetFormatPr defaultRowHeight="14.5" x14ac:dyDescent="0.35"/>
  <cols>
    <col min="1" max="1" width="12.54296875" bestFit="1" customWidth="1"/>
    <col min="2" max="2" width="12.6328125" bestFit="1" customWidth="1"/>
    <col min="3" max="3" width="3.1796875" customWidth="1"/>
    <col min="4" max="4" width="12.36328125" bestFit="1" customWidth="1"/>
    <col min="5" max="5" width="15.26953125" bestFit="1" customWidth="1"/>
    <col min="6" max="6" width="13.1796875" bestFit="1" customWidth="1"/>
    <col min="7" max="7" width="12.6328125" bestFit="1" customWidth="1"/>
    <col min="8" max="8" width="12.6328125" customWidth="1"/>
    <col min="9" max="9" width="3.1796875" customWidth="1"/>
    <col min="10" max="10" width="28.08984375" bestFit="1" customWidth="1"/>
    <col min="11" max="11" width="12.6328125" bestFit="1" customWidth="1"/>
    <col min="12" max="12" width="3.1796875" customWidth="1"/>
    <col min="13" max="13" width="28.08984375" bestFit="1" customWidth="1"/>
    <col min="14" max="14" width="12.6328125" bestFit="1" customWidth="1"/>
    <col min="15" max="15" width="2.26953125" customWidth="1"/>
    <col min="16" max="16" width="12.36328125" bestFit="1" customWidth="1"/>
    <col min="17" max="17" width="11.26953125" bestFit="1" customWidth="1"/>
    <col min="18" max="18" width="17.36328125" bestFit="1" customWidth="1"/>
    <col min="19" max="19" width="12.6328125" bestFit="1" customWidth="1"/>
    <col min="20" max="20" width="2.54296875" customWidth="1"/>
    <col min="21" max="21" width="17.36328125" bestFit="1" customWidth="1"/>
    <col min="22" max="22" width="12.6328125" bestFit="1" customWidth="1"/>
    <col min="23" max="23" width="3" customWidth="1"/>
    <col min="24" max="24" width="15.81640625" bestFit="1" customWidth="1"/>
    <col min="25" max="25" width="11.26953125" bestFit="1" customWidth="1"/>
    <col min="26" max="26" width="2.36328125" customWidth="1"/>
    <col min="27" max="27" width="12.54296875" bestFit="1" customWidth="1"/>
    <col min="28" max="28" width="12.6328125" bestFit="1" customWidth="1"/>
  </cols>
  <sheetData>
    <row r="2" spans="1:28" x14ac:dyDescent="0.35">
      <c r="A2" s="7" t="s">
        <v>3046</v>
      </c>
      <c r="B2" s="7" t="s">
        <v>3047</v>
      </c>
    </row>
    <row r="3" spans="1:28" x14ac:dyDescent="0.35">
      <c r="A3" t="s">
        <v>3043</v>
      </c>
      <c r="B3" t="s">
        <v>3044</v>
      </c>
      <c r="D3" s="7" t="s">
        <v>3045</v>
      </c>
      <c r="E3" s="4"/>
      <c r="F3" s="4"/>
      <c r="G3" s="4"/>
      <c r="H3" s="4"/>
      <c r="J3" s="7" t="s">
        <v>3048</v>
      </c>
    </row>
    <row r="4" spans="1:28" x14ac:dyDescent="0.35">
      <c r="A4" s="5">
        <v>1924337.8799999992</v>
      </c>
      <c r="B4" s="5">
        <v>224077.61183714995</v>
      </c>
      <c r="D4" s="2" t="s">
        <v>3043</v>
      </c>
      <c r="E4" s="2" t="s">
        <v>3056</v>
      </c>
      <c r="J4" s="2" t="s">
        <v>3036</v>
      </c>
      <c r="K4" t="s">
        <v>3043</v>
      </c>
      <c r="M4" s="7" t="s">
        <v>3049</v>
      </c>
      <c r="N4" s="7" t="s">
        <v>23</v>
      </c>
      <c r="P4" s="7" t="s">
        <v>3051</v>
      </c>
      <c r="R4" s="7" t="s">
        <v>3050</v>
      </c>
    </row>
    <row r="5" spans="1:28" x14ac:dyDescent="0.35">
      <c r="D5" s="2" t="s">
        <v>3036</v>
      </c>
      <c r="E5" t="s">
        <v>41</v>
      </c>
      <c r="F5" t="s">
        <v>29</v>
      </c>
      <c r="G5" t="s">
        <v>77</v>
      </c>
      <c r="H5" s="5"/>
      <c r="J5" s="3" t="s">
        <v>85</v>
      </c>
      <c r="K5" s="5">
        <v>318169.67999999993</v>
      </c>
      <c r="M5" s="3" t="s">
        <v>85</v>
      </c>
      <c r="N5" s="6">
        <f>GETPIVOTDATA("Sales",$J$4,"Product Sub-Category",M5)</f>
        <v>318169.67999999993</v>
      </c>
      <c r="P5" s="2" t="s">
        <v>3036</v>
      </c>
      <c r="Q5" t="s">
        <v>3043</v>
      </c>
      <c r="R5" s="2" t="s">
        <v>3036</v>
      </c>
      <c r="S5" t="s">
        <v>3043</v>
      </c>
      <c r="U5" s="7" t="s">
        <v>3052</v>
      </c>
      <c r="V5" s="7" t="s">
        <v>23</v>
      </c>
      <c r="X5" s="7" t="s">
        <v>3053</v>
      </c>
      <c r="AA5" s="7" t="s">
        <v>3054</v>
      </c>
    </row>
    <row r="6" spans="1:28" x14ac:dyDescent="0.35">
      <c r="A6" s="2" t="s">
        <v>3036</v>
      </c>
      <c r="B6" t="s">
        <v>3043</v>
      </c>
      <c r="D6" s="3" t="s">
        <v>3037</v>
      </c>
      <c r="E6" s="5">
        <v>87567.19</v>
      </c>
      <c r="F6" s="5">
        <v>68993.720000000016</v>
      </c>
      <c r="G6" s="5">
        <v>118206.01000000001</v>
      </c>
      <c r="H6" s="5"/>
      <c r="J6" s="3" t="s">
        <v>42</v>
      </c>
      <c r="K6" s="5">
        <v>261072.73</v>
      </c>
      <c r="M6" s="3" t="s">
        <v>42</v>
      </c>
      <c r="N6" s="6">
        <f t="shared" ref="N6:N21" si="0">GETPIVOTDATA("Sales",$J$4,"Product Sub-Category",M6)</f>
        <v>261072.73</v>
      </c>
      <c r="P6" s="3" t="s">
        <v>61</v>
      </c>
      <c r="Q6" s="6">
        <v>448284.7</v>
      </c>
      <c r="R6" s="3" t="s">
        <v>1278</v>
      </c>
      <c r="S6" s="5">
        <v>46826.44999999999</v>
      </c>
      <c r="U6" s="3" t="s">
        <v>1278</v>
      </c>
      <c r="V6" s="5">
        <f>GETPIVOTDATA("Sales",$R$5,"State or Province",U6)</f>
        <v>46826.44999999999</v>
      </c>
      <c r="X6" s="2" t="s">
        <v>3036</v>
      </c>
      <c r="Y6" t="s">
        <v>3043</v>
      </c>
      <c r="AA6" s="2" t="s">
        <v>3055</v>
      </c>
      <c r="AB6" t="s">
        <v>3043</v>
      </c>
    </row>
    <row r="7" spans="1:28" x14ac:dyDescent="0.35">
      <c r="A7" s="3" t="s">
        <v>39</v>
      </c>
      <c r="B7" s="9">
        <v>789235.4600000002</v>
      </c>
      <c r="D7" s="3" t="s">
        <v>3038</v>
      </c>
      <c r="E7" s="5">
        <v>125695.12</v>
      </c>
      <c r="F7" s="5">
        <v>42256.709999999977</v>
      </c>
      <c r="G7" s="5">
        <v>158149.64000000001</v>
      </c>
      <c r="H7" s="5"/>
      <c r="J7" s="3" t="s">
        <v>78</v>
      </c>
      <c r="K7" s="5">
        <v>198764.49000000008</v>
      </c>
      <c r="M7" s="3" t="s">
        <v>78</v>
      </c>
      <c r="N7" s="6">
        <f t="shared" si="0"/>
        <v>198764.49000000008</v>
      </c>
      <c r="P7" s="3" t="s">
        <v>53</v>
      </c>
      <c r="Q7" s="6">
        <v>592171.48999999964</v>
      </c>
      <c r="R7" s="3" t="s">
        <v>378</v>
      </c>
      <c r="S7" s="5">
        <v>14367.860000000002</v>
      </c>
      <c r="U7" s="3" t="s">
        <v>378</v>
      </c>
      <c r="V7" s="5">
        <f t="shared" ref="V7:V54" si="1">GETPIVOTDATA("Sales",$R$5,"State or Province",U7)</f>
        <v>14367.860000000002</v>
      </c>
      <c r="X7" s="3" t="s">
        <v>2477</v>
      </c>
      <c r="Y7" s="5">
        <v>28779.129999999997</v>
      </c>
      <c r="AA7" s="3" t="s">
        <v>39</v>
      </c>
      <c r="AB7" s="5">
        <v>789235.4600000002</v>
      </c>
    </row>
    <row r="8" spans="1:28" x14ac:dyDescent="0.35">
      <c r="A8" s="3" t="s">
        <v>27</v>
      </c>
      <c r="B8" s="9">
        <v>145050.22000000009</v>
      </c>
      <c r="D8" s="3" t="s">
        <v>3039</v>
      </c>
      <c r="E8" s="5">
        <v>88442.880000000005</v>
      </c>
      <c r="F8" s="5">
        <v>68019.710000000021</v>
      </c>
      <c r="G8" s="5">
        <v>115234.08000000002</v>
      </c>
      <c r="H8" s="5"/>
      <c r="J8" s="3" t="s">
        <v>152</v>
      </c>
      <c r="K8" s="5">
        <v>193764.58000000005</v>
      </c>
      <c r="M8" s="3" t="s">
        <v>152</v>
      </c>
      <c r="N8" s="6">
        <f t="shared" si="0"/>
        <v>193764.58000000005</v>
      </c>
      <c r="P8" s="3" t="s">
        <v>136</v>
      </c>
      <c r="Q8" s="6">
        <v>357105.12000000011</v>
      </c>
      <c r="R8" s="3" t="s">
        <v>958</v>
      </c>
      <c r="S8" s="5">
        <v>11724.43</v>
      </c>
      <c r="U8" s="3" t="s">
        <v>958</v>
      </c>
      <c r="V8" s="5">
        <f t="shared" si="1"/>
        <v>11724.43</v>
      </c>
      <c r="X8" s="3" t="s">
        <v>2405</v>
      </c>
      <c r="Y8" s="5">
        <v>29916.01</v>
      </c>
      <c r="AA8" s="3" t="s">
        <v>27</v>
      </c>
      <c r="AB8" s="5">
        <v>145050.22000000009</v>
      </c>
    </row>
    <row r="9" spans="1:28" x14ac:dyDescent="0.35">
      <c r="A9" s="3" t="s">
        <v>49</v>
      </c>
      <c r="B9" s="9">
        <v>990052.19999999902</v>
      </c>
      <c r="D9" s="3" t="s">
        <v>3040</v>
      </c>
      <c r="E9" s="5">
        <v>117546.3</v>
      </c>
      <c r="F9" s="5">
        <v>181592.14999999997</v>
      </c>
      <c r="G9" s="5">
        <v>90693.499999999985</v>
      </c>
      <c r="H9" s="5"/>
      <c r="J9" s="3" t="s">
        <v>109</v>
      </c>
      <c r="K9" s="5">
        <v>185928.13999999987</v>
      </c>
      <c r="M9" s="3" t="s">
        <v>109</v>
      </c>
      <c r="N9" s="6">
        <f t="shared" si="0"/>
        <v>185928.13999999987</v>
      </c>
      <c r="P9" s="3" t="s">
        <v>34</v>
      </c>
      <c r="Q9" s="6">
        <v>526776.56999999995</v>
      </c>
      <c r="R9" s="3" t="s">
        <v>45</v>
      </c>
      <c r="S9" s="5">
        <v>288310.60999999981</v>
      </c>
      <c r="U9" s="3" t="s">
        <v>45</v>
      </c>
      <c r="V9" s="5">
        <f t="shared" si="1"/>
        <v>288310.60999999981</v>
      </c>
      <c r="X9" s="3" t="s">
        <v>598</v>
      </c>
      <c r="Y9" s="5">
        <v>32194.12</v>
      </c>
      <c r="AA9" s="3" t="s">
        <v>49</v>
      </c>
      <c r="AB9" s="5">
        <v>990052.19999999902</v>
      </c>
    </row>
    <row r="10" spans="1:28" x14ac:dyDescent="0.35">
      <c r="D10" s="3" t="s">
        <v>3041</v>
      </c>
      <c r="E10" s="5">
        <v>112351.57000000004</v>
      </c>
      <c r="F10" s="5">
        <v>110338.52999999996</v>
      </c>
      <c r="G10" s="5">
        <v>83881.970000000016</v>
      </c>
      <c r="H10" s="5"/>
      <c r="J10" s="3" t="s">
        <v>141</v>
      </c>
      <c r="K10" s="5">
        <v>177417.59999999992</v>
      </c>
      <c r="M10" s="3" t="s">
        <v>141</v>
      </c>
      <c r="N10" s="6">
        <f t="shared" si="0"/>
        <v>177417.59999999992</v>
      </c>
      <c r="R10" s="3" t="s">
        <v>255</v>
      </c>
      <c r="S10" s="5">
        <v>45843.450000000012</v>
      </c>
      <c r="U10" s="3" t="s">
        <v>255</v>
      </c>
      <c r="V10" s="5">
        <f t="shared" si="1"/>
        <v>45843.450000000012</v>
      </c>
      <c r="X10" s="3" t="s">
        <v>1743</v>
      </c>
      <c r="Y10" s="5">
        <v>48295.12</v>
      </c>
    </row>
    <row r="11" spans="1:28" x14ac:dyDescent="0.35">
      <c r="A11" s="8">
        <f>GETPIVOTDATA("Sales",$A$3)</f>
        <v>1924337.8799999992</v>
      </c>
      <c r="D11" s="3" t="s">
        <v>3042</v>
      </c>
      <c r="E11" s="5">
        <v>129101.25000000003</v>
      </c>
      <c r="F11" s="5">
        <v>80167.800000000017</v>
      </c>
      <c r="G11" s="5">
        <v>146099.75</v>
      </c>
      <c r="J11" s="3" t="s">
        <v>191</v>
      </c>
      <c r="K11" s="5">
        <v>107796.09</v>
      </c>
      <c r="M11" s="3" t="s">
        <v>191</v>
      </c>
      <c r="N11" s="6">
        <f t="shared" si="0"/>
        <v>107796.09</v>
      </c>
      <c r="R11" s="3" t="s">
        <v>228</v>
      </c>
      <c r="S11" s="5">
        <v>6540.5400000000009</v>
      </c>
      <c r="U11" s="3" t="s">
        <v>228</v>
      </c>
      <c r="V11" s="5">
        <f t="shared" si="1"/>
        <v>6540.5400000000009</v>
      </c>
      <c r="X11" s="3" t="s">
        <v>661</v>
      </c>
      <c r="Y11" s="5">
        <v>50475.31</v>
      </c>
    </row>
    <row r="12" spans="1:28" x14ac:dyDescent="0.35">
      <c r="A12" s="8">
        <f>GETPIVOTDATA("Profit",$B$3)</f>
        <v>224077.61183714995</v>
      </c>
      <c r="J12" s="3" t="s">
        <v>587</v>
      </c>
      <c r="K12" s="5">
        <v>99069.479999999981</v>
      </c>
      <c r="M12" s="3" t="s">
        <v>587</v>
      </c>
      <c r="N12" s="6">
        <f t="shared" si="0"/>
        <v>99069.479999999981</v>
      </c>
      <c r="R12" s="3" t="s">
        <v>1149</v>
      </c>
      <c r="S12" s="5">
        <v>1257.76</v>
      </c>
      <c r="U12" s="3" t="s">
        <v>1149</v>
      </c>
      <c r="V12" s="5">
        <f t="shared" si="1"/>
        <v>1257.76</v>
      </c>
    </row>
    <row r="13" spans="1:28" x14ac:dyDescent="0.35">
      <c r="J13" s="3" t="s">
        <v>50</v>
      </c>
      <c r="K13" s="5">
        <v>98070.91</v>
      </c>
      <c r="M13" s="3" t="s">
        <v>50</v>
      </c>
      <c r="N13" s="6">
        <f t="shared" si="0"/>
        <v>98070.91</v>
      </c>
      <c r="R13" s="3" t="s">
        <v>1008</v>
      </c>
      <c r="S13" s="5">
        <v>68946.66</v>
      </c>
      <c r="U13" s="3" t="s">
        <v>1008</v>
      </c>
      <c r="V13" s="5">
        <f t="shared" si="1"/>
        <v>68946.66</v>
      </c>
      <c r="X13" s="2" t="s">
        <v>3036</v>
      </c>
      <c r="Y13" t="s">
        <v>3043</v>
      </c>
    </row>
    <row r="14" spans="1:28" x14ac:dyDescent="0.35">
      <c r="J14" s="3" t="s">
        <v>180</v>
      </c>
      <c r="K14" s="5">
        <v>96261.300000000032</v>
      </c>
      <c r="M14" s="3" t="s">
        <v>180</v>
      </c>
      <c r="N14" s="6">
        <f t="shared" si="0"/>
        <v>96261.300000000032</v>
      </c>
      <c r="R14" s="3" t="s">
        <v>362</v>
      </c>
      <c r="S14" s="5">
        <v>87651.110000000044</v>
      </c>
      <c r="U14" s="3" t="s">
        <v>362</v>
      </c>
      <c r="V14" s="5">
        <f t="shared" si="1"/>
        <v>87651.110000000044</v>
      </c>
      <c r="X14" s="3" t="s">
        <v>49</v>
      </c>
      <c r="Y14" s="5">
        <v>990052.19999999902</v>
      </c>
    </row>
    <row r="15" spans="1:28" x14ac:dyDescent="0.35">
      <c r="J15" s="3" t="s">
        <v>257</v>
      </c>
      <c r="K15" s="5">
        <v>82201.149999999965</v>
      </c>
      <c r="M15" s="3" t="s">
        <v>257</v>
      </c>
      <c r="N15" s="6">
        <f t="shared" si="0"/>
        <v>82201.149999999965</v>
      </c>
      <c r="R15" s="3" t="s">
        <v>387</v>
      </c>
      <c r="S15" s="5">
        <v>31992.210000000003</v>
      </c>
      <c r="U15" s="3" t="s">
        <v>387</v>
      </c>
      <c r="V15" s="5">
        <f t="shared" si="1"/>
        <v>31992.210000000003</v>
      </c>
      <c r="X15" s="3" t="s">
        <v>39</v>
      </c>
      <c r="Y15" s="5">
        <v>789235.4600000002</v>
      </c>
    </row>
    <row r="16" spans="1:28" x14ac:dyDescent="0.35">
      <c r="J16" s="3" t="s">
        <v>93</v>
      </c>
      <c r="K16" s="5">
        <v>55813.920000000042</v>
      </c>
      <c r="M16" s="3" t="s">
        <v>93</v>
      </c>
      <c r="N16" s="6">
        <f t="shared" si="0"/>
        <v>55813.920000000042</v>
      </c>
      <c r="R16" s="3" t="s">
        <v>1741</v>
      </c>
      <c r="S16" s="5">
        <v>13922.919999999998</v>
      </c>
      <c r="U16" s="3" t="s">
        <v>1741</v>
      </c>
      <c r="V16" s="5">
        <f t="shared" si="1"/>
        <v>13922.919999999998</v>
      </c>
      <c r="X16" s="3" t="s">
        <v>27</v>
      </c>
      <c r="Y16" s="5">
        <v>145050.22000000009</v>
      </c>
    </row>
    <row r="17" spans="10:22" x14ac:dyDescent="0.35">
      <c r="J17" s="3" t="s">
        <v>30</v>
      </c>
      <c r="K17" s="5">
        <v>26071.61</v>
      </c>
      <c r="M17" s="3" t="s">
        <v>30</v>
      </c>
      <c r="N17" s="6">
        <f t="shared" si="0"/>
        <v>26071.61</v>
      </c>
      <c r="R17" s="3" t="s">
        <v>178</v>
      </c>
      <c r="S17" s="5">
        <v>98971.250000000015</v>
      </c>
      <c r="U17" s="3" t="s">
        <v>178</v>
      </c>
      <c r="V17" s="5">
        <f t="shared" si="1"/>
        <v>98971.250000000015</v>
      </c>
    </row>
    <row r="18" spans="10:22" x14ac:dyDescent="0.35">
      <c r="J18" s="3" t="s">
        <v>69</v>
      </c>
      <c r="K18" s="5">
        <v>10479.769999999999</v>
      </c>
      <c r="M18" s="3" t="s">
        <v>69</v>
      </c>
      <c r="N18" s="6">
        <f t="shared" si="0"/>
        <v>10479.769999999999</v>
      </c>
      <c r="R18" s="3" t="s">
        <v>703</v>
      </c>
      <c r="S18" s="5">
        <v>41089.050000000003</v>
      </c>
      <c r="U18" s="3" t="s">
        <v>703</v>
      </c>
      <c r="V18" s="5">
        <f t="shared" si="1"/>
        <v>41089.050000000003</v>
      </c>
    </row>
    <row r="19" spans="10:22" x14ac:dyDescent="0.35">
      <c r="J19" s="3" t="s">
        <v>174</v>
      </c>
      <c r="K19" s="5">
        <v>6752.1800000000021</v>
      </c>
      <c r="M19" s="3" t="s">
        <v>174</v>
      </c>
      <c r="N19" s="6">
        <f t="shared" si="0"/>
        <v>6752.1800000000021</v>
      </c>
      <c r="R19" s="3" t="s">
        <v>330</v>
      </c>
      <c r="S19" s="5">
        <v>10977.690000000002</v>
      </c>
      <c r="U19" s="3" t="s">
        <v>330</v>
      </c>
      <c r="V19" s="5">
        <f t="shared" si="1"/>
        <v>10977.690000000002</v>
      </c>
    </row>
    <row r="20" spans="10:22" x14ac:dyDescent="0.35">
      <c r="J20" s="3" t="s">
        <v>134</v>
      </c>
      <c r="K20" s="5">
        <v>4914.8199999999988</v>
      </c>
      <c r="M20" s="3" t="s">
        <v>134</v>
      </c>
      <c r="N20" s="6">
        <f t="shared" si="0"/>
        <v>4914.8199999999988</v>
      </c>
      <c r="R20" s="3" t="s">
        <v>183</v>
      </c>
      <c r="S20" s="5">
        <v>29678.210000000003</v>
      </c>
      <c r="U20" s="3" t="s">
        <v>183</v>
      </c>
      <c r="V20" s="5">
        <f t="shared" si="1"/>
        <v>29678.210000000003</v>
      </c>
    </row>
    <row r="21" spans="10:22" x14ac:dyDescent="0.35">
      <c r="J21" s="3" t="s">
        <v>66</v>
      </c>
      <c r="K21" s="5">
        <v>1789.43</v>
      </c>
      <c r="M21" s="3" t="s">
        <v>66</v>
      </c>
      <c r="N21" s="6">
        <f t="shared" si="0"/>
        <v>1789.43</v>
      </c>
      <c r="R21" s="3" t="s">
        <v>613</v>
      </c>
      <c r="S21" s="5">
        <v>15291.350000000002</v>
      </c>
      <c r="U21" s="3" t="s">
        <v>613</v>
      </c>
      <c r="V21" s="5">
        <f t="shared" si="1"/>
        <v>15291.350000000002</v>
      </c>
    </row>
    <row r="22" spans="10:22" x14ac:dyDescent="0.35">
      <c r="R22" s="3" t="s">
        <v>171</v>
      </c>
      <c r="S22" s="5">
        <v>14909.429999999998</v>
      </c>
      <c r="U22" s="3" t="s">
        <v>171</v>
      </c>
      <c r="V22" s="5">
        <f t="shared" si="1"/>
        <v>14909.429999999998</v>
      </c>
    </row>
    <row r="23" spans="10:22" x14ac:dyDescent="0.35">
      <c r="R23" s="3" t="s">
        <v>188</v>
      </c>
      <c r="S23" s="5">
        <v>31131.739999999998</v>
      </c>
      <c r="U23" s="3" t="s">
        <v>188</v>
      </c>
      <c r="V23" s="5">
        <f t="shared" si="1"/>
        <v>31131.739999999998</v>
      </c>
    </row>
    <row r="24" spans="10:22" x14ac:dyDescent="0.35">
      <c r="R24" s="3" t="s">
        <v>415</v>
      </c>
      <c r="S24" s="5">
        <v>15597.44</v>
      </c>
      <c r="U24" s="3" t="s">
        <v>415</v>
      </c>
      <c r="V24" s="5">
        <f t="shared" si="1"/>
        <v>15597.44</v>
      </c>
    </row>
    <row r="25" spans="10:22" x14ac:dyDescent="0.35">
      <c r="R25" s="3" t="s">
        <v>193</v>
      </c>
      <c r="S25" s="5">
        <v>59114.82</v>
      </c>
      <c r="U25" s="3" t="s">
        <v>193</v>
      </c>
      <c r="V25" s="5">
        <f t="shared" si="1"/>
        <v>59114.82</v>
      </c>
    </row>
    <row r="26" spans="10:22" x14ac:dyDescent="0.35">
      <c r="R26" s="3" t="s">
        <v>300</v>
      </c>
      <c r="S26" s="5">
        <v>69641.810000000027</v>
      </c>
      <c r="U26" s="3" t="s">
        <v>300</v>
      </c>
      <c r="V26" s="5">
        <f t="shared" si="1"/>
        <v>69641.810000000027</v>
      </c>
    </row>
    <row r="27" spans="10:22" x14ac:dyDescent="0.35">
      <c r="R27" s="3" t="s">
        <v>62</v>
      </c>
      <c r="S27" s="5">
        <v>41671.260000000009</v>
      </c>
      <c r="U27" s="3" t="s">
        <v>62</v>
      </c>
      <c r="V27" s="5">
        <f t="shared" si="1"/>
        <v>41671.260000000009</v>
      </c>
    </row>
    <row r="28" spans="10:22" x14ac:dyDescent="0.35">
      <c r="R28" s="3" t="s">
        <v>671</v>
      </c>
      <c r="S28" s="5">
        <v>9689.5799999999981</v>
      </c>
      <c r="U28" s="3" t="s">
        <v>671</v>
      </c>
      <c r="V28" s="5">
        <f t="shared" si="1"/>
        <v>9689.5799999999981</v>
      </c>
    </row>
    <row r="29" spans="10:22" x14ac:dyDescent="0.35">
      <c r="R29" s="3" t="s">
        <v>506</v>
      </c>
      <c r="S29" s="5">
        <v>10903.079999999998</v>
      </c>
      <c r="U29" s="3" t="s">
        <v>506</v>
      </c>
      <c r="V29" s="5">
        <f t="shared" si="1"/>
        <v>10903.079999999998</v>
      </c>
    </row>
    <row r="30" spans="10:22" x14ac:dyDescent="0.35">
      <c r="R30" s="3" t="s">
        <v>82</v>
      </c>
      <c r="S30" s="5">
        <v>12593.59</v>
      </c>
      <c r="U30" s="3" t="s">
        <v>82</v>
      </c>
      <c r="V30" s="5">
        <f t="shared" si="1"/>
        <v>12593.59</v>
      </c>
    </row>
    <row r="31" spans="10:22" x14ac:dyDescent="0.35">
      <c r="R31" s="3" t="s">
        <v>496</v>
      </c>
      <c r="S31" s="5">
        <v>15764.509999999997</v>
      </c>
      <c r="U31" s="3" t="s">
        <v>496</v>
      </c>
      <c r="V31" s="5">
        <f t="shared" si="1"/>
        <v>15764.509999999997</v>
      </c>
    </row>
    <row r="32" spans="10:22" x14ac:dyDescent="0.35">
      <c r="R32" s="3" t="s">
        <v>533</v>
      </c>
      <c r="S32" s="5">
        <v>8864.5399999999991</v>
      </c>
      <c r="U32" s="3" t="s">
        <v>533</v>
      </c>
      <c r="V32" s="5">
        <f t="shared" si="1"/>
        <v>8864.5399999999991</v>
      </c>
    </row>
    <row r="33" spans="18:22" x14ac:dyDescent="0.35">
      <c r="R33" s="3" t="s">
        <v>197</v>
      </c>
      <c r="S33" s="5">
        <v>7619.7</v>
      </c>
      <c r="U33" s="3" t="s">
        <v>197</v>
      </c>
      <c r="V33" s="5">
        <f t="shared" si="1"/>
        <v>7619.7</v>
      </c>
    </row>
    <row r="34" spans="18:22" x14ac:dyDescent="0.35">
      <c r="R34" s="3" t="s">
        <v>54</v>
      </c>
      <c r="S34" s="5">
        <v>21943.910000000003</v>
      </c>
      <c r="U34" s="3" t="s">
        <v>54</v>
      </c>
      <c r="V34" s="5">
        <f t="shared" si="1"/>
        <v>21943.910000000003</v>
      </c>
    </row>
    <row r="35" spans="18:22" x14ac:dyDescent="0.35">
      <c r="R35" s="3" t="s">
        <v>366</v>
      </c>
      <c r="S35" s="5">
        <v>5593.1799999999994</v>
      </c>
      <c r="U35" s="3" t="s">
        <v>366</v>
      </c>
      <c r="V35" s="5">
        <f t="shared" si="1"/>
        <v>5593.1799999999994</v>
      </c>
    </row>
    <row r="36" spans="18:22" x14ac:dyDescent="0.35">
      <c r="R36" s="3" t="s">
        <v>71</v>
      </c>
      <c r="S36" s="5">
        <v>223930.47999999992</v>
      </c>
      <c r="U36" s="3" t="s">
        <v>71</v>
      </c>
      <c r="V36" s="5">
        <f t="shared" si="1"/>
        <v>223930.47999999992</v>
      </c>
    </row>
    <row r="37" spans="18:22" x14ac:dyDescent="0.35">
      <c r="R37" s="3" t="s">
        <v>322</v>
      </c>
      <c r="S37" s="5">
        <v>43983.299999999996</v>
      </c>
      <c r="U37" s="3" t="s">
        <v>322</v>
      </c>
      <c r="V37" s="5">
        <f t="shared" si="1"/>
        <v>43983.299999999996</v>
      </c>
    </row>
    <row r="38" spans="18:22" x14ac:dyDescent="0.35">
      <c r="R38" s="3" t="s">
        <v>2659</v>
      </c>
      <c r="S38" s="5">
        <v>5300.2300000000005</v>
      </c>
      <c r="U38" s="3" t="s">
        <v>2659</v>
      </c>
      <c r="V38" s="5">
        <f t="shared" si="1"/>
        <v>5300.2300000000005</v>
      </c>
    </row>
    <row r="39" spans="18:22" x14ac:dyDescent="0.35">
      <c r="R39" s="3" t="s">
        <v>154</v>
      </c>
      <c r="S39" s="5">
        <v>69452.820000000022</v>
      </c>
      <c r="U39" s="3" t="s">
        <v>154</v>
      </c>
      <c r="V39" s="5">
        <f t="shared" si="1"/>
        <v>69452.820000000022</v>
      </c>
    </row>
    <row r="40" spans="18:22" x14ac:dyDescent="0.35">
      <c r="R40" s="3" t="s">
        <v>304</v>
      </c>
      <c r="S40" s="5">
        <v>6884.04</v>
      </c>
      <c r="U40" s="3" t="s">
        <v>304</v>
      </c>
      <c r="V40" s="5">
        <f t="shared" si="1"/>
        <v>6884.04</v>
      </c>
    </row>
    <row r="41" spans="18:22" x14ac:dyDescent="0.35">
      <c r="R41" s="3" t="s">
        <v>102</v>
      </c>
      <c r="S41" s="5">
        <v>25647.149999999998</v>
      </c>
      <c r="U41" s="3" t="s">
        <v>102</v>
      </c>
      <c r="V41" s="5">
        <f t="shared" si="1"/>
        <v>25647.149999999998</v>
      </c>
    </row>
    <row r="42" spans="18:22" x14ac:dyDescent="0.35">
      <c r="R42" s="3" t="s">
        <v>234</v>
      </c>
      <c r="S42" s="5">
        <v>52435.240000000005</v>
      </c>
      <c r="U42" s="3" t="s">
        <v>234</v>
      </c>
      <c r="V42" s="5">
        <f t="shared" si="1"/>
        <v>52435.240000000005</v>
      </c>
    </row>
    <row r="43" spans="18:22" x14ac:dyDescent="0.35">
      <c r="R43" s="3" t="s">
        <v>469</v>
      </c>
      <c r="S43" s="5">
        <v>10027.83</v>
      </c>
      <c r="U43" s="3" t="s">
        <v>469</v>
      </c>
      <c r="V43" s="5">
        <f t="shared" si="1"/>
        <v>10027.83</v>
      </c>
    </row>
    <row r="44" spans="18:22" x14ac:dyDescent="0.35">
      <c r="R44" s="3" t="s">
        <v>932</v>
      </c>
      <c r="S44" s="5">
        <v>16544.629999999997</v>
      </c>
      <c r="U44" s="3" t="s">
        <v>932</v>
      </c>
      <c r="V44" s="5">
        <f t="shared" si="1"/>
        <v>16544.629999999997</v>
      </c>
    </row>
    <row r="45" spans="18:22" x14ac:dyDescent="0.35">
      <c r="R45" s="3" t="s">
        <v>2193</v>
      </c>
      <c r="S45" s="5">
        <v>1550.4899999999998</v>
      </c>
      <c r="U45" s="3" t="s">
        <v>2193</v>
      </c>
      <c r="V45" s="5">
        <f t="shared" si="1"/>
        <v>1550.4899999999998</v>
      </c>
    </row>
    <row r="46" spans="18:22" x14ac:dyDescent="0.35">
      <c r="R46" s="3" t="s">
        <v>244</v>
      </c>
      <c r="S46" s="5">
        <v>33209.760000000002</v>
      </c>
      <c r="U46" s="3" t="s">
        <v>244</v>
      </c>
      <c r="V46" s="5">
        <f t="shared" si="1"/>
        <v>33209.760000000002</v>
      </c>
    </row>
    <row r="47" spans="18:22" x14ac:dyDescent="0.35">
      <c r="R47" s="3" t="s">
        <v>130</v>
      </c>
      <c r="S47" s="5">
        <v>93082.73</v>
      </c>
      <c r="U47" s="3" t="s">
        <v>130</v>
      </c>
      <c r="V47" s="5">
        <f t="shared" si="1"/>
        <v>93082.73</v>
      </c>
    </row>
    <row r="48" spans="18:22" x14ac:dyDescent="0.35">
      <c r="R48" s="3" t="s">
        <v>212</v>
      </c>
      <c r="S48" s="5">
        <v>26981.670000000002</v>
      </c>
      <c r="U48" s="3" t="s">
        <v>212</v>
      </c>
      <c r="V48" s="5">
        <f t="shared" si="1"/>
        <v>26981.670000000002</v>
      </c>
    </row>
    <row r="49" spans="18:22" x14ac:dyDescent="0.35">
      <c r="R49" s="3" t="s">
        <v>149</v>
      </c>
      <c r="S49" s="5">
        <v>13491.000000000002</v>
      </c>
      <c r="U49" s="3" t="s">
        <v>149</v>
      </c>
      <c r="V49" s="5">
        <f t="shared" si="1"/>
        <v>13491.000000000002</v>
      </c>
    </row>
    <row r="50" spans="18:22" x14ac:dyDescent="0.35">
      <c r="R50" s="3" t="s">
        <v>137</v>
      </c>
      <c r="S50" s="5">
        <v>45282.87000000001</v>
      </c>
      <c r="U50" s="3" t="s">
        <v>137</v>
      </c>
      <c r="V50" s="5">
        <f t="shared" si="1"/>
        <v>45282.87000000001</v>
      </c>
    </row>
    <row r="51" spans="18:22" x14ac:dyDescent="0.35">
      <c r="R51" s="3" t="s">
        <v>35</v>
      </c>
      <c r="S51" s="5">
        <v>83468.060000000012</v>
      </c>
      <c r="U51" s="3" t="s">
        <v>35</v>
      </c>
      <c r="V51" s="5">
        <f t="shared" si="1"/>
        <v>83468.060000000012</v>
      </c>
    </row>
    <row r="52" spans="18:22" x14ac:dyDescent="0.35">
      <c r="R52" s="3" t="s">
        <v>648</v>
      </c>
      <c r="S52" s="5">
        <v>10681.549999999997</v>
      </c>
      <c r="U52" s="3" t="s">
        <v>648</v>
      </c>
      <c r="V52" s="5">
        <f t="shared" si="1"/>
        <v>10681.549999999997</v>
      </c>
    </row>
    <row r="53" spans="18:22" x14ac:dyDescent="0.35">
      <c r="R53" s="3" t="s">
        <v>1858</v>
      </c>
      <c r="S53" s="5">
        <v>22770.350000000002</v>
      </c>
      <c r="U53" s="3" t="s">
        <v>1858</v>
      </c>
      <c r="V53" s="5">
        <f t="shared" si="1"/>
        <v>22770.350000000002</v>
      </c>
    </row>
    <row r="54" spans="18:22" x14ac:dyDescent="0.35">
      <c r="R54" s="3" t="s">
        <v>2226</v>
      </c>
      <c r="S54" s="5">
        <v>1183.54</v>
      </c>
      <c r="U54" s="3" t="s">
        <v>2226</v>
      </c>
      <c r="V54" s="5">
        <f t="shared" si="1"/>
        <v>1183.54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73BB-58BB-4498-910E-1AB6C82AC875}">
  <dimension ref="A1"/>
  <sheetViews>
    <sheetView showGridLines="0" topLeftCell="A5" zoomScale="96" zoomScaleNormal="96" workbookViewId="0">
      <selection activeCell="W7" sqref="W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13A19D-E89B-4461-8D88-0F8CD34E08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Users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salunke</dc:creator>
  <cp:lastModifiedBy>omkar salunke</cp:lastModifiedBy>
  <dcterms:created xsi:type="dcterms:W3CDTF">2025-10-14T16:41:00Z</dcterms:created>
  <dcterms:modified xsi:type="dcterms:W3CDTF">2025-12-24T12:12:09Z</dcterms:modified>
</cp:coreProperties>
</file>